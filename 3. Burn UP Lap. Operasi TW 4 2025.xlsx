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1"/>
  </bookViews>
  <sheets>
    <sheet name="Sheet1" sheetId="1" r:id="rId1"/>
    <sheet name="Sheet2" sheetId="2" r:id="rId2"/>
    <sheet name="Sheet3" sheetId="3" r:id="rId3"/>
    <sheet name="Sheet4" sheetId="14" r:id="rId4"/>
  </sheets>
  <definedNames>
    <definedName name="bu42019._1" localSheetId="2">Sheet3!$H$1:$L$84</definedName>
    <definedName name="BU42025." localSheetId="3">Sheet4!$A$1:$F$88</definedName>
    <definedName name="BUpDes2018." localSheetId="2">Sheet3!$A$1:$E$84</definedName>
    <definedName name="_xlnm.Print_Area" localSheetId="0">Sheet1!$GV$1:$HC$88</definedName>
    <definedName name="_xlnm.Print_Area" localSheetId="2">Sheet3!$BZ$1:$CD$84</definedName>
    <definedName name="_xlnm.Print_Titles" localSheetId="0">Sheet1!$6:$8</definedName>
    <definedName name="_xlnm.Print_Titles" localSheetId="2">Sheet3!$4:$6</definedName>
  </definedNames>
  <calcPr calcId="144525"/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3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10" i="2"/>
  <c r="D11" i="2"/>
  <c r="D12" i="2"/>
  <c r="D13" i="2"/>
  <c r="D14" i="2"/>
  <c r="D15" i="2"/>
  <c r="D16" i="2"/>
  <c r="D17" i="2"/>
  <c r="D18" i="2"/>
  <c r="D19" i="2"/>
  <c r="D20" i="2"/>
  <c r="D21" i="2"/>
  <c r="D5" i="2"/>
  <c r="D6" i="2"/>
  <c r="D7" i="2"/>
  <c r="D8" i="2"/>
  <c r="D9" i="2"/>
  <c r="D4" i="2"/>
  <c r="D3" i="2"/>
  <c r="FU86" i="3"/>
  <c r="FX8" i="3"/>
  <c r="FX9" i="3"/>
  <c r="FX10" i="3"/>
  <c r="FX11" i="3"/>
  <c r="FX12" i="3"/>
  <c r="FX13" i="3"/>
  <c r="FX14" i="3"/>
  <c r="FX15" i="3"/>
  <c r="FX16" i="3"/>
  <c r="FX17" i="3"/>
  <c r="FX18" i="3"/>
  <c r="FX19" i="3"/>
  <c r="FX20" i="3"/>
  <c r="FX21" i="3"/>
  <c r="FX22" i="3"/>
  <c r="FX23" i="3"/>
  <c r="FX24" i="3"/>
  <c r="FX25" i="3"/>
  <c r="FX26" i="3"/>
  <c r="FX27" i="3"/>
  <c r="FX28" i="3"/>
  <c r="FX29" i="3"/>
  <c r="FX30" i="3"/>
  <c r="FX31" i="3"/>
  <c r="FX32" i="3"/>
  <c r="FX33" i="3"/>
  <c r="FX34" i="3"/>
  <c r="FX35" i="3"/>
  <c r="FX36" i="3"/>
  <c r="FX37" i="3"/>
  <c r="FX38" i="3"/>
  <c r="FX39" i="3"/>
  <c r="FX40" i="3"/>
  <c r="FX41" i="3"/>
  <c r="FX42" i="3"/>
  <c r="FX43" i="3"/>
  <c r="FX44" i="3"/>
  <c r="FX45" i="3"/>
  <c r="FX46" i="3"/>
  <c r="FX47" i="3"/>
  <c r="FX48" i="3"/>
  <c r="FX49" i="3"/>
  <c r="FX50" i="3"/>
  <c r="FX51" i="3"/>
  <c r="FX52" i="3"/>
  <c r="FX53" i="3"/>
  <c r="FX54" i="3"/>
  <c r="FX55" i="3"/>
  <c r="FX56" i="3"/>
  <c r="FX57" i="3"/>
  <c r="FX58" i="3"/>
  <c r="FX59" i="3"/>
  <c r="FX60" i="3"/>
  <c r="FX61" i="3"/>
  <c r="FX62" i="3"/>
  <c r="FX63" i="3"/>
  <c r="FX64" i="3"/>
  <c r="FX65" i="3"/>
  <c r="FX66" i="3"/>
  <c r="FX67" i="3"/>
  <c r="FX68" i="3"/>
  <c r="FX69" i="3"/>
  <c r="FX70" i="3"/>
  <c r="FX71" i="3"/>
  <c r="FX72" i="3"/>
  <c r="FX73" i="3"/>
  <c r="FX74" i="3"/>
  <c r="FX75" i="3"/>
  <c r="FX76" i="3"/>
  <c r="FX77" i="3"/>
  <c r="FX78" i="3"/>
  <c r="FX79" i="3"/>
  <c r="FX80" i="3"/>
  <c r="FX81" i="3"/>
  <c r="FX82" i="3"/>
  <c r="FX83" i="3"/>
  <c r="FX84" i="3"/>
  <c r="FX7" i="3"/>
  <c r="FW8" i="3"/>
  <c r="FW9" i="3"/>
  <c r="FW10" i="3"/>
  <c r="FW11" i="3"/>
  <c r="FW12" i="3"/>
  <c r="FW13" i="3"/>
  <c r="FW14" i="3"/>
  <c r="FW15" i="3"/>
  <c r="FW16" i="3"/>
  <c r="FW17" i="3"/>
  <c r="FW18" i="3"/>
  <c r="FW19" i="3"/>
  <c r="FW20" i="3"/>
  <c r="FW21" i="3"/>
  <c r="FW22" i="3"/>
  <c r="FW23" i="3"/>
  <c r="FW24" i="3"/>
  <c r="FW25" i="3"/>
  <c r="FW26" i="3"/>
  <c r="FW27" i="3"/>
  <c r="FW28" i="3"/>
  <c r="FW29" i="3"/>
  <c r="FW30" i="3"/>
  <c r="FW31" i="3"/>
  <c r="FW32" i="3"/>
  <c r="FW33" i="3"/>
  <c r="FW34" i="3"/>
  <c r="FW35" i="3"/>
  <c r="FW36" i="3"/>
  <c r="FW37" i="3"/>
  <c r="FW38" i="3"/>
  <c r="FW39" i="3"/>
  <c r="FW40" i="3"/>
  <c r="FW41" i="3"/>
  <c r="FW42" i="3"/>
  <c r="FW43" i="3"/>
  <c r="FW44" i="3"/>
  <c r="FW45" i="3"/>
  <c r="FW46" i="3"/>
  <c r="FW47" i="3"/>
  <c r="FW48" i="3"/>
  <c r="FW49" i="3"/>
  <c r="FW50" i="3"/>
  <c r="FW51" i="3"/>
  <c r="FW52" i="3"/>
  <c r="FW53" i="3"/>
  <c r="FW54" i="3"/>
  <c r="FW55" i="3"/>
  <c r="FW56" i="3"/>
  <c r="FW57" i="3"/>
  <c r="FW58" i="3"/>
  <c r="FW59" i="3"/>
  <c r="FW60" i="3"/>
  <c r="FW61" i="3"/>
  <c r="FW62" i="3"/>
  <c r="FW63" i="3"/>
  <c r="FW64" i="3"/>
  <c r="FW65" i="3"/>
  <c r="FW66" i="3"/>
  <c r="FW67" i="3"/>
  <c r="FW68" i="3"/>
  <c r="FW69" i="3"/>
  <c r="FW70" i="3"/>
  <c r="FW71" i="3"/>
  <c r="FW72" i="3"/>
  <c r="FW73" i="3"/>
  <c r="FW74" i="3"/>
  <c r="FW75" i="3"/>
  <c r="FW76" i="3"/>
  <c r="FW77" i="3"/>
  <c r="FW78" i="3"/>
  <c r="FW79" i="3"/>
  <c r="FW80" i="3"/>
  <c r="FW81" i="3"/>
  <c r="FW82" i="3"/>
  <c r="FW83" i="3"/>
  <c r="FW84" i="3"/>
  <c r="FW7" i="3"/>
  <c r="FV8" i="3"/>
  <c r="FV9" i="3"/>
  <c r="FV10" i="3"/>
  <c r="FV11" i="3"/>
  <c r="FV12" i="3"/>
  <c r="FV13" i="3"/>
  <c r="FV14" i="3"/>
  <c r="FV15" i="3"/>
  <c r="FV16" i="3"/>
  <c r="FV17" i="3"/>
  <c r="FV18" i="3"/>
  <c r="FV19" i="3"/>
  <c r="FV20" i="3"/>
  <c r="FV21" i="3"/>
  <c r="FV22" i="3"/>
  <c r="FV23" i="3"/>
  <c r="FV24" i="3"/>
  <c r="FV25" i="3"/>
  <c r="FV26" i="3"/>
  <c r="FV27" i="3"/>
  <c r="FV28" i="3"/>
  <c r="FV29" i="3"/>
  <c r="FV30" i="3"/>
  <c r="FV31" i="3"/>
  <c r="FV32" i="3"/>
  <c r="FV33" i="3"/>
  <c r="FV34" i="3"/>
  <c r="FV35" i="3"/>
  <c r="FV36" i="3"/>
  <c r="FV37" i="3"/>
  <c r="FV38" i="3"/>
  <c r="FV39" i="3"/>
  <c r="FV40" i="3"/>
  <c r="FV41" i="3"/>
  <c r="FV42" i="3"/>
  <c r="FV43" i="3"/>
  <c r="FV44" i="3"/>
  <c r="FV45" i="3"/>
  <c r="FV46" i="3"/>
  <c r="FV47" i="3"/>
  <c r="FV48" i="3"/>
  <c r="FV49" i="3"/>
  <c r="FV50" i="3"/>
  <c r="FV51" i="3"/>
  <c r="FV52" i="3"/>
  <c r="FV53" i="3"/>
  <c r="FV54" i="3"/>
  <c r="FV55" i="3"/>
  <c r="FV56" i="3"/>
  <c r="FV57" i="3"/>
  <c r="FV58" i="3"/>
  <c r="FV59" i="3"/>
  <c r="FV60" i="3"/>
  <c r="FV61" i="3"/>
  <c r="FV62" i="3"/>
  <c r="FV63" i="3"/>
  <c r="FV64" i="3"/>
  <c r="FV65" i="3"/>
  <c r="FV66" i="3"/>
  <c r="FV67" i="3"/>
  <c r="FV68" i="3"/>
  <c r="FV69" i="3"/>
  <c r="FV70" i="3"/>
  <c r="FV71" i="3"/>
  <c r="FV72" i="3"/>
  <c r="FV73" i="3"/>
  <c r="FV74" i="3"/>
  <c r="FV75" i="3"/>
  <c r="FV76" i="3"/>
  <c r="FV77" i="3"/>
  <c r="FV78" i="3"/>
  <c r="FV79" i="3"/>
  <c r="FV80" i="3"/>
  <c r="FV81" i="3"/>
  <c r="FV82" i="3"/>
  <c r="FV83" i="3"/>
  <c r="FV84" i="3"/>
  <c r="FV7" i="3"/>
  <c r="FU8" i="3"/>
  <c r="FU9" i="3"/>
  <c r="FU10" i="3"/>
  <c r="FU11" i="3"/>
  <c r="FU12" i="3"/>
  <c r="FU13" i="3"/>
  <c r="FU14" i="3"/>
  <c r="FU15" i="3"/>
  <c r="FU16" i="3"/>
  <c r="FU17" i="3"/>
  <c r="FU18" i="3"/>
  <c r="FU19" i="3"/>
  <c r="FU20" i="3"/>
  <c r="FU21" i="3"/>
  <c r="FU22" i="3"/>
  <c r="FU23" i="3"/>
  <c r="FU24" i="3"/>
  <c r="FU25" i="3"/>
  <c r="FU26" i="3"/>
  <c r="FU27" i="3"/>
  <c r="FU28" i="3"/>
  <c r="FU29" i="3"/>
  <c r="FU30" i="3"/>
  <c r="FU31" i="3"/>
  <c r="FU32" i="3"/>
  <c r="FU33" i="3"/>
  <c r="FU34" i="3"/>
  <c r="FU35" i="3"/>
  <c r="FU36" i="3"/>
  <c r="FU37" i="3"/>
  <c r="FU38" i="3"/>
  <c r="FU39" i="3"/>
  <c r="FU40" i="3"/>
  <c r="FU41" i="3"/>
  <c r="FU42" i="3"/>
  <c r="FU43" i="3"/>
  <c r="FU44" i="3"/>
  <c r="FU45" i="3"/>
  <c r="FU46" i="3"/>
  <c r="FU47" i="3"/>
  <c r="FU48" i="3"/>
  <c r="FU49" i="3"/>
  <c r="FU50" i="3"/>
  <c r="FU51" i="3"/>
  <c r="FU52" i="3"/>
  <c r="FU53" i="3"/>
  <c r="FU54" i="3"/>
  <c r="FU55" i="3"/>
  <c r="FU56" i="3"/>
  <c r="FU57" i="3"/>
  <c r="FU58" i="3"/>
  <c r="FU59" i="3"/>
  <c r="FU60" i="3"/>
  <c r="FU61" i="3"/>
  <c r="FU62" i="3"/>
  <c r="FU63" i="3"/>
  <c r="FU64" i="3"/>
  <c r="FU65" i="3"/>
  <c r="FU66" i="3"/>
  <c r="FU67" i="3"/>
  <c r="FU68" i="3"/>
  <c r="FU69" i="3"/>
  <c r="FU70" i="3"/>
  <c r="FU71" i="3"/>
  <c r="FU72" i="3"/>
  <c r="FU73" i="3"/>
  <c r="FU74" i="3"/>
  <c r="FU75" i="3"/>
  <c r="FU76" i="3"/>
  <c r="FU77" i="3"/>
  <c r="FU78" i="3"/>
  <c r="FU79" i="3"/>
  <c r="FU80" i="3"/>
  <c r="FU81" i="3"/>
  <c r="FU82" i="3"/>
  <c r="FU83" i="3"/>
  <c r="FU84" i="3"/>
  <c r="FU7" i="3"/>
  <c r="FW86" i="3"/>
  <c r="OT94" i="1"/>
  <c r="OT93" i="1"/>
  <c r="OV86" i="1"/>
  <c r="OJ88" i="1"/>
  <c r="OT88" i="1"/>
  <c r="OT87" i="1"/>
  <c r="OT86" i="1"/>
  <c r="OJ86" i="1"/>
  <c r="OV11" i="1"/>
  <c r="OL11" i="1"/>
  <c r="OU12" i="1"/>
  <c r="OU13" i="1"/>
  <c r="OU14" i="1"/>
  <c r="OU15" i="1"/>
  <c r="OU16" i="1"/>
  <c r="OU17" i="1"/>
  <c r="OU18" i="1"/>
  <c r="OU19" i="1"/>
  <c r="OU20" i="1"/>
  <c r="OU21" i="1"/>
  <c r="OU22" i="1"/>
  <c r="OU23" i="1"/>
  <c r="OU24" i="1"/>
  <c r="OU25" i="1"/>
  <c r="OU26" i="1"/>
  <c r="OU27" i="1"/>
  <c r="OU28" i="1"/>
  <c r="OU29" i="1"/>
  <c r="OU30" i="1"/>
  <c r="OU31" i="1"/>
  <c r="OU32" i="1"/>
  <c r="OU33" i="1"/>
  <c r="OU34" i="1"/>
  <c r="OU35" i="1"/>
  <c r="OU36" i="1"/>
  <c r="OU37" i="1"/>
  <c r="OU38" i="1"/>
  <c r="OU39" i="1"/>
  <c r="OU40" i="1"/>
  <c r="OU41" i="1"/>
  <c r="OU42" i="1"/>
  <c r="OU43" i="1"/>
  <c r="OU44" i="1"/>
  <c r="OU45" i="1"/>
  <c r="OU46" i="1"/>
  <c r="OU47" i="1"/>
  <c r="OU48" i="1"/>
  <c r="OU49" i="1"/>
  <c r="OU50" i="1"/>
  <c r="OU51" i="1"/>
  <c r="OU52" i="1"/>
  <c r="OU53" i="1"/>
  <c r="OU54" i="1"/>
  <c r="OU55" i="1"/>
  <c r="OU56" i="1"/>
  <c r="OU57" i="1"/>
  <c r="OU58" i="1"/>
  <c r="OU59" i="1"/>
  <c r="OU60" i="1"/>
  <c r="OU61" i="1"/>
  <c r="OU62" i="1"/>
  <c r="OU63" i="1"/>
  <c r="OU64" i="1"/>
  <c r="OU65" i="1"/>
  <c r="OU66" i="1"/>
  <c r="OU67" i="1"/>
  <c r="OU68" i="1"/>
  <c r="OU69" i="1"/>
  <c r="OU70" i="1"/>
  <c r="OU71" i="1"/>
  <c r="OU72" i="1"/>
  <c r="OU73" i="1"/>
  <c r="OU74" i="1"/>
  <c r="OU75" i="1"/>
  <c r="OU76" i="1"/>
  <c r="OU77" i="1"/>
  <c r="OU78" i="1"/>
  <c r="OU79" i="1"/>
  <c r="OU80" i="1"/>
  <c r="OU81" i="1"/>
  <c r="OU11" i="1"/>
  <c r="OK11" i="1"/>
  <c r="OT81" i="1"/>
  <c r="OV81" i="1" s="1"/>
  <c r="OT77" i="1"/>
  <c r="OV77" i="1" s="1"/>
  <c r="OT78" i="1"/>
  <c r="OT79" i="1"/>
  <c r="OT80" i="1"/>
  <c r="OT76" i="1"/>
  <c r="OT68" i="1"/>
  <c r="OT69" i="1"/>
  <c r="OT70" i="1"/>
  <c r="OT71" i="1"/>
  <c r="OT72" i="1"/>
  <c r="OT73" i="1"/>
  <c r="OT74" i="1"/>
  <c r="OT75" i="1"/>
  <c r="OV78" i="1"/>
  <c r="OT67" i="1"/>
  <c r="OT62" i="1"/>
  <c r="OT63" i="1"/>
  <c r="OT64" i="1"/>
  <c r="OT65" i="1"/>
  <c r="OT66" i="1"/>
  <c r="OV80" i="1"/>
  <c r="OT61" i="1"/>
  <c r="OT49" i="1"/>
  <c r="OT50" i="1"/>
  <c r="OT51" i="1"/>
  <c r="OT52" i="1"/>
  <c r="OT53" i="1"/>
  <c r="OT54" i="1"/>
  <c r="OT55" i="1"/>
  <c r="OT56" i="1"/>
  <c r="OT57" i="1"/>
  <c r="OT58" i="1"/>
  <c r="OT59" i="1"/>
  <c r="OT60" i="1"/>
  <c r="OT48" i="1"/>
  <c r="OT29" i="1"/>
  <c r="OT30" i="1"/>
  <c r="OT31" i="1"/>
  <c r="OT32" i="1"/>
  <c r="OT33" i="1"/>
  <c r="OT34" i="1"/>
  <c r="OT35" i="1"/>
  <c r="OT36" i="1"/>
  <c r="OT37" i="1"/>
  <c r="OT38" i="1"/>
  <c r="OT39" i="1"/>
  <c r="OT40" i="1"/>
  <c r="OT41" i="1"/>
  <c r="OT42" i="1"/>
  <c r="OT43" i="1"/>
  <c r="OT44" i="1"/>
  <c r="OT45" i="1"/>
  <c r="OT46" i="1"/>
  <c r="OT47" i="1"/>
  <c r="OV79" i="1"/>
  <c r="OT28" i="1"/>
  <c r="OT12" i="1"/>
  <c r="OT13" i="1"/>
  <c r="OT14" i="1"/>
  <c r="OT15" i="1"/>
  <c r="OT16" i="1"/>
  <c r="OT17" i="1"/>
  <c r="OT18" i="1"/>
  <c r="OT19" i="1"/>
  <c r="OT20" i="1"/>
  <c r="OT21" i="1"/>
  <c r="OT22" i="1"/>
  <c r="OT23" i="1"/>
  <c r="OT24" i="1"/>
  <c r="OT25" i="1"/>
  <c r="OT26" i="1"/>
  <c r="OT27" i="1"/>
  <c r="OT11" i="1"/>
  <c r="OS81" i="1"/>
  <c r="OS77" i="1"/>
  <c r="OS78" i="1"/>
  <c r="OS79" i="1"/>
  <c r="OS80" i="1"/>
  <c r="OS76" i="1"/>
  <c r="OS68" i="1"/>
  <c r="OS69" i="1"/>
  <c r="OS70" i="1"/>
  <c r="OS71" i="1"/>
  <c r="OS72" i="1"/>
  <c r="OS73" i="1"/>
  <c r="OS74" i="1"/>
  <c r="OS75" i="1"/>
  <c r="OS67" i="1"/>
  <c r="OS62" i="1"/>
  <c r="OS63" i="1"/>
  <c r="OS64" i="1"/>
  <c r="OS65" i="1"/>
  <c r="OS66" i="1"/>
  <c r="OS61" i="1"/>
  <c r="OS49" i="1"/>
  <c r="OS50" i="1"/>
  <c r="OS51" i="1"/>
  <c r="OS52" i="1"/>
  <c r="OS53" i="1"/>
  <c r="OS54" i="1"/>
  <c r="OS55" i="1"/>
  <c r="OS56" i="1"/>
  <c r="OS57" i="1"/>
  <c r="OS58" i="1"/>
  <c r="OS59" i="1"/>
  <c r="OS60" i="1"/>
  <c r="OS48" i="1"/>
  <c r="OS29" i="1"/>
  <c r="OS30" i="1"/>
  <c r="OS31" i="1"/>
  <c r="OS32" i="1"/>
  <c r="OS33" i="1"/>
  <c r="OS34" i="1"/>
  <c r="OS35" i="1"/>
  <c r="OS36" i="1"/>
  <c r="OS37" i="1"/>
  <c r="OS38" i="1"/>
  <c r="OS39" i="1"/>
  <c r="OS40" i="1"/>
  <c r="OS41" i="1"/>
  <c r="OS42" i="1"/>
  <c r="OS43" i="1"/>
  <c r="OS44" i="1"/>
  <c r="OS45" i="1"/>
  <c r="OS46" i="1"/>
  <c r="OS47" i="1"/>
  <c r="OS28" i="1"/>
  <c r="OS12" i="1"/>
  <c r="OS13" i="1"/>
  <c r="OS14" i="1"/>
  <c r="OS15" i="1"/>
  <c r="OS16" i="1"/>
  <c r="OS17" i="1"/>
  <c r="OS18" i="1"/>
  <c r="OS19" i="1"/>
  <c r="OS20" i="1"/>
  <c r="OS21" i="1"/>
  <c r="OS22" i="1"/>
  <c r="OS23" i="1"/>
  <c r="OS24" i="1"/>
  <c r="OS25" i="1"/>
  <c r="OS26" i="1"/>
  <c r="OS27" i="1"/>
  <c r="OS11" i="1"/>
  <c r="OR81" i="1"/>
  <c r="OW81" i="1" s="1"/>
  <c r="OR77" i="1"/>
  <c r="OR78" i="1"/>
  <c r="OW78" i="1" s="1"/>
  <c r="OR79" i="1"/>
  <c r="OR80" i="1"/>
  <c r="OR76" i="1"/>
  <c r="OW76" i="1" s="1"/>
  <c r="OR68" i="1"/>
  <c r="OR69" i="1"/>
  <c r="OR70" i="1"/>
  <c r="OR71" i="1"/>
  <c r="OR72" i="1"/>
  <c r="OR73" i="1"/>
  <c r="OR74" i="1"/>
  <c r="OR75" i="1"/>
  <c r="OR67" i="1"/>
  <c r="OR62" i="1"/>
  <c r="OR63" i="1"/>
  <c r="OR64" i="1"/>
  <c r="OR65" i="1"/>
  <c r="OR66" i="1"/>
  <c r="OR61" i="1"/>
  <c r="OW61" i="1" s="1"/>
  <c r="OR49" i="1"/>
  <c r="OR50" i="1"/>
  <c r="OR51" i="1"/>
  <c r="OR52" i="1"/>
  <c r="OR53" i="1"/>
  <c r="OR54" i="1"/>
  <c r="OR55" i="1"/>
  <c r="OR56" i="1"/>
  <c r="OR57" i="1"/>
  <c r="OR58" i="1"/>
  <c r="OR59" i="1"/>
  <c r="OR60" i="1"/>
  <c r="OR48" i="1"/>
  <c r="OW48" i="1" s="1"/>
  <c r="OR29" i="1"/>
  <c r="OR30" i="1"/>
  <c r="OR31" i="1"/>
  <c r="OR32" i="1"/>
  <c r="OR33" i="1"/>
  <c r="OR34" i="1"/>
  <c r="OR35" i="1"/>
  <c r="OR36" i="1"/>
  <c r="OR37" i="1"/>
  <c r="OR38" i="1"/>
  <c r="OR39" i="1"/>
  <c r="OR40" i="1"/>
  <c r="OR41" i="1"/>
  <c r="OR42" i="1"/>
  <c r="OR43" i="1"/>
  <c r="OR44" i="1"/>
  <c r="OR45" i="1"/>
  <c r="OR46" i="1"/>
  <c r="OR47" i="1"/>
  <c r="OW71" i="1"/>
  <c r="OW75" i="1"/>
  <c r="OW79" i="1"/>
  <c r="OR28" i="1"/>
  <c r="OW28" i="1" s="1"/>
  <c r="OR12" i="1"/>
  <c r="OR13" i="1"/>
  <c r="OR14" i="1"/>
  <c r="OR15" i="1"/>
  <c r="OR16" i="1"/>
  <c r="OR17" i="1"/>
  <c r="OR18" i="1"/>
  <c r="OR19" i="1"/>
  <c r="OR20" i="1"/>
  <c r="OR21" i="1"/>
  <c r="OR22" i="1"/>
  <c r="OR23" i="1"/>
  <c r="OR24" i="1"/>
  <c r="OR25" i="1"/>
  <c r="OR26" i="1"/>
  <c r="OR27" i="1"/>
  <c r="OR11" i="1"/>
  <c r="OW80" i="1"/>
  <c r="OV76" i="1"/>
  <c r="OV75" i="1"/>
  <c r="OW74" i="1"/>
  <c r="OV74" i="1"/>
  <c r="OV73" i="1"/>
  <c r="OW72" i="1"/>
  <c r="OV72" i="1"/>
  <c r="OV71" i="1"/>
  <c r="OW70" i="1"/>
  <c r="OV70" i="1"/>
  <c r="OV69" i="1"/>
  <c r="OW68" i="1"/>
  <c r="OV68" i="1"/>
  <c r="OV67" i="1"/>
  <c r="OW66" i="1"/>
  <c r="OV66" i="1"/>
  <c r="OW65" i="1"/>
  <c r="OV65" i="1"/>
  <c r="OW64" i="1"/>
  <c r="OV64" i="1"/>
  <c r="OW63" i="1"/>
  <c r="OV63" i="1"/>
  <c r="OW62" i="1"/>
  <c r="OV62" i="1"/>
  <c r="OV61" i="1"/>
  <c r="OW60" i="1"/>
  <c r="OV60" i="1"/>
  <c r="OW59" i="1"/>
  <c r="OV59" i="1"/>
  <c r="OW58" i="1"/>
  <c r="OV58" i="1"/>
  <c r="OW57" i="1"/>
  <c r="OV57" i="1"/>
  <c r="OW56" i="1"/>
  <c r="OV56" i="1"/>
  <c r="OW55" i="1"/>
  <c r="OV55" i="1"/>
  <c r="OW54" i="1"/>
  <c r="OV54" i="1"/>
  <c r="OW53" i="1"/>
  <c r="OV53" i="1"/>
  <c r="OW52" i="1"/>
  <c r="OV52" i="1"/>
  <c r="OW51" i="1"/>
  <c r="OV51" i="1"/>
  <c r="OW50" i="1"/>
  <c r="OV50" i="1"/>
  <c r="OW49" i="1"/>
  <c r="OV49" i="1"/>
  <c r="OV48" i="1"/>
  <c r="OW47" i="1"/>
  <c r="OV47" i="1"/>
  <c r="OW46" i="1"/>
  <c r="OV46" i="1"/>
  <c r="OW45" i="1"/>
  <c r="OV45" i="1"/>
  <c r="OW44" i="1"/>
  <c r="OV44" i="1"/>
  <c r="OW43" i="1"/>
  <c r="OV43" i="1"/>
  <c r="OW42" i="1"/>
  <c r="OV42" i="1"/>
  <c r="OW41" i="1"/>
  <c r="OV41" i="1"/>
  <c r="OW40" i="1"/>
  <c r="OV40" i="1"/>
  <c r="OW39" i="1"/>
  <c r="OV39" i="1"/>
  <c r="OW38" i="1"/>
  <c r="OV38" i="1"/>
  <c r="OW37" i="1"/>
  <c r="OV37" i="1"/>
  <c r="OW36" i="1"/>
  <c r="OV36" i="1"/>
  <c r="OW35" i="1"/>
  <c r="OV35" i="1"/>
  <c r="OW34" i="1"/>
  <c r="OV34" i="1"/>
  <c r="OW33" i="1"/>
  <c r="OV33" i="1"/>
  <c r="OW32" i="1"/>
  <c r="OV32" i="1"/>
  <c r="OW31" i="1"/>
  <c r="OV31" i="1"/>
  <c r="OW30" i="1"/>
  <c r="OV30" i="1"/>
  <c r="OW29" i="1"/>
  <c r="OV29" i="1"/>
  <c r="OV28" i="1"/>
  <c r="OW27" i="1"/>
  <c r="OV27" i="1"/>
  <c r="OW26" i="1"/>
  <c r="OV26" i="1"/>
  <c r="OW25" i="1"/>
  <c r="OV25" i="1"/>
  <c r="OW24" i="1"/>
  <c r="OV24" i="1"/>
  <c r="OW23" i="1"/>
  <c r="OV23" i="1"/>
  <c r="OW22" i="1"/>
  <c r="OV22" i="1"/>
  <c r="OW21" i="1"/>
  <c r="OV21" i="1"/>
  <c r="OW20" i="1"/>
  <c r="OV20" i="1"/>
  <c r="OW19" i="1"/>
  <c r="OV19" i="1"/>
  <c r="OW18" i="1"/>
  <c r="OV18" i="1"/>
  <c r="OW17" i="1"/>
  <c r="OV17" i="1"/>
  <c r="OW16" i="1"/>
  <c r="OV16" i="1"/>
  <c r="OW15" i="1"/>
  <c r="OV15" i="1"/>
  <c r="OW14" i="1"/>
  <c r="OV14" i="1"/>
  <c r="OW13" i="1"/>
  <c r="OV13" i="1"/>
  <c r="OW12" i="1"/>
  <c r="OV12" i="1"/>
  <c r="OU10" i="1"/>
  <c r="OU9" i="1"/>
  <c r="FX86" i="3" l="1"/>
  <c r="OU93" i="1"/>
  <c r="OT90" i="1"/>
  <c r="OW67" i="1"/>
  <c r="OW69" i="1"/>
  <c r="OW73" i="1"/>
  <c r="OW77" i="1"/>
  <c r="OW11" i="1"/>
  <c r="FQ86" i="3"/>
  <c r="FN86" i="3"/>
  <c r="OJ94" i="1"/>
  <c r="OJ93" i="1"/>
  <c r="OJ87" i="1"/>
  <c r="OU94" i="1" l="1"/>
  <c r="FP86" i="3"/>
  <c r="OL80" i="1"/>
  <c r="OL76" i="1"/>
  <c r="OL68" i="1"/>
  <c r="OL72" i="1"/>
  <c r="OL67" i="1"/>
  <c r="OL79" i="1"/>
  <c r="OL61" i="1"/>
  <c r="OL69" i="1"/>
  <c r="OL77" i="1"/>
  <c r="OL53" i="1"/>
  <c r="OL57" i="1"/>
  <c r="OL65" i="1"/>
  <c r="OL73" i="1"/>
  <c r="OL81" i="1"/>
  <c r="OM75" i="1"/>
  <c r="OM67" i="1"/>
  <c r="OK65" i="1"/>
  <c r="OK69" i="1"/>
  <c r="OM71" i="1"/>
  <c r="OK73" i="1"/>
  <c r="OK77" i="1"/>
  <c r="OM79" i="1"/>
  <c r="OK81" i="1"/>
  <c r="OM28" i="1"/>
  <c r="OM80" i="1"/>
  <c r="OK80" i="1"/>
  <c r="OM78" i="1"/>
  <c r="OL78" i="1"/>
  <c r="OK78" i="1"/>
  <c r="OM76" i="1"/>
  <c r="OK76" i="1"/>
  <c r="OL75" i="1"/>
  <c r="OM74" i="1"/>
  <c r="OL74" i="1"/>
  <c r="OK74" i="1"/>
  <c r="OM72" i="1"/>
  <c r="OK72" i="1"/>
  <c r="OL71" i="1"/>
  <c r="OM70" i="1"/>
  <c r="OL70" i="1"/>
  <c r="OK70" i="1"/>
  <c r="OM68" i="1"/>
  <c r="OK68" i="1"/>
  <c r="OM66" i="1"/>
  <c r="OL66" i="1"/>
  <c r="OK66" i="1"/>
  <c r="OM64" i="1"/>
  <c r="OL64" i="1"/>
  <c r="OK64" i="1"/>
  <c r="OM63" i="1"/>
  <c r="OL63" i="1"/>
  <c r="OK63" i="1"/>
  <c r="OM62" i="1"/>
  <c r="OL62" i="1"/>
  <c r="OK62" i="1"/>
  <c r="OM61" i="1"/>
  <c r="OK61" i="1"/>
  <c r="OM60" i="1"/>
  <c r="OL60" i="1"/>
  <c r="OK60" i="1"/>
  <c r="OM59" i="1"/>
  <c r="OL59" i="1"/>
  <c r="OK59" i="1"/>
  <c r="OM58" i="1"/>
  <c r="OL58" i="1"/>
  <c r="OK58" i="1"/>
  <c r="OM57" i="1"/>
  <c r="OK57" i="1"/>
  <c r="OM56" i="1"/>
  <c r="OL56" i="1"/>
  <c r="OK56" i="1"/>
  <c r="OM55" i="1"/>
  <c r="OL55" i="1"/>
  <c r="OK55" i="1"/>
  <c r="OM54" i="1"/>
  <c r="OL54" i="1"/>
  <c r="OK54" i="1"/>
  <c r="OM53" i="1"/>
  <c r="OK53" i="1"/>
  <c r="OM52" i="1"/>
  <c r="OL52" i="1"/>
  <c r="OK52" i="1"/>
  <c r="OM51" i="1"/>
  <c r="OL51" i="1"/>
  <c r="OK51" i="1"/>
  <c r="OM50" i="1"/>
  <c r="OL50" i="1"/>
  <c r="OK50" i="1"/>
  <c r="OM49" i="1"/>
  <c r="OL49" i="1"/>
  <c r="OK49" i="1"/>
  <c r="OM48" i="1"/>
  <c r="OL48" i="1"/>
  <c r="OK48" i="1"/>
  <c r="OM47" i="1"/>
  <c r="OL47" i="1"/>
  <c r="OK47" i="1"/>
  <c r="OM46" i="1"/>
  <c r="OL46" i="1"/>
  <c r="OK46" i="1"/>
  <c r="OM45" i="1"/>
  <c r="OL45" i="1"/>
  <c r="OK45" i="1"/>
  <c r="OM44" i="1"/>
  <c r="OL44" i="1"/>
  <c r="OK44" i="1"/>
  <c r="OM43" i="1"/>
  <c r="OL43" i="1"/>
  <c r="OK43" i="1"/>
  <c r="OM42" i="1"/>
  <c r="OL42" i="1"/>
  <c r="OK42" i="1"/>
  <c r="OM41" i="1"/>
  <c r="OL41" i="1"/>
  <c r="OK41" i="1"/>
  <c r="OM40" i="1"/>
  <c r="OL40" i="1"/>
  <c r="OK40" i="1"/>
  <c r="OM39" i="1"/>
  <c r="OL39" i="1"/>
  <c r="OK39" i="1"/>
  <c r="OM38" i="1"/>
  <c r="OL38" i="1"/>
  <c r="OK38" i="1"/>
  <c r="OM37" i="1"/>
  <c r="OL37" i="1"/>
  <c r="OK37" i="1"/>
  <c r="OM36" i="1"/>
  <c r="OL36" i="1"/>
  <c r="OK36" i="1"/>
  <c r="OM35" i="1"/>
  <c r="OL35" i="1"/>
  <c r="OK35" i="1"/>
  <c r="OM34" i="1"/>
  <c r="OL34" i="1"/>
  <c r="OK34" i="1"/>
  <c r="OM33" i="1"/>
  <c r="OL33" i="1"/>
  <c r="OK33" i="1"/>
  <c r="OM32" i="1"/>
  <c r="OL32" i="1"/>
  <c r="OK32" i="1"/>
  <c r="OM31" i="1"/>
  <c r="OL31" i="1"/>
  <c r="OK31" i="1"/>
  <c r="OM30" i="1"/>
  <c r="OL30" i="1"/>
  <c r="OK30" i="1"/>
  <c r="OM29" i="1"/>
  <c r="OL29" i="1"/>
  <c r="OK29" i="1"/>
  <c r="OL28" i="1"/>
  <c r="OM27" i="1"/>
  <c r="OL27" i="1"/>
  <c r="OK27" i="1"/>
  <c r="OM26" i="1"/>
  <c r="OL26" i="1"/>
  <c r="OK26" i="1"/>
  <c r="OM25" i="1"/>
  <c r="OL25" i="1"/>
  <c r="OK25" i="1"/>
  <c r="OM24" i="1"/>
  <c r="OL24" i="1"/>
  <c r="OK24" i="1"/>
  <c r="OM23" i="1"/>
  <c r="OL23" i="1"/>
  <c r="OK23" i="1"/>
  <c r="OM22" i="1"/>
  <c r="OL22" i="1"/>
  <c r="OK22" i="1"/>
  <c r="OM21" i="1"/>
  <c r="OL21" i="1"/>
  <c r="OK21" i="1"/>
  <c r="OM20" i="1"/>
  <c r="OL20" i="1"/>
  <c r="OK20" i="1"/>
  <c r="OM19" i="1"/>
  <c r="OL19" i="1"/>
  <c r="OK19" i="1"/>
  <c r="OM18" i="1"/>
  <c r="OL18" i="1"/>
  <c r="OK18" i="1"/>
  <c r="OM17" i="1"/>
  <c r="OL17" i="1"/>
  <c r="OK17" i="1"/>
  <c r="OM16" i="1"/>
  <c r="OL16" i="1"/>
  <c r="OK16" i="1"/>
  <c r="OM15" i="1"/>
  <c r="OL15" i="1"/>
  <c r="OK15" i="1"/>
  <c r="OM14" i="1"/>
  <c r="OL14" i="1"/>
  <c r="OK14" i="1"/>
  <c r="OM13" i="1"/>
  <c r="OL13" i="1"/>
  <c r="OK13" i="1"/>
  <c r="OM12" i="1"/>
  <c r="OL12" i="1"/>
  <c r="OK12" i="1"/>
  <c r="OK10" i="1"/>
  <c r="OK9" i="1"/>
  <c r="OL86" i="1" l="1"/>
  <c r="OK93" i="1" s="1"/>
  <c r="OK94" i="1"/>
  <c r="OM65" i="1"/>
  <c r="OK67" i="1"/>
  <c r="OM69" i="1"/>
  <c r="OK71" i="1"/>
  <c r="OM73" i="1"/>
  <c r="OK75" i="1"/>
  <c r="OM77" i="1"/>
  <c r="OK79" i="1"/>
  <c r="OM81" i="1"/>
  <c r="OK28" i="1"/>
  <c r="OM11" i="1"/>
  <c r="OJ90" i="1"/>
  <c r="FJ86" i="3"/>
  <c r="FI86" i="3"/>
  <c r="FG86" i="3"/>
  <c r="NZ94" i="1"/>
  <c r="NZ93" i="1"/>
  <c r="NR86" i="1"/>
  <c r="NP88" i="1"/>
  <c r="NZ87" i="1"/>
  <c r="NZ86" i="1"/>
  <c r="NZ88" i="1" s="1"/>
  <c r="NZ90" i="1" s="1"/>
  <c r="OC11" i="1"/>
  <c r="NP86" i="1"/>
  <c r="OB84" i="1"/>
  <c r="OB76" i="1"/>
  <c r="OB71" i="1"/>
  <c r="OB75" i="1"/>
  <c r="OB83" i="1"/>
  <c r="OB65" i="1"/>
  <c r="OB69" i="1"/>
  <c r="OB73" i="1"/>
  <c r="OB77" i="1"/>
  <c r="OB80" i="1"/>
  <c r="OB81" i="1"/>
  <c r="OB85" i="1"/>
  <c r="OB61" i="1"/>
  <c r="OB51" i="1"/>
  <c r="OB53" i="1"/>
  <c r="OB57" i="1"/>
  <c r="OB67" i="1"/>
  <c r="OB79" i="1"/>
  <c r="OB48" i="1"/>
  <c r="OB33" i="1"/>
  <c r="OB41" i="1"/>
  <c r="OB47" i="1"/>
  <c r="OB49" i="1"/>
  <c r="OB59" i="1"/>
  <c r="OB15" i="1"/>
  <c r="OB19" i="1"/>
  <c r="OB23" i="1"/>
  <c r="OB27" i="1"/>
  <c r="OB31" i="1"/>
  <c r="OB35" i="1"/>
  <c r="OB39" i="1"/>
  <c r="OB43" i="1"/>
  <c r="OB63" i="1"/>
  <c r="OA84" i="1"/>
  <c r="OA85" i="1"/>
  <c r="OA81" i="1"/>
  <c r="OA77" i="1"/>
  <c r="OA83" i="1"/>
  <c r="OA76" i="1"/>
  <c r="OA71" i="1"/>
  <c r="OC75" i="1"/>
  <c r="OC79" i="1"/>
  <c r="OC62" i="1"/>
  <c r="OC64" i="1"/>
  <c r="OA70" i="1"/>
  <c r="OC72" i="1"/>
  <c r="OA78" i="1"/>
  <c r="OA82" i="1"/>
  <c r="OA61" i="1"/>
  <c r="OC52" i="1"/>
  <c r="OC56" i="1"/>
  <c r="OC60" i="1"/>
  <c r="OC68" i="1"/>
  <c r="OA80" i="1"/>
  <c r="OC28" i="1"/>
  <c r="OA11" i="1"/>
  <c r="OB82" i="1"/>
  <c r="OA79" i="1"/>
  <c r="OB78" i="1"/>
  <c r="OC77" i="1"/>
  <c r="OC74" i="1"/>
  <c r="OB74" i="1"/>
  <c r="OA74" i="1"/>
  <c r="OC73" i="1"/>
  <c r="OA73" i="1"/>
  <c r="OB72" i="1"/>
  <c r="OB70" i="1"/>
  <c r="OC69" i="1"/>
  <c r="OA69" i="1"/>
  <c r="OB68" i="1"/>
  <c r="OA68" i="1"/>
  <c r="OC66" i="1"/>
  <c r="OB66" i="1"/>
  <c r="OA66" i="1"/>
  <c r="OC65" i="1"/>
  <c r="OA65" i="1"/>
  <c r="OB64" i="1"/>
  <c r="OC63" i="1"/>
  <c r="OA63" i="1"/>
  <c r="OB62" i="1"/>
  <c r="OB60" i="1"/>
  <c r="OA60" i="1"/>
  <c r="OC59" i="1"/>
  <c r="OA59" i="1"/>
  <c r="OC58" i="1"/>
  <c r="OB58" i="1"/>
  <c r="OA58" i="1"/>
  <c r="OC57" i="1"/>
  <c r="OA57" i="1"/>
  <c r="OB56" i="1"/>
  <c r="OA56" i="1"/>
  <c r="OC55" i="1"/>
  <c r="OB55" i="1"/>
  <c r="OA55" i="1"/>
  <c r="OC54" i="1"/>
  <c r="OB54" i="1"/>
  <c r="OA54" i="1"/>
  <c r="OC53" i="1"/>
  <c r="OA53" i="1"/>
  <c r="OB52" i="1"/>
  <c r="OA52" i="1"/>
  <c r="OC51" i="1"/>
  <c r="OA51" i="1"/>
  <c r="OC50" i="1"/>
  <c r="OB50" i="1"/>
  <c r="OA50" i="1"/>
  <c r="OC49" i="1"/>
  <c r="OA49" i="1"/>
  <c r="OC48" i="1"/>
  <c r="OA48" i="1"/>
  <c r="OC47" i="1"/>
  <c r="OA47" i="1"/>
  <c r="OC46" i="1"/>
  <c r="OB46" i="1"/>
  <c r="OA46" i="1"/>
  <c r="OC45" i="1"/>
  <c r="OB45" i="1"/>
  <c r="OA45" i="1"/>
  <c r="OC44" i="1"/>
  <c r="OB44" i="1"/>
  <c r="OA44" i="1"/>
  <c r="OC43" i="1"/>
  <c r="OA43" i="1"/>
  <c r="OC42" i="1"/>
  <c r="OB42" i="1"/>
  <c r="OA42" i="1"/>
  <c r="OC41" i="1"/>
  <c r="OA41" i="1"/>
  <c r="OC40" i="1"/>
  <c r="OB40" i="1"/>
  <c r="OA40" i="1"/>
  <c r="OC39" i="1"/>
  <c r="OA39" i="1"/>
  <c r="OC38" i="1"/>
  <c r="OB38" i="1"/>
  <c r="OA38" i="1"/>
  <c r="OC37" i="1"/>
  <c r="OB37" i="1"/>
  <c r="OA37" i="1"/>
  <c r="OC36" i="1"/>
  <c r="OB36" i="1"/>
  <c r="OA36" i="1"/>
  <c r="OC35" i="1"/>
  <c r="OA35" i="1"/>
  <c r="OC34" i="1"/>
  <c r="OB34" i="1"/>
  <c r="OA34" i="1"/>
  <c r="OC33" i="1"/>
  <c r="OA33" i="1"/>
  <c r="OC32" i="1"/>
  <c r="OB32" i="1"/>
  <c r="OA32" i="1"/>
  <c r="OC31" i="1"/>
  <c r="OA31" i="1"/>
  <c r="OC30" i="1"/>
  <c r="OB30" i="1"/>
  <c r="OA30" i="1"/>
  <c r="OC29" i="1"/>
  <c r="OB29" i="1"/>
  <c r="OA29" i="1"/>
  <c r="OB28" i="1"/>
  <c r="OC27" i="1"/>
  <c r="OA27" i="1"/>
  <c r="OC26" i="1"/>
  <c r="OB26" i="1"/>
  <c r="OA26" i="1"/>
  <c r="OC25" i="1"/>
  <c r="OB25" i="1"/>
  <c r="OA25" i="1"/>
  <c r="OC24" i="1"/>
  <c r="OB24" i="1"/>
  <c r="OA24" i="1"/>
  <c r="OC23" i="1"/>
  <c r="OA23" i="1"/>
  <c r="OC22" i="1"/>
  <c r="OB22" i="1"/>
  <c r="OA22" i="1"/>
  <c r="OC21" i="1"/>
  <c r="OB21" i="1"/>
  <c r="OA21" i="1"/>
  <c r="OC20" i="1"/>
  <c r="OB20" i="1"/>
  <c r="OA20" i="1"/>
  <c r="OC19" i="1"/>
  <c r="OA19" i="1"/>
  <c r="OC18" i="1"/>
  <c r="OB18" i="1"/>
  <c r="OA18" i="1"/>
  <c r="OC17" i="1"/>
  <c r="OB17" i="1"/>
  <c r="OA17" i="1"/>
  <c r="OC16" i="1"/>
  <c r="OB16" i="1"/>
  <c r="OA16" i="1"/>
  <c r="OC15" i="1"/>
  <c r="OA15" i="1"/>
  <c r="OC14" i="1"/>
  <c r="OB14" i="1"/>
  <c r="OA14" i="1"/>
  <c r="OC13" i="1"/>
  <c r="OB13" i="1"/>
  <c r="OA13" i="1"/>
  <c r="OC12" i="1"/>
  <c r="OB12" i="1"/>
  <c r="OA12" i="1"/>
  <c r="OB11" i="1"/>
  <c r="OB86" i="1" s="1"/>
  <c r="OA93" i="1" s="1"/>
  <c r="OA10" i="1"/>
  <c r="OA9" i="1"/>
  <c r="NQ82" i="1"/>
  <c r="NR83" i="1"/>
  <c r="NR84" i="1"/>
  <c r="NR85" i="1"/>
  <c r="NQ83" i="1"/>
  <c r="NQ84" i="1"/>
  <c r="NQ85" i="1"/>
  <c r="NR82" i="1"/>
  <c r="NH82" i="1"/>
  <c r="NG82" i="1"/>
  <c r="OA94" i="1" l="1"/>
  <c r="OC71" i="1"/>
  <c r="OA75" i="1"/>
  <c r="OC67" i="1"/>
  <c r="OA67" i="1"/>
  <c r="OA62" i="1"/>
  <c r="OC70" i="1"/>
  <c r="OA72" i="1"/>
  <c r="OC78" i="1"/>
  <c r="OA64" i="1"/>
  <c r="OC61" i="1"/>
  <c r="OC76" i="1"/>
  <c r="OC80" i="1"/>
  <c r="OC81" i="1"/>
  <c r="OA28" i="1"/>
  <c r="FB86" i="3"/>
  <c r="EZ86" i="3"/>
  <c r="FC86" i="3"/>
  <c r="NP94" i="1"/>
  <c r="NP93" i="1"/>
  <c r="NP87" i="1"/>
  <c r="NP90" i="1"/>
  <c r="NR79" i="1"/>
  <c r="NR65" i="1"/>
  <c r="NR69" i="1"/>
  <c r="NR73" i="1"/>
  <c r="NR77" i="1"/>
  <c r="NR81" i="1"/>
  <c r="NR64" i="1"/>
  <c r="NR68" i="1"/>
  <c r="NR72" i="1"/>
  <c r="NR76" i="1"/>
  <c r="NR80" i="1"/>
  <c r="NR48" i="1"/>
  <c r="NR66" i="1"/>
  <c r="NR74" i="1"/>
  <c r="NR28" i="1"/>
  <c r="NR62" i="1"/>
  <c r="NR78" i="1"/>
  <c r="NR11" i="1"/>
  <c r="NQ81" i="1"/>
  <c r="NS78" i="1"/>
  <c r="NQ80" i="1"/>
  <c r="NS75" i="1"/>
  <c r="NS63" i="1"/>
  <c r="NS66" i="1"/>
  <c r="NS70" i="1"/>
  <c r="NS71" i="1"/>
  <c r="NS74" i="1"/>
  <c r="NS79" i="1"/>
  <c r="NQ61" i="1"/>
  <c r="NS50" i="1"/>
  <c r="NS51" i="1"/>
  <c r="NQ52" i="1"/>
  <c r="NQ55" i="1"/>
  <c r="NQ56" i="1"/>
  <c r="NQ58" i="1"/>
  <c r="NQ59" i="1"/>
  <c r="NS60" i="1"/>
  <c r="NQ62" i="1"/>
  <c r="NS64" i="1"/>
  <c r="NQ67" i="1"/>
  <c r="NQ68" i="1"/>
  <c r="NS72" i="1"/>
  <c r="NQ76" i="1"/>
  <c r="NS48" i="1"/>
  <c r="NQ53" i="1"/>
  <c r="NQ57" i="1"/>
  <c r="NQ69" i="1"/>
  <c r="NQ70" i="1"/>
  <c r="NQ73" i="1"/>
  <c r="NS77" i="1"/>
  <c r="NQ33" i="1"/>
  <c r="NQ37" i="1"/>
  <c r="NQ41" i="1"/>
  <c r="NQ45" i="1"/>
  <c r="NQ49" i="1"/>
  <c r="NQ65" i="1"/>
  <c r="NQ77" i="1"/>
  <c r="NS28" i="1"/>
  <c r="NQ11" i="1"/>
  <c r="NQ78" i="1"/>
  <c r="NS76" i="1"/>
  <c r="NR75" i="1"/>
  <c r="NS73" i="1"/>
  <c r="NQ72" i="1"/>
  <c r="NR71" i="1"/>
  <c r="NQ71" i="1"/>
  <c r="NR70" i="1"/>
  <c r="NS69" i="1"/>
  <c r="NS68" i="1"/>
  <c r="NS67" i="1"/>
  <c r="NR67" i="1"/>
  <c r="NS65" i="1"/>
  <c r="NQ64" i="1"/>
  <c r="NR63" i="1"/>
  <c r="NQ63" i="1"/>
  <c r="NS62" i="1"/>
  <c r="NR61" i="1"/>
  <c r="NR60" i="1"/>
  <c r="NS59" i="1"/>
  <c r="NR59" i="1"/>
  <c r="NS58" i="1"/>
  <c r="NR58" i="1"/>
  <c r="NS57" i="1"/>
  <c r="NR57" i="1"/>
  <c r="NS56" i="1"/>
  <c r="NR56" i="1"/>
  <c r="NS55" i="1"/>
  <c r="NR55" i="1"/>
  <c r="NS54" i="1"/>
  <c r="NR54" i="1"/>
  <c r="NQ54" i="1"/>
  <c r="NS53" i="1"/>
  <c r="NR53" i="1"/>
  <c r="NR52" i="1"/>
  <c r="NR51" i="1"/>
  <c r="NQ51" i="1"/>
  <c r="NR50" i="1"/>
  <c r="NQ50" i="1"/>
  <c r="NS49" i="1"/>
  <c r="NR49" i="1"/>
  <c r="NS47" i="1"/>
  <c r="NR47" i="1"/>
  <c r="NQ47" i="1"/>
  <c r="NS46" i="1"/>
  <c r="NR46" i="1"/>
  <c r="NQ46" i="1"/>
  <c r="NS45" i="1"/>
  <c r="NR45" i="1"/>
  <c r="NS44" i="1"/>
  <c r="NR44" i="1"/>
  <c r="NQ44" i="1"/>
  <c r="NS43" i="1"/>
  <c r="NR43" i="1"/>
  <c r="NQ43" i="1"/>
  <c r="NS42" i="1"/>
  <c r="NR42" i="1"/>
  <c r="NQ42" i="1"/>
  <c r="NS41" i="1"/>
  <c r="NR41" i="1"/>
  <c r="NS40" i="1"/>
  <c r="NR40" i="1"/>
  <c r="NQ40" i="1"/>
  <c r="NS39" i="1"/>
  <c r="NR39" i="1"/>
  <c r="NQ39" i="1"/>
  <c r="NS38" i="1"/>
  <c r="NR38" i="1"/>
  <c r="NQ38" i="1"/>
  <c r="NS37" i="1"/>
  <c r="NR37" i="1"/>
  <c r="NS36" i="1"/>
  <c r="NR36" i="1"/>
  <c r="NQ36" i="1"/>
  <c r="NS35" i="1"/>
  <c r="NR35" i="1"/>
  <c r="NQ35" i="1"/>
  <c r="NS34" i="1"/>
  <c r="NR34" i="1"/>
  <c r="NQ34" i="1"/>
  <c r="NS33" i="1"/>
  <c r="NR33" i="1"/>
  <c r="NS32" i="1"/>
  <c r="NR32" i="1"/>
  <c r="NQ32" i="1"/>
  <c r="NS31" i="1"/>
  <c r="NR31" i="1"/>
  <c r="NQ31" i="1"/>
  <c r="NS30" i="1"/>
  <c r="NR30" i="1"/>
  <c r="NQ30" i="1"/>
  <c r="NS29" i="1"/>
  <c r="NR29" i="1"/>
  <c r="NQ29" i="1"/>
  <c r="NS27" i="1"/>
  <c r="NR27" i="1"/>
  <c r="NQ27" i="1"/>
  <c r="NS26" i="1"/>
  <c r="NR26" i="1"/>
  <c r="NQ26" i="1"/>
  <c r="NS25" i="1"/>
  <c r="NR25" i="1"/>
  <c r="NQ25" i="1"/>
  <c r="NS24" i="1"/>
  <c r="NR24" i="1"/>
  <c r="NQ24" i="1"/>
  <c r="NS23" i="1"/>
  <c r="NR23" i="1"/>
  <c r="NQ23" i="1"/>
  <c r="NS22" i="1"/>
  <c r="NR22" i="1"/>
  <c r="NQ22" i="1"/>
  <c r="NS21" i="1"/>
  <c r="NR21" i="1"/>
  <c r="NQ21" i="1"/>
  <c r="NS20" i="1"/>
  <c r="NR20" i="1"/>
  <c r="NQ20" i="1"/>
  <c r="NS19" i="1"/>
  <c r="NR19" i="1"/>
  <c r="NQ19" i="1"/>
  <c r="NS18" i="1"/>
  <c r="NR18" i="1"/>
  <c r="NQ18" i="1"/>
  <c r="NS17" i="1"/>
  <c r="NR17" i="1"/>
  <c r="NQ17" i="1"/>
  <c r="NS16" i="1"/>
  <c r="NR16" i="1"/>
  <c r="NQ16" i="1"/>
  <c r="NS15" i="1"/>
  <c r="NR15" i="1"/>
  <c r="NQ15" i="1"/>
  <c r="NS14" i="1"/>
  <c r="NR14" i="1"/>
  <c r="NQ14" i="1"/>
  <c r="NS13" i="1"/>
  <c r="NR13" i="1"/>
  <c r="NQ13" i="1"/>
  <c r="NS12" i="1"/>
  <c r="NR12" i="1"/>
  <c r="NQ12" i="1"/>
  <c r="NQ10" i="1"/>
  <c r="NQ9" i="1"/>
  <c r="NQ93" i="1" l="1"/>
  <c r="NQ75" i="1"/>
  <c r="NQ74" i="1"/>
  <c r="NQ66" i="1"/>
  <c r="NQ79" i="1"/>
  <c r="NS61" i="1"/>
  <c r="NS52" i="1"/>
  <c r="NQ60" i="1"/>
  <c r="NS80" i="1"/>
  <c r="NQ48" i="1"/>
  <c r="NS81" i="1"/>
  <c r="NQ28" i="1"/>
  <c r="NS11" i="1"/>
  <c r="NQ94" i="1"/>
  <c r="EU86" i="3"/>
  <c r="ES86" i="3"/>
  <c r="NG93" i="1"/>
  <c r="NF93" i="1"/>
  <c r="MV93" i="1"/>
  <c r="MV90" i="1"/>
  <c r="NF90" i="1"/>
  <c r="NH86" i="1"/>
  <c r="MX86" i="1"/>
  <c r="NF88" i="1"/>
  <c r="MV88" i="1"/>
  <c r="NF87" i="1"/>
  <c r="NF86" i="1"/>
  <c r="MV86" i="1"/>
  <c r="NH85" i="1"/>
  <c r="NG85" i="1"/>
  <c r="NH84" i="1"/>
  <c r="NG84" i="1"/>
  <c r="NH83" i="1"/>
  <c r="NG83" i="1"/>
  <c r="NG21" i="1"/>
  <c r="EV86" i="3" l="1"/>
  <c r="NF94" i="1" l="1"/>
  <c r="NG94" i="1"/>
  <c r="NI81" i="1"/>
  <c r="NH81" i="1"/>
  <c r="NG81" i="1"/>
  <c r="NI80" i="1"/>
  <c r="NH80" i="1"/>
  <c r="NG80" i="1"/>
  <c r="NI79" i="1"/>
  <c r="NH79" i="1"/>
  <c r="NG79" i="1"/>
  <c r="NI78" i="1"/>
  <c r="NH78" i="1"/>
  <c r="NG78" i="1"/>
  <c r="NI77" i="1"/>
  <c r="NH77" i="1"/>
  <c r="NG77" i="1"/>
  <c r="NI76" i="1"/>
  <c r="NH76" i="1"/>
  <c r="NG76" i="1"/>
  <c r="NI75" i="1"/>
  <c r="NH75" i="1"/>
  <c r="NG75" i="1"/>
  <c r="NI74" i="1"/>
  <c r="NH74" i="1"/>
  <c r="NG74" i="1"/>
  <c r="NI73" i="1"/>
  <c r="NH73" i="1"/>
  <c r="NG73" i="1"/>
  <c r="NI72" i="1"/>
  <c r="NH72" i="1"/>
  <c r="NG72" i="1"/>
  <c r="NI71" i="1"/>
  <c r="NH71" i="1"/>
  <c r="NG71" i="1"/>
  <c r="NI70" i="1"/>
  <c r="NH70" i="1"/>
  <c r="NG70" i="1"/>
  <c r="NI69" i="1"/>
  <c r="NH69" i="1"/>
  <c r="NG69" i="1"/>
  <c r="NI68" i="1"/>
  <c r="NH68" i="1"/>
  <c r="NG68" i="1"/>
  <c r="NI67" i="1"/>
  <c r="NH67" i="1"/>
  <c r="NG67" i="1"/>
  <c r="NI66" i="1"/>
  <c r="NH66" i="1"/>
  <c r="NG66" i="1"/>
  <c r="NI65" i="1"/>
  <c r="NH65" i="1"/>
  <c r="NG65" i="1"/>
  <c r="NI64" i="1"/>
  <c r="NH64" i="1"/>
  <c r="NG64" i="1"/>
  <c r="NI63" i="1"/>
  <c r="NH63" i="1"/>
  <c r="NG63" i="1"/>
  <c r="NI62" i="1"/>
  <c r="NH62" i="1"/>
  <c r="NG62" i="1"/>
  <c r="NI61" i="1"/>
  <c r="NH61" i="1"/>
  <c r="NG61" i="1"/>
  <c r="NI60" i="1"/>
  <c r="NH60" i="1"/>
  <c r="NG60" i="1"/>
  <c r="NI59" i="1"/>
  <c r="NH59" i="1"/>
  <c r="NG59" i="1"/>
  <c r="NI58" i="1"/>
  <c r="NH58" i="1"/>
  <c r="NG58" i="1"/>
  <c r="NI57" i="1"/>
  <c r="NH57" i="1"/>
  <c r="NG57" i="1"/>
  <c r="NI56" i="1"/>
  <c r="NH56" i="1"/>
  <c r="NG56" i="1"/>
  <c r="NI55" i="1"/>
  <c r="NH55" i="1"/>
  <c r="NG55" i="1"/>
  <c r="NI54" i="1"/>
  <c r="NH54" i="1"/>
  <c r="NG54" i="1"/>
  <c r="NI53" i="1"/>
  <c r="NH53" i="1"/>
  <c r="NG53" i="1"/>
  <c r="NI52" i="1"/>
  <c r="NH52" i="1"/>
  <c r="NG52" i="1"/>
  <c r="NI51" i="1"/>
  <c r="NH51" i="1"/>
  <c r="NG51" i="1"/>
  <c r="NI50" i="1"/>
  <c r="NH50" i="1"/>
  <c r="NG50" i="1"/>
  <c r="NI49" i="1"/>
  <c r="NH49" i="1"/>
  <c r="NG49" i="1"/>
  <c r="NI48" i="1"/>
  <c r="NH48" i="1"/>
  <c r="NG48" i="1"/>
  <c r="NI47" i="1"/>
  <c r="NH47" i="1"/>
  <c r="NG47" i="1"/>
  <c r="NI46" i="1"/>
  <c r="NH46" i="1"/>
  <c r="NG46" i="1"/>
  <c r="NI45" i="1"/>
  <c r="NH45" i="1"/>
  <c r="NG45" i="1"/>
  <c r="NI44" i="1"/>
  <c r="NH44" i="1"/>
  <c r="NG44" i="1"/>
  <c r="NI43" i="1"/>
  <c r="NH43" i="1"/>
  <c r="NG43" i="1"/>
  <c r="NI42" i="1"/>
  <c r="NH42" i="1"/>
  <c r="NG42" i="1"/>
  <c r="NI41" i="1"/>
  <c r="NH41" i="1"/>
  <c r="NG41" i="1"/>
  <c r="NI40" i="1"/>
  <c r="NH40" i="1"/>
  <c r="NG40" i="1"/>
  <c r="NI39" i="1"/>
  <c r="NH39" i="1"/>
  <c r="NG39" i="1"/>
  <c r="NI38" i="1"/>
  <c r="NH38" i="1"/>
  <c r="NG38" i="1"/>
  <c r="NI37" i="1"/>
  <c r="NH37" i="1"/>
  <c r="NG37" i="1"/>
  <c r="NI36" i="1"/>
  <c r="NH36" i="1"/>
  <c r="NG36" i="1"/>
  <c r="NI35" i="1"/>
  <c r="NH35" i="1"/>
  <c r="NG35" i="1"/>
  <c r="NI34" i="1"/>
  <c r="NH34" i="1"/>
  <c r="NG34" i="1"/>
  <c r="NI33" i="1"/>
  <c r="NH33" i="1"/>
  <c r="NG33" i="1"/>
  <c r="NI32" i="1"/>
  <c r="NH32" i="1"/>
  <c r="NG32" i="1"/>
  <c r="NI31" i="1"/>
  <c r="NH31" i="1"/>
  <c r="NG31" i="1"/>
  <c r="NI30" i="1"/>
  <c r="NH30" i="1"/>
  <c r="NG30" i="1"/>
  <c r="NI29" i="1"/>
  <c r="NH29" i="1"/>
  <c r="NG29" i="1"/>
  <c r="NI28" i="1"/>
  <c r="NH28" i="1"/>
  <c r="NG28" i="1"/>
  <c r="NI27" i="1"/>
  <c r="NH27" i="1"/>
  <c r="NG27" i="1"/>
  <c r="NI26" i="1"/>
  <c r="NH26" i="1"/>
  <c r="NG26" i="1"/>
  <c r="NI25" i="1"/>
  <c r="NH25" i="1"/>
  <c r="NG25" i="1"/>
  <c r="NI24" i="1"/>
  <c r="NH24" i="1"/>
  <c r="NG24" i="1"/>
  <c r="NI23" i="1"/>
  <c r="NH23" i="1"/>
  <c r="NG23" i="1"/>
  <c r="NI22" i="1"/>
  <c r="NH22" i="1"/>
  <c r="NG22" i="1"/>
  <c r="NI21" i="1"/>
  <c r="NH21" i="1"/>
  <c r="NI20" i="1"/>
  <c r="NH20" i="1"/>
  <c r="NG20" i="1"/>
  <c r="NI19" i="1"/>
  <c r="NH19" i="1"/>
  <c r="NG19" i="1"/>
  <c r="NI18" i="1"/>
  <c r="NH18" i="1"/>
  <c r="NG18" i="1"/>
  <c r="NI17" i="1"/>
  <c r="NH17" i="1"/>
  <c r="NG17" i="1"/>
  <c r="NI16" i="1"/>
  <c r="NH16" i="1"/>
  <c r="NG16" i="1"/>
  <c r="NI15" i="1"/>
  <c r="NH15" i="1"/>
  <c r="NG15" i="1"/>
  <c r="NI14" i="1"/>
  <c r="NH14" i="1"/>
  <c r="NG14" i="1"/>
  <c r="NI13" i="1"/>
  <c r="NH13" i="1"/>
  <c r="NG13" i="1"/>
  <c r="NI12" i="1"/>
  <c r="NH12" i="1"/>
  <c r="NG12" i="1"/>
  <c r="NI11" i="1"/>
  <c r="NH11" i="1"/>
  <c r="NG11" i="1"/>
  <c r="NG10" i="1"/>
  <c r="NG9" i="1"/>
  <c r="ML93" i="1" l="1"/>
  <c r="MN86" i="1"/>
  <c r="ML88" i="1"/>
  <c r="MV87" i="1"/>
  <c r="ML87" i="1"/>
  <c r="ML86" i="1"/>
  <c r="MX84" i="1"/>
  <c r="MW84" i="1"/>
  <c r="MX82" i="1"/>
  <c r="MX83" i="1"/>
  <c r="MV94" i="1"/>
  <c r="MX81" i="1"/>
  <c r="MX77" i="1"/>
  <c r="MX79" i="1"/>
  <c r="MX85" i="1"/>
  <c r="MX76" i="1"/>
  <c r="MX68" i="1"/>
  <c r="MX78" i="1"/>
  <c r="MX67" i="1"/>
  <c r="MX62" i="1"/>
  <c r="MX64" i="1"/>
  <c r="MX74" i="1"/>
  <c r="MX80" i="1"/>
  <c r="MX61" i="1"/>
  <c r="MX51" i="1"/>
  <c r="MX53" i="1"/>
  <c r="MX59" i="1"/>
  <c r="MX69" i="1"/>
  <c r="MX75" i="1"/>
  <c r="MX48" i="1"/>
  <c r="MX45" i="1"/>
  <c r="MX49" i="1"/>
  <c r="MX57" i="1"/>
  <c r="MX65" i="1"/>
  <c r="MX73" i="1"/>
  <c r="MX11" i="1"/>
  <c r="MW93" i="1" s="1"/>
  <c r="MW82" i="1"/>
  <c r="MW85" i="1"/>
  <c r="MW81" i="1"/>
  <c r="MW78" i="1"/>
  <c r="MW76" i="1"/>
  <c r="MW80" i="1"/>
  <c r="MY67" i="1"/>
  <c r="MW62" i="1"/>
  <c r="MW64" i="1"/>
  <c r="MW66" i="1"/>
  <c r="MW68" i="1"/>
  <c r="MW70" i="1"/>
  <c r="MW72" i="1"/>
  <c r="MW74" i="1"/>
  <c r="MY61" i="1"/>
  <c r="MW49" i="1"/>
  <c r="MY51" i="1"/>
  <c r="MY53" i="1"/>
  <c r="MW57" i="1"/>
  <c r="MY59" i="1"/>
  <c r="MW65" i="1"/>
  <c r="MY69" i="1"/>
  <c r="MW73" i="1"/>
  <c r="MY75" i="1"/>
  <c r="MY77" i="1"/>
  <c r="MW83" i="1"/>
  <c r="MY48" i="1"/>
  <c r="MY28" i="1"/>
  <c r="MY15" i="1"/>
  <c r="MY19" i="1"/>
  <c r="MY23" i="1"/>
  <c r="MY27" i="1"/>
  <c r="MY31" i="1"/>
  <c r="MY35" i="1"/>
  <c r="MY39" i="1"/>
  <c r="MY43" i="1"/>
  <c r="MY47" i="1"/>
  <c r="MY55" i="1"/>
  <c r="MY63" i="1"/>
  <c r="MY71" i="1"/>
  <c r="MY79" i="1"/>
  <c r="MY11" i="1"/>
  <c r="MX72" i="1"/>
  <c r="MX71" i="1"/>
  <c r="MX70" i="1"/>
  <c r="MX66" i="1"/>
  <c r="MX63" i="1"/>
  <c r="MY60" i="1"/>
  <c r="MX60" i="1"/>
  <c r="MW60" i="1"/>
  <c r="MY58" i="1"/>
  <c r="MX58" i="1"/>
  <c r="MW58" i="1"/>
  <c r="MY56" i="1"/>
  <c r="MX56" i="1"/>
  <c r="MW56" i="1"/>
  <c r="MX55" i="1"/>
  <c r="MY54" i="1"/>
  <c r="MX54" i="1"/>
  <c r="MW54" i="1"/>
  <c r="MY52" i="1"/>
  <c r="MX52" i="1"/>
  <c r="MW52" i="1"/>
  <c r="MY50" i="1"/>
  <c r="MX50" i="1"/>
  <c r="MW50" i="1"/>
  <c r="MX47" i="1"/>
  <c r="MY46" i="1"/>
  <c r="MX46" i="1"/>
  <c r="MW46" i="1"/>
  <c r="MY45" i="1"/>
  <c r="MW45" i="1"/>
  <c r="MY44" i="1"/>
  <c r="MX44" i="1"/>
  <c r="MW44" i="1"/>
  <c r="MX43" i="1"/>
  <c r="MY42" i="1"/>
  <c r="MX42" i="1"/>
  <c r="MW42" i="1"/>
  <c r="MY41" i="1"/>
  <c r="MX41" i="1"/>
  <c r="MW41" i="1"/>
  <c r="MY40" i="1"/>
  <c r="MX40" i="1"/>
  <c r="MW40" i="1"/>
  <c r="MX39" i="1"/>
  <c r="MY38" i="1"/>
  <c r="MX38" i="1"/>
  <c r="MW38" i="1"/>
  <c r="MY37" i="1"/>
  <c r="MX37" i="1"/>
  <c r="MW37" i="1"/>
  <c r="MY36" i="1"/>
  <c r="MX36" i="1"/>
  <c r="MW36" i="1"/>
  <c r="MX35" i="1"/>
  <c r="MY34" i="1"/>
  <c r="MX34" i="1"/>
  <c r="MW34" i="1"/>
  <c r="MY33" i="1"/>
  <c r="MX33" i="1"/>
  <c r="MW33" i="1"/>
  <c r="MY32" i="1"/>
  <c r="MX32" i="1"/>
  <c r="MW32" i="1"/>
  <c r="MX31" i="1"/>
  <c r="MY30" i="1"/>
  <c r="MX30" i="1"/>
  <c r="MW30" i="1"/>
  <c r="MY29" i="1"/>
  <c r="MX29" i="1"/>
  <c r="MW29" i="1"/>
  <c r="MX28" i="1"/>
  <c r="MX27" i="1"/>
  <c r="MY26" i="1"/>
  <c r="MX26" i="1"/>
  <c r="MW26" i="1"/>
  <c r="MY25" i="1"/>
  <c r="MX25" i="1"/>
  <c r="MW25" i="1"/>
  <c r="MY24" i="1"/>
  <c r="MX24" i="1"/>
  <c r="MW24" i="1"/>
  <c r="MX23" i="1"/>
  <c r="MY22" i="1"/>
  <c r="MX22" i="1"/>
  <c r="MW22" i="1"/>
  <c r="MY21" i="1"/>
  <c r="MX21" i="1"/>
  <c r="MW21" i="1"/>
  <c r="MY20" i="1"/>
  <c r="MX20" i="1"/>
  <c r="MW20" i="1"/>
  <c r="MX19" i="1"/>
  <c r="MY18" i="1"/>
  <c r="MX18" i="1"/>
  <c r="MW18" i="1"/>
  <c r="MY17" i="1"/>
  <c r="MX17" i="1"/>
  <c r="MW17" i="1"/>
  <c r="MY16" i="1"/>
  <c r="MX16" i="1"/>
  <c r="MW16" i="1"/>
  <c r="MX15" i="1"/>
  <c r="MY14" i="1"/>
  <c r="MX14" i="1"/>
  <c r="MW14" i="1"/>
  <c r="MY13" i="1"/>
  <c r="MX13" i="1"/>
  <c r="MW13" i="1"/>
  <c r="MY12" i="1"/>
  <c r="MX12" i="1"/>
  <c r="MW12" i="1"/>
  <c r="MW10" i="1"/>
  <c r="MW9" i="1"/>
  <c r="EO86" i="3" l="1"/>
  <c r="EN86" i="3"/>
  <c r="EL86" i="3"/>
  <c r="MW94" i="1"/>
  <c r="MY62" i="1"/>
  <c r="MY64" i="1"/>
  <c r="MY66" i="1"/>
  <c r="MY68" i="1"/>
  <c r="MY70" i="1"/>
  <c r="MY72" i="1"/>
  <c r="MY74" i="1"/>
  <c r="MY76" i="1"/>
  <c r="MY78" i="1"/>
  <c r="MY80" i="1"/>
  <c r="MY49" i="1"/>
  <c r="MW53" i="1"/>
  <c r="MY57" i="1"/>
  <c r="MW61" i="1"/>
  <c r="MY65" i="1"/>
  <c r="MW69" i="1"/>
  <c r="MY73" i="1"/>
  <c r="MW77" i="1"/>
  <c r="MY81" i="1"/>
  <c r="MW48" i="1"/>
  <c r="MW28" i="1"/>
  <c r="MW15" i="1"/>
  <c r="MW19" i="1"/>
  <c r="MW23" i="1"/>
  <c r="MW27" i="1"/>
  <c r="MW31" i="1"/>
  <c r="MW35" i="1"/>
  <c r="MW39" i="1"/>
  <c r="MW43" i="1"/>
  <c r="MW47" i="1"/>
  <c r="MW51" i="1"/>
  <c r="MW55" i="1"/>
  <c r="MW59" i="1"/>
  <c r="MW63" i="1"/>
  <c r="MW67" i="1"/>
  <c r="MW71" i="1"/>
  <c r="MW75" i="1"/>
  <c r="MW79" i="1"/>
  <c r="MW11" i="1"/>
  <c r="ML94" i="1"/>
  <c r="MB94" i="1"/>
  <c r="MB93" i="1"/>
  <c r="MB90" i="1"/>
  <c r="ML90" i="1"/>
  <c r="MB86" i="1"/>
  <c r="MD86" i="1"/>
  <c r="MN85" i="1"/>
  <c r="MM85" i="1"/>
  <c r="MN84" i="1"/>
  <c r="MM84" i="1"/>
  <c r="MN83" i="1"/>
  <c r="MM83" i="1"/>
  <c r="MN82" i="1"/>
  <c r="MM82" i="1"/>
  <c r="MN81" i="1"/>
  <c r="MN71" i="1"/>
  <c r="MN75" i="1"/>
  <c r="MN79" i="1"/>
  <c r="MN61" i="1"/>
  <c r="MN29" i="1"/>
  <c r="MN33" i="1"/>
  <c r="MN45" i="1"/>
  <c r="MN53" i="1"/>
  <c r="MN65" i="1"/>
  <c r="MN69" i="1"/>
  <c r="MN73" i="1"/>
  <c r="MN77" i="1"/>
  <c r="MN78" i="1"/>
  <c r="MN28" i="1"/>
  <c r="MN15" i="1"/>
  <c r="MN19" i="1"/>
  <c r="MN23" i="1"/>
  <c r="MN27" i="1"/>
  <c r="MN31" i="1"/>
  <c r="MN35" i="1"/>
  <c r="MN39" i="1"/>
  <c r="MN43" i="1"/>
  <c r="MN47" i="1"/>
  <c r="MN51" i="1"/>
  <c r="MN55" i="1"/>
  <c r="MN59" i="1"/>
  <c r="MN63" i="1"/>
  <c r="MN67" i="1"/>
  <c r="MO80" i="1"/>
  <c r="MO76" i="1"/>
  <c r="MO68" i="1"/>
  <c r="MO69" i="1"/>
  <c r="MM72" i="1"/>
  <c r="MO73" i="1"/>
  <c r="MO77" i="1"/>
  <c r="MO81" i="1"/>
  <c r="MO67" i="1"/>
  <c r="MO74" i="1"/>
  <c r="MO75" i="1"/>
  <c r="MO79" i="1"/>
  <c r="MO61" i="1"/>
  <c r="MM49" i="1"/>
  <c r="MO50" i="1"/>
  <c r="MM54" i="1"/>
  <c r="MM57" i="1"/>
  <c r="MO58" i="1"/>
  <c r="MM62" i="1"/>
  <c r="MO65" i="1"/>
  <c r="MO66" i="1"/>
  <c r="MM70" i="1"/>
  <c r="MM73" i="1"/>
  <c r="MM78" i="1"/>
  <c r="MO53" i="1"/>
  <c r="MO28" i="1"/>
  <c r="MM52" i="1"/>
  <c r="MM56" i="1"/>
  <c r="MM60" i="1"/>
  <c r="MM64" i="1"/>
  <c r="MM68" i="1"/>
  <c r="MO11" i="1"/>
  <c r="MN80" i="1"/>
  <c r="MM79" i="1"/>
  <c r="MM77" i="1"/>
  <c r="MN76" i="1"/>
  <c r="MM75" i="1"/>
  <c r="MN74" i="1"/>
  <c r="MN72" i="1"/>
  <c r="MO71" i="1"/>
  <c r="MM71" i="1"/>
  <c r="MN70" i="1"/>
  <c r="MN68" i="1"/>
  <c r="MN66" i="1"/>
  <c r="MM66" i="1"/>
  <c r="MO64" i="1"/>
  <c r="MN64" i="1"/>
  <c r="MO63" i="1"/>
  <c r="MM63" i="1"/>
  <c r="MO62" i="1"/>
  <c r="MN62" i="1"/>
  <c r="MO60" i="1"/>
  <c r="MN60" i="1"/>
  <c r="MO59" i="1"/>
  <c r="MM59" i="1"/>
  <c r="MN58" i="1"/>
  <c r="MM58" i="1"/>
  <c r="MN57" i="1"/>
  <c r="MO56" i="1"/>
  <c r="MN56" i="1"/>
  <c r="MO55" i="1"/>
  <c r="MM55" i="1"/>
  <c r="MO54" i="1"/>
  <c r="MN54" i="1"/>
  <c r="MM53" i="1"/>
  <c r="MO52" i="1"/>
  <c r="MN52" i="1"/>
  <c r="MO51" i="1"/>
  <c r="MM51" i="1"/>
  <c r="MN50" i="1"/>
  <c r="MM50" i="1"/>
  <c r="MO49" i="1"/>
  <c r="MN49" i="1"/>
  <c r="MO48" i="1"/>
  <c r="MN48" i="1"/>
  <c r="MM48" i="1"/>
  <c r="MO47" i="1"/>
  <c r="MM47" i="1"/>
  <c r="MO46" i="1"/>
  <c r="MN46" i="1"/>
  <c r="MM46" i="1"/>
  <c r="MO45" i="1"/>
  <c r="MM45" i="1"/>
  <c r="MO44" i="1"/>
  <c r="MN44" i="1"/>
  <c r="MM44" i="1"/>
  <c r="MO43" i="1"/>
  <c r="MM43" i="1"/>
  <c r="MO42" i="1"/>
  <c r="MN42" i="1"/>
  <c r="MM42" i="1"/>
  <c r="MO41" i="1"/>
  <c r="MN41" i="1"/>
  <c r="MM41" i="1"/>
  <c r="MO40" i="1"/>
  <c r="MN40" i="1"/>
  <c r="MM40" i="1"/>
  <c r="MO39" i="1"/>
  <c r="MM39" i="1"/>
  <c r="MO38" i="1"/>
  <c r="MN38" i="1"/>
  <c r="MM38" i="1"/>
  <c r="MO37" i="1"/>
  <c r="MN37" i="1"/>
  <c r="MM37" i="1"/>
  <c r="MO36" i="1"/>
  <c r="MN36" i="1"/>
  <c r="MM36" i="1"/>
  <c r="MO35" i="1"/>
  <c r="MM35" i="1"/>
  <c r="MO34" i="1"/>
  <c r="MN34" i="1"/>
  <c r="MM34" i="1"/>
  <c r="MO33" i="1"/>
  <c r="MM33" i="1"/>
  <c r="MO32" i="1"/>
  <c r="MN32" i="1"/>
  <c r="MM32" i="1"/>
  <c r="MO31" i="1"/>
  <c r="MM31" i="1"/>
  <c r="MO30" i="1"/>
  <c r="MN30" i="1"/>
  <c r="MM30" i="1"/>
  <c r="MO29" i="1"/>
  <c r="MM29" i="1"/>
  <c r="MO27" i="1"/>
  <c r="MM27" i="1"/>
  <c r="MO26" i="1"/>
  <c r="MN26" i="1"/>
  <c r="MM26" i="1"/>
  <c r="MO25" i="1"/>
  <c r="MN25" i="1"/>
  <c r="MM25" i="1"/>
  <c r="MO24" i="1"/>
  <c r="MN24" i="1"/>
  <c r="MM24" i="1"/>
  <c r="MO23" i="1"/>
  <c r="MM23" i="1"/>
  <c r="MO22" i="1"/>
  <c r="MN22" i="1"/>
  <c r="MM22" i="1"/>
  <c r="MO21" i="1"/>
  <c r="MN21" i="1"/>
  <c r="MM21" i="1"/>
  <c r="MO20" i="1"/>
  <c r="MN20" i="1"/>
  <c r="MM20" i="1"/>
  <c r="MO19" i="1"/>
  <c r="MM19" i="1"/>
  <c r="MO18" i="1"/>
  <c r="MN18" i="1"/>
  <c r="MM18" i="1"/>
  <c r="MO17" i="1"/>
  <c r="MN17" i="1"/>
  <c r="MM17" i="1"/>
  <c r="MO16" i="1"/>
  <c r="MN16" i="1"/>
  <c r="MM16" i="1"/>
  <c r="MO15" i="1"/>
  <c r="MM15" i="1"/>
  <c r="MO14" i="1"/>
  <c r="MN14" i="1"/>
  <c r="MM14" i="1"/>
  <c r="MO13" i="1"/>
  <c r="MN13" i="1"/>
  <c r="MM13" i="1"/>
  <c r="MO12" i="1"/>
  <c r="MN12" i="1"/>
  <c r="MM12" i="1"/>
  <c r="MN11" i="1"/>
  <c r="MM93" i="1" s="1"/>
  <c r="MM10" i="1"/>
  <c r="MM9" i="1"/>
  <c r="EE86" i="3"/>
  <c r="MM80" i="1" l="1"/>
  <c r="MM76" i="1"/>
  <c r="MO72" i="1"/>
  <c r="MM69" i="1"/>
  <c r="MM67" i="1"/>
  <c r="MM61" i="1"/>
  <c r="MO70" i="1"/>
  <c r="MO57" i="1"/>
  <c r="MM65" i="1"/>
  <c r="MM74" i="1"/>
  <c r="MO78" i="1"/>
  <c r="MM28" i="1"/>
  <c r="MM81" i="1"/>
  <c r="MM11" i="1"/>
  <c r="MM94" i="1"/>
  <c r="EH86" i="3"/>
  <c r="EG86" i="3"/>
  <c r="MC93" i="1"/>
  <c r="LT86" i="1"/>
  <c r="MB88" i="1"/>
  <c r="LR88" i="1"/>
  <c r="MB87" i="1"/>
  <c r="LR86" i="1"/>
  <c r="MD84" i="1"/>
  <c r="MC84" i="1"/>
  <c r="MC12" i="1"/>
  <c r="MC13" i="1"/>
  <c r="MC14" i="1"/>
  <c r="MC15" i="1"/>
  <c r="MC16" i="1"/>
  <c r="MC17" i="1"/>
  <c r="MC18" i="1"/>
  <c r="MC19" i="1"/>
  <c r="MC20" i="1"/>
  <c r="MC21" i="1"/>
  <c r="MC22" i="1"/>
  <c r="MC23" i="1"/>
  <c r="MC24" i="1"/>
  <c r="MC25" i="1"/>
  <c r="MC26" i="1"/>
  <c r="MC27" i="1"/>
  <c r="MC28" i="1"/>
  <c r="MC29" i="1"/>
  <c r="MC30" i="1"/>
  <c r="MC31" i="1"/>
  <c r="MC32" i="1"/>
  <c r="MC33" i="1"/>
  <c r="MC34" i="1"/>
  <c r="MC35" i="1"/>
  <c r="MC36" i="1"/>
  <c r="MC37" i="1"/>
  <c r="MC38" i="1"/>
  <c r="MC39" i="1"/>
  <c r="MC40" i="1"/>
  <c r="MC41" i="1"/>
  <c r="MC42" i="1"/>
  <c r="MC43" i="1"/>
  <c r="MC44" i="1"/>
  <c r="MC45" i="1"/>
  <c r="MC46" i="1"/>
  <c r="MC47" i="1"/>
  <c r="MC48" i="1"/>
  <c r="MC49" i="1"/>
  <c r="MC50" i="1"/>
  <c r="MC51" i="1"/>
  <c r="MC52" i="1"/>
  <c r="MC53" i="1"/>
  <c r="MC54" i="1"/>
  <c r="MC55" i="1"/>
  <c r="MC56" i="1"/>
  <c r="MC57" i="1"/>
  <c r="MC58" i="1"/>
  <c r="MC59" i="1"/>
  <c r="MC60" i="1"/>
  <c r="MC61" i="1"/>
  <c r="MC62" i="1"/>
  <c r="MC63" i="1"/>
  <c r="MC64" i="1"/>
  <c r="MC65" i="1"/>
  <c r="MC66" i="1"/>
  <c r="MC67" i="1"/>
  <c r="MC68" i="1"/>
  <c r="MC69" i="1"/>
  <c r="MC70" i="1"/>
  <c r="MC71" i="1"/>
  <c r="MC72" i="1"/>
  <c r="MC73" i="1"/>
  <c r="MC74" i="1"/>
  <c r="MC75" i="1"/>
  <c r="MC76" i="1"/>
  <c r="MC77" i="1"/>
  <c r="MC78" i="1"/>
  <c r="MC79" i="1"/>
  <c r="MC80" i="1"/>
  <c r="MC81" i="1"/>
  <c r="MC82" i="1"/>
  <c r="MC83" i="1"/>
  <c r="MC85" i="1"/>
  <c r="MC11" i="1"/>
  <c r="MD85" i="1"/>
  <c r="MD81" i="1"/>
  <c r="MD79" i="1"/>
  <c r="MD76" i="1"/>
  <c r="MD68" i="1"/>
  <c r="MD72" i="1"/>
  <c r="MD78" i="1"/>
  <c r="MD80" i="1"/>
  <c r="MD64" i="1"/>
  <c r="MD66" i="1"/>
  <c r="MD70" i="1"/>
  <c r="MD74" i="1"/>
  <c r="MD83" i="1"/>
  <c r="MD51" i="1"/>
  <c r="MD57" i="1"/>
  <c r="MD73" i="1"/>
  <c r="MD75" i="1"/>
  <c r="MD77" i="1"/>
  <c r="MD71" i="1"/>
  <c r="MD40" i="1"/>
  <c r="MD44" i="1"/>
  <c r="MD48" i="1"/>
  <c r="MD53" i="1"/>
  <c r="MD56" i="1"/>
  <c r="MD61" i="1"/>
  <c r="MD11" i="1"/>
  <c r="ME81" i="1"/>
  <c r="ME76" i="1"/>
  <c r="ME78" i="1"/>
  <c r="ME62" i="1"/>
  <c r="ME64" i="1"/>
  <c r="ME68" i="1"/>
  <c r="ME53" i="1"/>
  <c r="ME54" i="1"/>
  <c r="ME58" i="1"/>
  <c r="ME66" i="1"/>
  <c r="ME69" i="1"/>
  <c r="ME77" i="1"/>
  <c r="ME48" i="1"/>
  <c r="ME31" i="1"/>
  <c r="ME39" i="1"/>
  <c r="ME47" i="1"/>
  <c r="ME59" i="1"/>
  <c r="ME63" i="1"/>
  <c r="ME75" i="1"/>
  <c r="ME79" i="1"/>
  <c r="ME17" i="1"/>
  <c r="ME21" i="1"/>
  <c r="ME25" i="1"/>
  <c r="ME29" i="1"/>
  <c r="ME33" i="1"/>
  <c r="ME37" i="1"/>
  <c r="ME41" i="1"/>
  <c r="ME45" i="1"/>
  <c r="ME49" i="1"/>
  <c r="ME57" i="1"/>
  <c r="ME65" i="1"/>
  <c r="ME11" i="1"/>
  <c r="MD82" i="1"/>
  <c r="ME72" i="1"/>
  <c r="ME71" i="1"/>
  <c r="ME70" i="1"/>
  <c r="MD69" i="1"/>
  <c r="MD67" i="1"/>
  <c r="MD65" i="1"/>
  <c r="MD63" i="1"/>
  <c r="MD62" i="1"/>
  <c r="ME60" i="1"/>
  <c r="MD60" i="1"/>
  <c r="MD59" i="1"/>
  <c r="MD58" i="1"/>
  <c r="ME56" i="1"/>
  <c r="ME55" i="1"/>
  <c r="MD55" i="1"/>
  <c r="MD54" i="1"/>
  <c r="ME52" i="1"/>
  <c r="MD52" i="1"/>
  <c r="ME50" i="1"/>
  <c r="MD50" i="1"/>
  <c r="MD49" i="1"/>
  <c r="MD47" i="1"/>
  <c r="ME46" i="1"/>
  <c r="MD46" i="1"/>
  <c r="MD45" i="1"/>
  <c r="ME44" i="1"/>
  <c r="MD43" i="1"/>
  <c r="ME42" i="1"/>
  <c r="MD42" i="1"/>
  <c r="MD41" i="1"/>
  <c r="ME40" i="1"/>
  <c r="MD39" i="1"/>
  <c r="ME38" i="1"/>
  <c r="MD38" i="1"/>
  <c r="MD37" i="1"/>
  <c r="ME36" i="1"/>
  <c r="MD36" i="1"/>
  <c r="MD35" i="1"/>
  <c r="ME34" i="1"/>
  <c r="MD34" i="1"/>
  <c r="MD33" i="1"/>
  <c r="ME32" i="1"/>
  <c r="MD32" i="1"/>
  <c r="MD31" i="1"/>
  <c r="ME30" i="1"/>
  <c r="MD30" i="1"/>
  <c r="MD29" i="1"/>
  <c r="MD28" i="1"/>
  <c r="ME27" i="1"/>
  <c r="MD27" i="1"/>
  <c r="ME26" i="1"/>
  <c r="MD26" i="1"/>
  <c r="MD25" i="1"/>
  <c r="ME24" i="1"/>
  <c r="MD24" i="1"/>
  <c r="ME23" i="1"/>
  <c r="MD23" i="1"/>
  <c r="ME22" i="1"/>
  <c r="MD22" i="1"/>
  <c r="MD21" i="1"/>
  <c r="ME20" i="1"/>
  <c r="MD20" i="1"/>
  <c r="ME19" i="1"/>
  <c r="MD19" i="1"/>
  <c r="ME18" i="1"/>
  <c r="MD18" i="1"/>
  <c r="MD17" i="1"/>
  <c r="ME16" i="1"/>
  <c r="MD16" i="1"/>
  <c r="ME15" i="1"/>
  <c r="MD15" i="1"/>
  <c r="ME14" i="1"/>
  <c r="MD14" i="1"/>
  <c r="ME13" i="1"/>
  <c r="MD13" i="1"/>
  <c r="ME12" i="1"/>
  <c r="MD12" i="1"/>
  <c r="MC10" i="1"/>
  <c r="MC9" i="1"/>
  <c r="EA86" i="3"/>
  <c r="DX86" i="3"/>
  <c r="MC94" i="1" l="1"/>
  <c r="ME80" i="1"/>
  <c r="ME74" i="1"/>
  <c r="ME35" i="1"/>
  <c r="ME43" i="1"/>
  <c r="ME51" i="1"/>
  <c r="ME67" i="1"/>
  <c r="ME28" i="1"/>
  <c r="ME61" i="1"/>
  <c r="ME73" i="1"/>
  <c r="DZ86" i="3"/>
  <c r="DS86" i="3"/>
  <c r="LS93" i="1" l="1"/>
  <c r="LR93" i="1"/>
  <c r="LH93" i="1"/>
  <c r="LJ86" i="1"/>
  <c r="LR87" i="1"/>
  <c r="LH86" i="1"/>
  <c r="LT84" i="1"/>
  <c r="LS11" i="1"/>
  <c r="LR94" i="1"/>
  <c r="LS94" i="1"/>
  <c r="LT32" i="1"/>
  <c r="LT44" i="1"/>
  <c r="LT48" i="1"/>
  <c r="LT60" i="1"/>
  <c r="LT68" i="1"/>
  <c r="LT76" i="1"/>
  <c r="LT80" i="1"/>
  <c r="LT82" i="1"/>
  <c r="LS84" i="1"/>
  <c r="LU75" i="1"/>
  <c r="LS83" i="1"/>
  <c r="LS61" i="1"/>
  <c r="LU32" i="1"/>
  <c r="LU36" i="1"/>
  <c r="LU40" i="1"/>
  <c r="LU44" i="1"/>
  <c r="LU48" i="1"/>
  <c r="LU52" i="1"/>
  <c r="LU56" i="1"/>
  <c r="LU60" i="1"/>
  <c r="LU64" i="1"/>
  <c r="LS68" i="1"/>
  <c r="LS76" i="1"/>
  <c r="LS28" i="1"/>
  <c r="LS72" i="1"/>
  <c r="LU73" i="1"/>
  <c r="LU77" i="1"/>
  <c r="LS80" i="1"/>
  <c r="LU81" i="1"/>
  <c r="LS85" i="1"/>
  <c r="LU11" i="1"/>
  <c r="LT85" i="1"/>
  <c r="LT83" i="1"/>
  <c r="LS82" i="1"/>
  <c r="LT81" i="1"/>
  <c r="LS81" i="1"/>
  <c r="LU80" i="1"/>
  <c r="LU79" i="1"/>
  <c r="LT79" i="1"/>
  <c r="LS79" i="1"/>
  <c r="LU78" i="1"/>
  <c r="LT78" i="1"/>
  <c r="LS78" i="1"/>
  <c r="LT77" i="1"/>
  <c r="LS77" i="1"/>
  <c r="LT75" i="1"/>
  <c r="LS75" i="1"/>
  <c r="LU74" i="1"/>
  <c r="LT74" i="1"/>
  <c r="LS74" i="1"/>
  <c r="LT73" i="1"/>
  <c r="LS73" i="1"/>
  <c r="LU72" i="1"/>
  <c r="LT72" i="1"/>
  <c r="LU71" i="1"/>
  <c r="LT71" i="1"/>
  <c r="LS71" i="1"/>
  <c r="LU70" i="1"/>
  <c r="LT70" i="1"/>
  <c r="LS70" i="1"/>
  <c r="LU69" i="1"/>
  <c r="LT69" i="1"/>
  <c r="LS69" i="1"/>
  <c r="LU67" i="1"/>
  <c r="LT67" i="1"/>
  <c r="LS67" i="1"/>
  <c r="LU66" i="1"/>
  <c r="LT66" i="1"/>
  <c r="LS66" i="1"/>
  <c r="LU65" i="1"/>
  <c r="LT65" i="1"/>
  <c r="LS65" i="1"/>
  <c r="LT64" i="1"/>
  <c r="LS64" i="1"/>
  <c r="LU63" i="1"/>
  <c r="LT63" i="1"/>
  <c r="LS63" i="1"/>
  <c r="LU62" i="1"/>
  <c r="LT62" i="1"/>
  <c r="LS62" i="1"/>
  <c r="LU61" i="1"/>
  <c r="LT61" i="1"/>
  <c r="LS60" i="1"/>
  <c r="LU59" i="1"/>
  <c r="LT59" i="1"/>
  <c r="LS59" i="1"/>
  <c r="LU58" i="1"/>
  <c r="LT58" i="1"/>
  <c r="LS58" i="1"/>
  <c r="LU57" i="1"/>
  <c r="LT57" i="1"/>
  <c r="LS57" i="1"/>
  <c r="LT56" i="1"/>
  <c r="LS56" i="1"/>
  <c r="LU55" i="1"/>
  <c r="LT55" i="1"/>
  <c r="LS55" i="1"/>
  <c r="LU54" i="1"/>
  <c r="LT54" i="1"/>
  <c r="LS54" i="1"/>
  <c r="LU53" i="1"/>
  <c r="LT53" i="1"/>
  <c r="LS53" i="1"/>
  <c r="LT52" i="1"/>
  <c r="LS52" i="1"/>
  <c r="LU51" i="1"/>
  <c r="LT51" i="1"/>
  <c r="LS51" i="1"/>
  <c r="LU50" i="1"/>
  <c r="LT50" i="1"/>
  <c r="LS50" i="1"/>
  <c r="LU49" i="1"/>
  <c r="LT49" i="1"/>
  <c r="LS49" i="1"/>
  <c r="LS48" i="1"/>
  <c r="LU47" i="1"/>
  <c r="LT47" i="1"/>
  <c r="LS47" i="1"/>
  <c r="LU46" i="1"/>
  <c r="LT46" i="1"/>
  <c r="LS46" i="1"/>
  <c r="LU45" i="1"/>
  <c r="LT45" i="1"/>
  <c r="LS45" i="1"/>
  <c r="LS44" i="1"/>
  <c r="LU43" i="1"/>
  <c r="LT43" i="1"/>
  <c r="LS43" i="1"/>
  <c r="LU42" i="1"/>
  <c r="LT42" i="1"/>
  <c r="LS42" i="1"/>
  <c r="LU41" i="1"/>
  <c r="LT41" i="1"/>
  <c r="LS41" i="1"/>
  <c r="LT40" i="1"/>
  <c r="LS40" i="1"/>
  <c r="LU39" i="1"/>
  <c r="LT39" i="1"/>
  <c r="LS39" i="1"/>
  <c r="LU38" i="1"/>
  <c r="LT38" i="1"/>
  <c r="LS38" i="1"/>
  <c r="LU37" i="1"/>
  <c r="LT37" i="1"/>
  <c r="LS37" i="1"/>
  <c r="LT36" i="1"/>
  <c r="LS36" i="1"/>
  <c r="LU35" i="1"/>
  <c r="LT35" i="1"/>
  <c r="LS35" i="1"/>
  <c r="LU34" i="1"/>
  <c r="LT34" i="1"/>
  <c r="LS34" i="1"/>
  <c r="LU33" i="1"/>
  <c r="LT33" i="1"/>
  <c r="LS33" i="1"/>
  <c r="LS32" i="1"/>
  <c r="LU31" i="1"/>
  <c r="LT31" i="1"/>
  <c r="LS31" i="1"/>
  <c r="LU30" i="1"/>
  <c r="LT30" i="1"/>
  <c r="LS30" i="1"/>
  <c r="LU29" i="1"/>
  <c r="LT29" i="1"/>
  <c r="LS29" i="1"/>
  <c r="LU28" i="1"/>
  <c r="LT28" i="1"/>
  <c r="LU27" i="1"/>
  <c r="LT27" i="1"/>
  <c r="LS27" i="1"/>
  <c r="LU26" i="1"/>
  <c r="LT26" i="1"/>
  <c r="LS26" i="1"/>
  <c r="LU25" i="1"/>
  <c r="LT25" i="1"/>
  <c r="LS25" i="1"/>
  <c r="LU24" i="1"/>
  <c r="LT24" i="1"/>
  <c r="LS24" i="1"/>
  <c r="LU23" i="1"/>
  <c r="LT23" i="1"/>
  <c r="LS23" i="1"/>
  <c r="LU22" i="1"/>
  <c r="LT22" i="1"/>
  <c r="LS22" i="1"/>
  <c r="LU21" i="1"/>
  <c r="LT21" i="1"/>
  <c r="LS21" i="1"/>
  <c r="LU20" i="1"/>
  <c r="LT20" i="1"/>
  <c r="LS20" i="1"/>
  <c r="LU19" i="1"/>
  <c r="LT19" i="1"/>
  <c r="LS19" i="1"/>
  <c r="LU18" i="1"/>
  <c r="LT18" i="1"/>
  <c r="LS18" i="1"/>
  <c r="LU17" i="1"/>
  <c r="LT17" i="1"/>
  <c r="LS17" i="1"/>
  <c r="LU16" i="1"/>
  <c r="LT16" i="1"/>
  <c r="LS16" i="1"/>
  <c r="LU15" i="1"/>
  <c r="LT15" i="1"/>
  <c r="LS15" i="1"/>
  <c r="LU14" i="1"/>
  <c r="LT14" i="1"/>
  <c r="LS14" i="1"/>
  <c r="LU13" i="1"/>
  <c r="LT13" i="1"/>
  <c r="LS13" i="1"/>
  <c r="LU12" i="1"/>
  <c r="LT12" i="1"/>
  <c r="LS12" i="1"/>
  <c r="LT11" i="1"/>
  <c r="LS10" i="1"/>
  <c r="LS9" i="1"/>
  <c r="DT86" i="3"/>
  <c r="LU68" i="1" l="1"/>
  <c r="LU76" i="1"/>
  <c r="LR90" i="1"/>
  <c r="DQ86" i="3"/>
  <c r="KY94" i="1"/>
  <c r="LI94" i="1"/>
  <c r="LH94" i="1"/>
  <c r="KX94" i="1"/>
  <c r="KY93" i="1"/>
  <c r="LI93" i="1"/>
  <c r="KX93" i="1"/>
  <c r="LH90" i="1"/>
  <c r="KX90" i="1"/>
  <c r="LH88" i="1"/>
  <c r="KX88" i="1"/>
  <c r="LH87" i="1"/>
  <c r="KX87" i="1"/>
  <c r="KX86" i="1"/>
  <c r="LJ82" i="1"/>
  <c r="LJ83" i="1"/>
  <c r="LJ81" i="1"/>
  <c r="LJ76" i="1"/>
  <c r="LJ77" i="1"/>
  <c r="LJ80" i="1"/>
  <c r="LJ85" i="1"/>
  <c r="LJ75" i="1"/>
  <c r="LJ62" i="1"/>
  <c r="LJ66" i="1"/>
  <c r="LJ67" i="1"/>
  <c r="LJ70" i="1"/>
  <c r="LJ71" i="1"/>
  <c r="LJ79" i="1"/>
  <c r="LJ61" i="1"/>
  <c r="LJ63" i="1"/>
  <c r="LJ69" i="1"/>
  <c r="LJ73" i="1"/>
  <c r="LJ41" i="1"/>
  <c r="LJ57" i="1"/>
  <c r="LJ32" i="1"/>
  <c r="LJ36" i="1"/>
  <c r="LJ45" i="1"/>
  <c r="LJ48" i="1"/>
  <c r="LJ53" i="1"/>
  <c r="LJ60" i="1"/>
  <c r="LJ72" i="1"/>
  <c r="LJ84" i="1"/>
  <c r="LI84" i="1"/>
  <c r="LI82" i="1"/>
  <c r="LI83" i="1"/>
  <c r="LK81" i="1"/>
  <c r="LI77" i="1"/>
  <c r="LK80" i="1"/>
  <c r="LI85" i="1"/>
  <c r="LI75" i="1"/>
  <c r="LI63" i="1"/>
  <c r="LK67" i="1"/>
  <c r="LI70" i="1"/>
  <c r="LI71" i="1"/>
  <c r="LK79" i="1"/>
  <c r="LK61" i="1"/>
  <c r="LI49" i="1"/>
  <c r="LI50" i="1"/>
  <c r="LK53" i="1"/>
  <c r="LI62" i="1"/>
  <c r="LK65" i="1"/>
  <c r="LK73" i="1"/>
  <c r="LI74" i="1"/>
  <c r="LI81" i="1"/>
  <c r="LI29" i="1"/>
  <c r="LK30" i="1"/>
  <c r="LK33" i="1"/>
  <c r="LI34" i="1"/>
  <c r="LK37" i="1"/>
  <c r="LK41" i="1"/>
  <c r="LI42" i="1"/>
  <c r="LK45" i="1"/>
  <c r="LK49" i="1"/>
  <c r="LK57" i="1"/>
  <c r="LI58" i="1"/>
  <c r="LI66" i="1"/>
  <c r="LK69" i="1"/>
  <c r="LK32" i="1"/>
  <c r="LK36" i="1"/>
  <c r="LI38" i="1"/>
  <c r="LK40" i="1"/>
  <c r="LK44" i="1"/>
  <c r="LI46" i="1"/>
  <c r="LK48" i="1"/>
  <c r="LK52" i="1"/>
  <c r="LI54" i="1"/>
  <c r="LK56" i="1"/>
  <c r="LK60" i="1"/>
  <c r="LK64" i="1"/>
  <c r="LK68" i="1"/>
  <c r="LK72" i="1"/>
  <c r="LK76" i="1"/>
  <c r="LI78" i="1"/>
  <c r="LK11" i="1"/>
  <c r="LI79" i="1"/>
  <c r="LJ78" i="1"/>
  <c r="LK75" i="1"/>
  <c r="LJ74" i="1"/>
  <c r="LI73" i="1"/>
  <c r="LK71" i="1"/>
  <c r="LI69" i="1"/>
  <c r="LJ68" i="1"/>
  <c r="LI67" i="1"/>
  <c r="LJ65" i="1"/>
  <c r="LJ64" i="1"/>
  <c r="LK63" i="1"/>
  <c r="LK59" i="1"/>
  <c r="LJ59" i="1"/>
  <c r="LI59" i="1"/>
  <c r="LJ58" i="1"/>
  <c r="LI57" i="1"/>
  <c r="LJ56" i="1"/>
  <c r="LK55" i="1"/>
  <c r="LJ55" i="1"/>
  <c r="LI55" i="1"/>
  <c r="LJ54" i="1"/>
  <c r="LI53" i="1"/>
  <c r="LJ52" i="1"/>
  <c r="LK51" i="1"/>
  <c r="LJ51" i="1"/>
  <c r="LI51" i="1"/>
  <c r="LJ50" i="1"/>
  <c r="LJ49" i="1"/>
  <c r="LK47" i="1"/>
  <c r="LJ47" i="1"/>
  <c r="LI47" i="1"/>
  <c r="LJ46" i="1"/>
  <c r="LI45" i="1"/>
  <c r="LJ44" i="1"/>
  <c r="LK43" i="1"/>
  <c r="LJ43" i="1"/>
  <c r="LI43" i="1"/>
  <c r="LJ42" i="1"/>
  <c r="LI41" i="1"/>
  <c r="LJ40" i="1"/>
  <c r="LK39" i="1"/>
  <c r="LJ39" i="1"/>
  <c r="LI39" i="1"/>
  <c r="LJ38" i="1"/>
  <c r="LJ37" i="1"/>
  <c r="LI37" i="1"/>
  <c r="LK35" i="1"/>
  <c r="LJ35" i="1"/>
  <c r="LI35" i="1"/>
  <c r="LJ34" i="1"/>
  <c r="LJ33" i="1"/>
  <c r="LI33" i="1"/>
  <c r="LK31" i="1"/>
  <c r="LJ31" i="1"/>
  <c r="LI31" i="1"/>
  <c r="LJ30" i="1"/>
  <c r="LI30" i="1"/>
  <c r="LK29" i="1"/>
  <c r="LJ29" i="1"/>
  <c r="LK28" i="1"/>
  <c r="LJ28" i="1"/>
  <c r="LI28" i="1"/>
  <c r="LK27" i="1"/>
  <c r="LJ27" i="1"/>
  <c r="LI27" i="1"/>
  <c r="LK26" i="1"/>
  <c r="LJ26" i="1"/>
  <c r="LI26" i="1"/>
  <c r="LK25" i="1"/>
  <c r="LJ25" i="1"/>
  <c r="LI25" i="1"/>
  <c r="LK24" i="1"/>
  <c r="LJ24" i="1"/>
  <c r="LI24" i="1"/>
  <c r="LK23" i="1"/>
  <c r="LJ23" i="1"/>
  <c r="LI23" i="1"/>
  <c r="LK22" i="1"/>
  <c r="LJ22" i="1"/>
  <c r="LI22" i="1"/>
  <c r="LK21" i="1"/>
  <c r="LJ21" i="1"/>
  <c r="LI21" i="1"/>
  <c r="LK20" i="1"/>
  <c r="LJ20" i="1"/>
  <c r="LI20" i="1"/>
  <c r="LK19" i="1"/>
  <c r="LJ19" i="1"/>
  <c r="LI19" i="1"/>
  <c r="LK18" i="1"/>
  <c r="LJ18" i="1"/>
  <c r="LI18" i="1"/>
  <c r="LK17" i="1"/>
  <c r="LJ17" i="1"/>
  <c r="LI17" i="1"/>
  <c r="LK16" i="1"/>
  <c r="LJ16" i="1"/>
  <c r="LI16" i="1"/>
  <c r="LK15" i="1"/>
  <c r="LJ15" i="1"/>
  <c r="LI15" i="1"/>
  <c r="LK14" i="1"/>
  <c r="LJ14" i="1"/>
  <c r="LI14" i="1"/>
  <c r="LK13" i="1"/>
  <c r="LJ13" i="1"/>
  <c r="LI13" i="1"/>
  <c r="LK12" i="1"/>
  <c r="LJ12" i="1"/>
  <c r="LI12" i="1"/>
  <c r="LJ11" i="1"/>
  <c r="LI10" i="1"/>
  <c r="LI9" i="1"/>
  <c r="DM86" i="3"/>
  <c r="DJ86" i="3"/>
  <c r="DL86" i="3"/>
  <c r="LK77" i="1" l="1"/>
  <c r="LI65" i="1"/>
  <c r="LI61" i="1"/>
  <c r="LI32" i="1"/>
  <c r="LK34" i="1"/>
  <c r="LI36" i="1"/>
  <c r="LK38" i="1"/>
  <c r="LI40" i="1"/>
  <c r="LK42" i="1"/>
  <c r="LI44" i="1"/>
  <c r="LK46" i="1"/>
  <c r="LI48" i="1"/>
  <c r="LK50" i="1"/>
  <c r="LI52" i="1"/>
  <c r="LK54" i="1"/>
  <c r="LI56" i="1"/>
  <c r="LK58" i="1"/>
  <c r="LI60" i="1"/>
  <c r="LK62" i="1"/>
  <c r="LI64" i="1"/>
  <c r="LK66" i="1"/>
  <c r="LI68" i="1"/>
  <c r="LK70" i="1"/>
  <c r="LI72" i="1"/>
  <c r="LK74" i="1"/>
  <c r="LI76" i="1"/>
  <c r="LK78" i="1"/>
  <c r="LI80" i="1"/>
  <c r="LI11" i="1"/>
  <c r="KO94" i="1"/>
  <c r="KN94" i="1"/>
  <c r="KZ12" i="1"/>
  <c r="KZ13" i="1"/>
  <c r="KZ14" i="1"/>
  <c r="KZ15" i="1"/>
  <c r="KZ16" i="1"/>
  <c r="KZ17" i="1"/>
  <c r="KZ18" i="1"/>
  <c r="KZ19" i="1"/>
  <c r="KZ20" i="1"/>
  <c r="KZ21" i="1"/>
  <c r="KZ22" i="1"/>
  <c r="KZ23" i="1"/>
  <c r="KZ24" i="1"/>
  <c r="KZ25" i="1"/>
  <c r="KZ26" i="1"/>
  <c r="KZ27" i="1"/>
  <c r="KZ28" i="1"/>
  <c r="KZ29" i="1"/>
  <c r="KZ30" i="1"/>
  <c r="KZ31" i="1"/>
  <c r="KZ32" i="1"/>
  <c r="KZ33" i="1"/>
  <c r="KZ34" i="1"/>
  <c r="KZ35" i="1"/>
  <c r="KZ36" i="1"/>
  <c r="KZ37" i="1"/>
  <c r="KZ38" i="1"/>
  <c r="KZ39" i="1"/>
  <c r="KZ40" i="1"/>
  <c r="KZ41" i="1"/>
  <c r="KZ42" i="1"/>
  <c r="KZ43" i="1"/>
  <c r="KZ44" i="1"/>
  <c r="KZ45" i="1"/>
  <c r="KZ46" i="1"/>
  <c r="KZ47" i="1"/>
  <c r="KZ48" i="1"/>
  <c r="KZ49" i="1"/>
  <c r="KZ50" i="1"/>
  <c r="KZ51" i="1"/>
  <c r="KZ52" i="1"/>
  <c r="KZ53" i="1"/>
  <c r="KZ54" i="1"/>
  <c r="KZ55" i="1"/>
  <c r="KZ56" i="1"/>
  <c r="KZ57" i="1"/>
  <c r="KZ58" i="1"/>
  <c r="KZ59" i="1"/>
  <c r="KZ60" i="1"/>
  <c r="KZ61" i="1"/>
  <c r="KZ62" i="1"/>
  <c r="KZ63" i="1"/>
  <c r="KZ64" i="1"/>
  <c r="KZ65" i="1"/>
  <c r="KZ66" i="1"/>
  <c r="KZ67" i="1"/>
  <c r="KZ68" i="1"/>
  <c r="KZ69" i="1"/>
  <c r="KZ70" i="1"/>
  <c r="KZ71" i="1"/>
  <c r="KZ72" i="1"/>
  <c r="KZ73" i="1"/>
  <c r="KZ74" i="1"/>
  <c r="KZ75" i="1"/>
  <c r="KZ76" i="1"/>
  <c r="KZ77" i="1"/>
  <c r="KZ78" i="1"/>
  <c r="KZ79" i="1"/>
  <c r="KZ80" i="1"/>
  <c r="KZ81" i="1"/>
  <c r="KZ82" i="1"/>
  <c r="KZ83" i="1"/>
  <c r="KZ84" i="1"/>
  <c r="KZ85" i="1"/>
  <c r="KZ11" i="1"/>
  <c r="KZ86" i="1" s="1"/>
  <c r="KY12" i="1"/>
  <c r="KY13" i="1"/>
  <c r="KY14" i="1"/>
  <c r="KY15" i="1"/>
  <c r="KY16" i="1"/>
  <c r="KY17" i="1"/>
  <c r="KY18" i="1"/>
  <c r="KY19" i="1"/>
  <c r="KY20" i="1"/>
  <c r="KY21" i="1"/>
  <c r="KY22" i="1"/>
  <c r="KY23" i="1"/>
  <c r="KY24" i="1"/>
  <c r="KY25" i="1"/>
  <c r="KY26" i="1"/>
  <c r="KY27" i="1"/>
  <c r="KY28" i="1"/>
  <c r="KY29" i="1"/>
  <c r="KY30" i="1"/>
  <c r="KY31" i="1"/>
  <c r="KY32" i="1"/>
  <c r="KY33" i="1"/>
  <c r="KY34" i="1"/>
  <c r="KY35" i="1"/>
  <c r="KY36" i="1"/>
  <c r="KY37" i="1"/>
  <c r="KY38" i="1"/>
  <c r="KY39" i="1"/>
  <c r="KY40" i="1"/>
  <c r="KY41" i="1"/>
  <c r="KY42" i="1"/>
  <c r="KY43" i="1"/>
  <c r="KY44" i="1"/>
  <c r="KY45" i="1"/>
  <c r="KY46" i="1"/>
  <c r="KY47" i="1"/>
  <c r="KY48" i="1"/>
  <c r="KY49" i="1"/>
  <c r="KY50" i="1"/>
  <c r="KY51" i="1"/>
  <c r="KY52" i="1"/>
  <c r="KY53" i="1"/>
  <c r="KY54" i="1"/>
  <c r="KY55" i="1"/>
  <c r="KY56" i="1"/>
  <c r="KY57" i="1"/>
  <c r="KY58" i="1"/>
  <c r="KY59" i="1"/>
  <c r="KY60" i="1"/>
  <c r="KY61" i="1"/>
  <c r="KY62" i="1"/>
  <c r="KY63" i="1"/>
  <c r="KY64" i="1"/>
  <c r="KY65" i="1"/>
  <c r="KY66" i="1"/>
  <c r="KY67" i="1"/>
  <c r="KY68" i="1"/>
  <c r="KY69" i="1"/>
  <c r="KY70" i="1"/>
  <c r="KY71" i="1"/>
  <c r="KY72" i="1"/>
  <c r="KY73" i="1"/>
  <c r="KY74" i="1"/>
  <c r="KY75" i="1"/>
  <c r="KY76" i="1"/>
  <c r="KY77" i="1"/>
  <c r="KY78" i="1"/>
  <c r="KY79" i="1"/>
  <c r="KY80" i="1"/>
  <c r="KY81" i="1"/>
  <c r="KY82" i="1"/>
  <c r="KY83" i="1"/>
  <c r="KY84" i="1"/>
  <c r="KY85" i="1"/>
  <c r="KY11" i="1"/>
  <c r="LA28" i="1"/>
  <c r="KO93" i="1"/>
  <c r="KN93" i="1"/>
  <c r="KN88" i="1"/>
  <c r="KN87" i="1"/>
  <c r="KN86" i="1"/>
  <c r="KP11" i="1"/>
  <c r="LA81" i="1"/>
  <c r="LA76" i="1"/>
  <c r="LA77" i="1"/>
  <c r="LA80" i="1"/>
  <c r="LA75" i="1"/>
  <c r="LA66" i="1"/>
  <c r="LA61" i="1"/>
  <c r="LA69" i="1"/>
  <c r="LA46" i="1"/>
  <c r="LA58" i="1"/>
  <c r="LA50" i="1"/>
  <c r="LA74" i="1"/>
  <c r="LA11" i="1"/>
  <c r="LA73" i="1"/>
  <c r="LA53" i="1"/>
  <c r="LA57" i="1"/>
  <c r="LA65" i="1"/>
  <c r="LA72" i="1"/>
  <c r="LA71" i="1"/>
  <c r="LA68" i="1"/>
  <c r="LA67" i="1"/>
  <c r="LA64" i="1"/>
  <c r="LA63" i="1"/>
  <c r="LA60" i="1"/>
  <c r="LA59" i="1"/>
  <c r="LA56" i="1"/>
  <c r="LA55" i="1"/>
  <c r="LA52" i="1"/>
  <c r="LA51" i="1"/>
  <c r="LA49" i="1"/>
  <c r="LA47" i="1"/>
  <c r="LA45" i="1"/>
  <c r="LA43" i="1"/>
  <c r="LA41" i="1"/>
  <c r="LA40" i="1"/>
  <c r="LA39" i="1"/>
  <c r="LA38" i="1"/>
  <c r="LA37" i="1"/>
  <c r="LA36" i="1"/>
  <c r="LA35" i="1"/>
  <c r="LA34" i="1"/>
  <c r="LA33" i="1"/>
  <c r="LA32" i="1"/>
  <c r="LA31" i="1"/>
  <c r="LA30" i="1"/>
  <c r="LA29" i="1"/>
  <c r="LA27" i="1"/>
  <c r="LA26" i="1"/>
  <c r="LA25" i="1"/>
  <c r="LA24" i="1"/>
  <c r="LA23" i="1"/>
  <c r="LA22" i="1"/>
  <c r="LA21" i="1"/>
  <c r="LA20" i="1"/>
  <c r="LA19" i="1"/>
  <c r="LA18" i="1"/>
  <c r="LA17" i="1"/>
  <c r="LA16" i="1"/>
  <c r="LA15" i="1"/>
  <c r="LA14" i="1"/>
  <c r="LA13" i="1"/>
  <c r="LA12" i="1"/>
  <c r="KY10" i="1"/>
  <c r="KY9" i="1"/>
  <c r="DF86" i="3" l="1"/>
  <c r="DC86" i="3"/>
  <c r="LA79" i="1"/>
  <c r="LA42" i="1"/>
  <c r="LA78" i="1"/>
  <c r="LA44" i="1"/>
  <c r="LA48" i="1"/>
  <c r="LA54" i="1"/>
  <c r="LA62" i="1"/>
  <c r="LA70" i="1"/>
  <c r="DE86" i="3"/>
  <c r="KN90" i="1"/>
  <c r="KD90" i="1"/>
  <c r="KD88" i="1"/>
  <c r="KD86" i="1"/>
  <c r="KP86" i="1"/>
  <c r="KF86" i="1"/>
  <c r="KP12" i="1"/>
  <c r="KP13" i="1"/>
  <c r="KP14" i="1"/>
  <c r="KP15" i="1"/>
  <c r="KP16" i="1"/>
  <c r="KP17" i="1"/>
  <c r="KP18" i="1"/>
  <c r="KP19" i="1"/>
  <c r="KP20" i="1"/>
  <c r="KP21" i="1"/>
  <c r="KP22" i="1"/>
  <c r="KP23" i="1"/>
  <c r="KP24" i="1"/>
  <c r="KP25" i="1"/>
  <c r="KP26" i="1"/>
  <c r="KP27" i="1"/>
  <c r="KP28" i="1"/>
  <c r="KP29" i="1"/>
  <c r="KP30" i="1"/>
  <c r="KP31" i="1"/>
  <c r="KP32" i="1"/>
  <c r="KP33" i="1"/>
  <c r="KP34" i="1"/>
  <c r="KP35" i="1"/>
  <c r="KP36" i="1"/>
  <c r="KP37" i="1"/>
  <c r="KP38" i="1"/>
  <c r="KP39" i="1"/>
  <c r="KP40" i="1"/>
  <c r="KP41" i="1"/>
  <c r="KP42" i="1"/>
  <c r="KP43" i="1"/>
  <c r="KP44" i="1"/>
  <c r="KP45" i="1"/>
  <c r="KP46" i="1"/>
  <c r="KP47" i="1"/>
  <c r="KP48" i="1"/>
  <c r="KP49" i="1"/>
  <c r="KP50" i="1"/>
  <c r="KP51" i="1"/>
  <c r="KP52" i="1"/>
  <c r="KP53" i="1"/>
  <c r="KP54" i="1"/>
  <c r="KP55" i="1"/>
  <c r="KP56" i="1"/>
  <c r="KP57" i="1"/>
  <c r="KP58" i="1"/>
  <c r="KP59" i="1"/>
  <c r="KP60" i="1"/>
  <c r="KP61" i="1"/>
  <c r="KP62" i="1"/>
  <c r="KP63" i="1"/>
  <c r="KP64" i="1"/>
  <c r="KP65" i="1"/>
  <c r="KP66" i="1"/>
  <c r="KP67" i="1"/>
  <c r="KP68" i="1"/>
  <c r="KP69" i="1"/>
  <c r="KP70" i="1"/>
  <c r="KP71" i="1"/>
  <c r="KP72" i="1"/>
  <c r="KP73" i="1"/>
  <c r="KP74" i="1"/>
  <c r="KP75" i="1"/>
  <c r="KP76" i="1"/>
  <c r="KP77" i="1"/>
  <c r="KP78" i="1"/>
  <c r="KP79" i="1"/>
  <c r="KP80" i="1"/>
  <c r="KP81" i="1"/>
  <c r="KP82" i="1"/>
  <c r="KP83" i="1"/>
  <c r="KP85" i="1"/>
  <c r="KP84" i="1"/>
  <c r="KO82" i="1"/>
  <c r="KO83" i="1"/>
  <c r="KO84" i="1"/>
  <c r="KO76" i="1"/>
  <c r="KQ78" i="1"/>
  <c r="KO80" i="1"/>
  <c r="KQ62" i="1"/>
  <c r="KQ67" i="1"/>
  <c r="KO70" i="1"/>
  <c r="KQ71" i="1"/>
  <c r="KQ74" i="1"/>
  <c r="KO75" i="1"/>
  <c r="KQ79" i="1"/>
  <c r="KQ61" i="1"/>
  <c r="KO52" i="1"/>
  <c r="KO53" i="1"/>
  <c r="KO56" i="1"/>
  <c r="KO57" i="1"/>
  <c r="KO60" i="1"/>
  <c r="KO64" i="1"/>
  <c r="KQ65" i="1"/>
  <c r="KO68" i="1"/>
  <c r="KO69" i="1"/>
  <c r="KO72" i="1"/>
  <c r="KQ73" i="1"/>
  <c r="KO77" i="1"/>
  <c r="KQ81" i="1"/>
  <c r="KO85" i="1"/>
  <c r="KQ48" i="1"/>
  <c r="KQ41" i="1"/>
  <c r="KQ49" i="1"/>
  <c r="KQ55" i="1"/>
  <c r="KQ57" i="1"/>
  <c r="KQ59" i="1"/>
  <c r="KQ63" i="1"/>
  <c r="KQ75" i="1"/>
  <c r="KO28" i="1"/>
  <c r="KO10" i="1"/>
  <c r="KO11" i="1"/>
  <c r="KO12" i="1"/>
  <c r="KO13" i="1"/>
  <c r="KO14" i="1"/>
  <c r="KO15" i="1"/>
  <c r="KO16" i="1"/>
  <c r="KO17" i="1"/>
  <c r="KO18" i="1"/>
  <c r="KO19" i="1"/>
  <c r="KO20" i="1"/>
  <c r="KO21" i="1"/>
  <c r="KO22" i="1"/>
  <c r="KO23" i="1"/>
  <c r="KO24" i="1"/>
  <c r="KO25" i="1"/>
  <c r="KO26" i="1"/>
  <c r="KO27" i="1"/>
  <c r="KO29" i="1"/>
  <c r="KO30" i="1"/>
  <c r="KO31" i="1"/>
  <c r="KO32" i="1"/>
  <c r="KO33" i="1"/>
  <c r="KO34" i="1"/>
  <c r="KO35" i="1"/>
  <c r="KO36" i="1"/>
  <c r="KO37" i="1"/>
  <c r="KO38" i="1"/>
  <c r="KO39" i="1"/>
  <c r="KO40" i="1"/>
  <c r="KO41" i="1"/>
  <c r="KO42" i="1"/>
  <c r="KO43" i="1"/>
  <c r="KO44" i="1"/>
  <c r="KO45" i="1"/>
  <c r="KO46" i="1"/>
  <c r="KO47" i="1"/>
  <c r="KO48" i="1"/>
  <c r="KO49" i="1"/>
  <c r="KO50" i="1"/>
  <c r="KO51" i="1"/>
  <c r="KO54" i="1"/>
  <c r="KO55" i="1"/>
  <c r="KO58" i="1"/>
  <c r="KO59" i="1"/>
  <c r="KO63" i="1"/>
  <c r="KO66" i="1"/>
  <c r="KO71" i="1"/>
  <c r="KO74" i="1"/>
  <c r="KO9" i="1"/>
  <c r="KE13" i="1"/>
  <c r="KQ13" i="1"/>
  <c r="KQ17" i="1"/>
  <c r="KQ21" i="1"/>
  <c r="KQ25" i="1"/>
  <c r="KQ29" i="1"/>
  <c r="KQ33" i="1"/>
  <c r="KQ37" i="1"/>
  <c r="KQ45" i="1"/>
  <c r="KQ53" i="1"/>
  <c r="KQ77" i="1"/>
  <c r="KQ72" i="1"/>
  <c r="KQ70" i="1"/>
  <c r="KQ68" i="1"/>
  <c r="KQ66" i="1"/>
  <c r="KQ58" i="1"/>
  <c r="KQ56" i="1"/>
  <c r="KQ54" i="1"/>
  <c r="KQ52" i="1"/>
  <c r="KQ51" i="1"/>
  <c r="KQ50" i="1"/>
  <c r="KQ47" i="1"/>
  <c r="KQ46" i="1"/>
  <c r="KQ44" i="1"/>
  <c r="KQ43" i="1"/>
  <c r="KQ42" i="1"/>
  <c r="KQ40" i="1"/>
  <c r="KQ39" i="1"/>
  <c r="KQ38" i="1"/>
  <c r="KQ36" i="1"/>
  <c r="KQ35" i="1"/>
  <c r="KQ34" i="1"/>
  <c r="KQ32" i="1"/>
  <c r="KQ31" i="1"/>
  <c r="KQ30" i="1"/>
  <c r="KQ27" i="1"/>
  <c r="KQ26" i="1"/>
  <c r="KQ24" i="1"/>
  <c r="KQ23" i="1"/>
  <c r="KQ22" i="1"/>
  <c r="KQ20" i="1"/>
  <c r="KQ19" i="1"/>
  <c r="KQ18" i="1"/>
  <c r="KQ16" i="1"/>
  <c r="KQ15" i="1"/>
  <c r="KQ14" i="1"/>
  <c r="KQ12" i="1"/>
  <c r="KQ11" i="1"/>
  <c r="CA91" i="3"/>
  <c r="CC91" i="3"/>
  <c r="CD91" i="3"/>
  <c r="CH91" i="3"/>
  <c r="KO79" i="1" l="1"/>
  <c r="KO78" i="1"/>
  <c r="KO62" i="1"/>
  <c r="KO67" i="1"/>
  <c r="KQ60" i="1"/>
  <c r="KQ76" i="1"/>
  <c r="KQ69" i="1"/>
  <c r="KO81" i="1"/>
  <c r="KO73" i="1"/>
  <c r="KO65" i="1"/>
  <c r="KO61" i="1"/>
  <c r="KQ64" i="1"/>
  <c r="KQ80" i="1"/>
  <c r="KQ28" i="1"/>
  <c r="KE94" i="1"/>
  <c r="KF11" i="1"/>
  <c r="KE12" i="1"/>
  <c r="KE14" i="1"/>
  <c r="KE15" i="1"/>
  <c r="KE16" i="1"/>
  <c r="KE17" i="1"/>
  <c r="KE18" i="1"/>
  <c r="KE19" i="1"/>
  <c r="KE20" i="1"/>
  <c r="KE21" i="1"/>
  <c r="KE22" i="1"/>
  <c r="KE23" i="1"/>
  <c r="KE24" i="1"/>
  <c r="KE25" i="1"/>
  <c r="KE26" i="1"/>
  <c r="KE27" i="1"/>
  <c r="KE28" i="1"/>
  <c r="KE29" i="1"/>
  <c r="KE30" i="1"/>
  <c r="KE31" i="1"/>
  <c r="KE32" i="1"/>
  <c r="KE33" i="1"/>
  <c r="KE34" i="1"/>
  <c r="KE35" i="1"/>
  <c r="KE36" i="1"/>
  <c r="KE37" i="1"/>
  <c r="KE38" i="1"/>
  <c r="KE39" i="1"/>
  <c r="KE40" i="1"/>
  <c r="KE41" i="1"/>
  <c r="KE42" i="1"/>
  <c r="KE43" i="1"/>
  <c r="KE44" i="1"/>
  <c r="KE45" i="1"/>
  <c r="KE46" i="1"/>
  <c r="KE47" i="1"/>
  <c r="KE48" i="1"/>
  <c r="KE49" i="1"/>
  <c r="KE50" i="1"/>
  <c r="KE51" i="1"/>
  <c r="KE52" i="1"/>
  <c r="KE53" i="1"/>
  <c r="KE54" i="1"/>
  <c r="KE55" i="1"/>
  <c r="KE56" i="1"/>
  <c r="KE57" i="1"/>
  <c r="KE58" i="1"/>
  <c r="KE59" i="1"/>
  <c r="KE60" i="1"/>
  <c r="KE61" i="1"/>
  <c r="KE62" i="1"/>
  <c r="KE63" i="1"/>
  <c r="KE64" i="1"/>
  <c r="KE65" i="1"/>
  <c r="KE66" i="1"/>
  <c r="KE67" i="1"/>
  <c r="KE68" i="1"/>
  <c r="KE69" i="1"/>
  <c r="KE70" i="1"/>
  <c r="KE71" i="1"/>
  <c r="KE72" i="1"/>
  <c r="KE73" i="1"/>
  <c r="KE74" i="1"/>
  <c r="KE75" i="1"/>
  <c r="KE76" i="1"/>
  <c r="KE77" i="1"/>
  <c r="KE78" i="1"/>
  <c r="KE79" i="1"/>
  <c r="KE80" i="1"/>
  <c r="KE81" i="1"/>
  <c r="KE11" i="1"/>
  <c r="JU94" i="1" l="1"/>
  <c r="JJ86" i="1"/>
  <c r="JT86" i="1"/>
  <c r="KD87" i="1" s="1"/>
  <c r="KD94" i="1" s="1"/>
  <c r="KF12" i="1"/>
  <c r="KF13" i="1"/>
  <c r="KF14" i="1"/>
  <c r="KF15" i="1"/>
  <c r="KF16" i="1"/>
  <c r="KF17" i="1"/>
  <c r="KF18" i="1"/>
  <c r="KF19" i="1"/>
  <c r="KF20" i="1"/>
  <c r="KF21" i="1"/>
  <c r="KF22" i="1"/>
  <c r="KF23" i="1"/>
  <c r="KF24" i="1"/>
  <c r="KF25" i="1"/>
  <c r="KF26" i="1"/>
  <c r="KF27" i="1"/>
  <c r="KF28" i="1"/>
  <c r="KF29" i="1"/>
  <c r="KF30" i="1"/>
  <c r="KF31" i="1"/>
  <c r="KF32" i="1"/>
  <c r="KF33" i="1"/>
  <c r="KF34" i="1"/>
  <c r="KF35" i="1"/>
  <c r="KF36" i="1"/>
  <c r="KF37" i="1"/>
  <c r="KF38" i="1"/>
  <c r="KF39" i="1"/>
  <c r="KF40" i="1"/>
  <c r="KF41" i="1"/>
  <c r="KF42" i="1"/>
  <c r="KF43" i="1"/>
  <c r="KF44" i="1"/>
  <c r="KF45" i="1"/>
  <c r="KF46" i="1"/>
  <c r="KF47" i="1"/>
  <c r="KF48" i="1"/>
  <c r="KF49" i="1"/>
  <c r="KF50" i="1"/>
  <c r="KF51" i="1"/>
  <c r="KF52" i="1"/>
  <c r="KF53" i="1"/>
  <c r="KF54" i="1"/>
  <c r="KF55" i="1"/>
  <c r="KF56" i="1"/>
  <c r="KF57" i="1"/>
  <c r="KF58" i="1"/>
  <c r="KF59" i="1"/>
  <c r="KF60" i="1"/>
  <c r="KF61" i="1"/>
  <c r="KF62" i="1"/>
  <c r="KF63" i="1"/>
  <c r="KF64" i="1"/>
  <c r="KF65" i="1"/>
  <c r="KF66" i="1"/>
  <c r="KF67" i="1"/>
  <c r="KF68" i="1"/>
  <c r="KF69" i="1"/>
  <c r="KF70" i="1"/>
  <c r="KF71" i="1"/>
  <c r="KF72" i="1"/>
  <c r="KF73" i="1"/>
  <c r="KF74" i="1"/>
  <c r="KF75" i="1"/>
  <c r="KF76" i="1"/>
  <c r="KF77" i="1"/>
  <c r="KF78" i="1"/>
  <c r="KF79" i="1"/>
  <c r="KF80" i="1"/>
  <c r="KF81" i="1"/>
  <c r="KF82" i="1"/>
  <c r="KF83" i="1"/>
  <c r="KF84" i="1"/>
  <c r="KF85" i="1"/>
  <c r="JV82" i="1"/>
  <c r="JV83" i="1"/>
  <c r="JV84" i="1"/>
  <c r="JV85" i="1"/>
  <c r="JV12" i="1"/>
  <c r="JV13" i="1"/>
  <c r="JV86" i="1" s="1"/>
  <c r="JV14" i="1"/>
  <c r="JV15" i="1"/>
  <c r="JV16" i="1"/>
  <c r="JV17" i="1"/>
  <c r="JV18" i="1"/>
  <c r="JV19" i="1"/>
  <c r="JV20" i="1"/>
  <c r="JV21" i="1"/>
  <c r="JV22" i="1"/>
  <c r="JV23" i="1"/>
  <c r="JV24" i="1"/>
  <c r="JV25" i="1"/>
  <c r="JV26" i="1"/>
  <c r="JV27" i="1"/>
  <c r="JV28" i="1"/>
  <c r="JV29" i="1"/>
  <c r="JV30" i="1"/>
  <c r="JV31" i="1"/>
  <c r="JV32" i="1"/>
  <c r="JV33" i="1"/>
  <c r="JV34" i="1"/>
  <c r="JV35" i="1"/>
  <c r="JV36" i="1"/>
  <c r="JV37" i="1"/>
  <c r="JV38" i="1"/>
  <c r="JV39" i="1"/>
  <c r="JV40" i="1"/>
  <c r="JV41" i="1"/>
  <c r="JV42" i="1"/>
  <c r="JV43" i="1"/>
  <c r="JV44" i="1"/>
  <c r="JV45" i="1"/>
  <c r="JV46" i="1"/>
  <c r="JV47" i="1"/>
  <c r="JV48" i="1"/>
  <c r="JV49" i="1"/>
  <c r="JV50" i="1"/>
  <c r="JV51" i="1"/>
  <c r="JV52" i="1"/>
  <c r="JV53" i="1"/>
  <c r="JV54" i="1"/>
  <c r="JV55" i="1"/>
  <c r="JV56" i="1"/>
  <c r="JV57" i="1"/>
  <c r="JV58" i="1"/>
  <c r="JV59" i="1"/>
  <c r="JV60" i="1"/>
  <c r="JV61" i="1"/>
  <c r="JV62" i="1"/>
  <c r="JV63" i="1"/>
  <c r="JV64" i="1"/>
  <c r="JV65" i="1"/>
  <c r="JV66" i="1"/>
  <c r="JV67" i="1"/>
  <c r="JV68" i="1"/>
  <c r="JV69" i="1"/>
  <c r="JV70" i="1"/>
  <c r="JV71" i="1"/>
  <c r="JV72" i="1"/>
  <c r="JV73" i="1"/>
  <c r="JV74" i="1"/>
  <c r="JV75" i="1"/>
  <c r="JV76" i="1"/>
  <c r="JV77" i="1"/>
  <c r="JV78" i="1"/>
  <c r="JV79" i="1"/>
  <c r="JV80" i="1"/>
  <c r="JV81" i="1"/>
  <c r="JV11" i="1"/>
  <c r="JL11" i="1"/>
  <c r="KE83" i="1"/>
  <c r="KE84" i="1"/>
  <c r="KE85" i="1"/>
  <c r="KE82" i="1"/>
  <c r="KE10" i="1"/>
  <c r="KE9" i="1"/>
  <c r="JU83" i="1"/>
  <c r="JU84" i="1"/>
  <c r="JU85" i="1"/>
  <c r="JU82" i="1"/>
  <c r="JU12" i="1"/>
  <c r="JU13" i="1"/>
  <c r="JU14" i="1"/>
  <c r="JU15" i="1"/>
  <c r="JU16" i="1"/>
  <c r="JU17" i="1"/>
  <c r="JU18" i="1"/>
  <c r="JU19" i="1"/>
  <c r="JU20" i="1"/>
  <c r="JU21" i="1"/>
  <c r="JU22" i="1"/>
  <c r="JU23" i="1"/>
  <c r="JU24" i="1"/>
  <c r="JU25" i="1"/>
  <c r="JU26" i="1"/>
  <c r="JU27" i="1"/>
  <c r="JU28" i="1"/>
  <c r="JU29" i="1"/>
  <c r="JU30" i="1"/>
  <c r="JU31" i="1"/>
  <c r="JU32" i="1"/>
  <c r="JU33" i="1"/>
  <c r="JU34" i="1"/>
  <c r="JU35" i="1"/>
  <c r="JU36" i="1"/>
  <c r="JU37" i="1"/>
  <c r="JU38" i="1"/>
  <c r="JU39" i="1"/>
  <c r="JU40" i="1"/>
  <c r="JU41" i="1"/>
  <c r="JU42" i="1"/>
  <c r="JU43" i="1"/>
  <c r="JU44" i="1"/>
  <c r="JU45" i="1"/>
  <c r="JU46" i="1"/>
  <c r="JU47" i="1"/>
  <c r="JU48" i="1"/>
  <c r="JU49" i="1"/>
  <c r="JU50" i="1"/>
  <c r="JU51" i="1"/>
  <c r="JU52" i="1"/>
  <c r="JU53" i="1"/>
  <c r="JU54" i="1"/>
  <c r="JU55" i="1"/>
  <c r="JU56" i="1"/>
  <c r="JU57" i="1"/>
  <c r="JU58" i="1"/>
  <c r="JU59" i="1"/>
  <c r="JU60" i="1"/>
  <c r="JU61" i="1"/>
  <c r="JU62" i="1"/>
  <c r="JU63" i="1"/>
  <c r="JU64" i="1"/>
  <c r="JU65" i="1"/>
  <c r="JU66" i="1"/>
  <c r="JU67" i="1"/>
  <c r="JU68" i="1"/>
  <c r="JU69" i="1"/>
  <c r="JU70" i="1"/>
  <c r="JU71" i="1"/>
  <c r="JU72" i="1"/>
  <c r="JU73" i="1"/>
  <c r="JU74" i="1"/>
  <c r="JU75" i="1"/>
  <c r="JU76" i="1"/>
  <c r="JU77" i="1"/>
  <c r="JU78" i="1"/>
  <c r="JU79" i="1"/>
  <c r="JU80" i="1"/>
  <c r="JU81" i="1"/>
  <c r="JU11" i="1"/>
  <c r="JU10" i="1"/>
  <c r="JU9" i="1"/>
  <c r="HM14" i="1"/>
  <c r="KG28" i="1"/>
  <c r="KG76" i="1"/>
  <c r="KG78" i="1"/>
  <c r="KG80" i="1"/>
  <c r="KG81" i="1"/>
  <c r="KG79" i="1"/>
  <c r="KG77" i="1"/>
  <c r="KG75" i="1"/>
  <c r="KG74" i="1"/>
  <c r="KG73" i="1"/>
  <c r="KG72" i="1"/>
  <c r="KG71" i="1"/>
  <c r="KG70" i="1"/>
  <c r="KG69" i="1"/>
  <c r="KG68" i="1"/>
  <c r="KG67" i="1"/>
  <c r="KG66" i="1"/>
  <c r="KG65" i="1"/>
  <c r="KG64" i="1"/>
  <c r="KG63" i="1"/>
  <c r="KG62" i="1"/>
  <c r="KG61" i="1"/>
  <c r="KG60" i="1"/>
  <c r="KG59" i="1"/>
  <c r="KG58" i="1"/>
  <c r="KG57" i="1"/>
  <c r="KG56" i="1"/>
  <c r="KG55" i="1"/>
  <c r="KG54" i="1"/>
  <c r="KG53" i="1"/>
  <c r="KG52" i="1"/>
  <c r="KG51" i="1"/>
  <c r="KG50" i="1"/>
  <c r="KG49" i="1"/>
  <c r="KG48" i="1"/>
  <c r="KG47" i="1"/>
  <c r="KG46" i="1"/>
  <c r="KG45" i="1"/>
  <c r="KG44" i="1"/>
  <c r="KG43" i="1"/>
  <c r="KG42" i="1"/>
  <c r="KG41" i="1"/>
  <c r="KG40" i="1"/>
  <c r="KG39" i="1"/>
  <c r="KG38" i="1"/>
  <c r="KG37" i="1"/>
  <c r="KG36" i="1"/>
  <c r="KG35" i="1"/>
  <c r="KG34" i="1"/>
  <c r="KG33" i="1"/>
  <c r="KG32" i="1"/>
  <c r="KG31" i="1"/>
  <c r="KG30" i="1"/>
  <c r="KG29" i="1"/>
  <c r="KG27" i="1"/>
  <c r="KG26" i="1"/>
  <c r="KG25" i="1"/>
  <c r="KG24" i="1"/>
  <c r="KG23" i="1"/>
  <c r="KG22" i="1"/>
  <c r="KG21" i="1"/>
  <c r="KG20" i="1"/>
  <c r="KG19" i="1"/>
  <c r="KG18" i="1"/>
  <c r="KG17" i="1"/>
  <c r="KG16" i="1"/>
  <c r="KG15" i="1"/>
  <c r="KG14" i="1"/>
  <c r="KG13" i="1"/>
  <c r="KG12" i="1"/>
  <c r="KG11" i="1"/>
  <c r="KD93" i="1" l="1"/>
  <c r="JU93" i="1"/>
  <c r="KE93" i="1"/>
  <c r="JT87" i="1"/>
  <c r="JT94" i="1" s="1"/>
  <c r="JW77" i="1"/>
  <c r="JW79" i="1"/>
  <c r="JW81" i="1"/>
  <c r="JW70" i="1"/>
  <c r="JW72" i="1"/>
  <c r="JW74" i="1"/>
  <c r="JW76" i="1"/>
  <c r="JW78" i="1"/>
  <c r="JW80" i="1"/>
  <c r="JW75" i="1"/>
  <c r="JW73" i="1"/>
  <c r="JW71" i="1"/>
  <c r="JW69" i="1"/>
  <c r="JW68" i="1"/>
  <c r="JW67" i="1"/>
  <c r="JW66" i="1"/>
  <c r="JW65" i="1"/>
  <c r="JW64" i="1"/>
  <c r="JW63" i="1"/>
  <c r="JW62" i="1"/>
  <c r="JW61" i="1"/>
  <c r="JW60" i="1"/>
  <c r="JW59" i="1"/>
  <c r="JW58" i="1"/>
  <c r="JW57" i="1"/>
  <c r="JW56" i="1"/>
  <c r="JW55" i="1"/>
  <c r="JW54" i="1"/>
  <c r="JW53" i="1"/>
  <c r="JW52" i="1"/>
  <c r="JW51" i="1"/>
  <c r="JW50" i="1"/>
  <c r="JW49" i="1"/>
  <c r="JW48" i="1"/>
  <c r="JW47" i="1"/>
  <c r="JW46" i="1"/>
  <c r="JW45" i="1"/>
  <c r="JW44" i="1"/>
  <c r="JW43" i="1"/>
  <c r="JW42" i="1"/>
  <c r="JW41" i="1"/>
  <c r="JW40" i="1"/>
  <c r="JW39" i="1"/>
  <c r="JW38" i="1"/>
  <c r="JW37" i="1"/>
  <c r="JW36" i="1"/>
  <c r="JW35" i="1"/>
  <c r="JW34" i="1"/>
  <c r="JW33" i="1"/>
  <c r="JW32" i="1"/>
  <c r="JW31" i="1"/>
  <c r="JW30" i="1"/>
  <c r="JW29" i="1"/>
  <c r="JW28" i="1"/>
  <c r="JW27" i="1"/>
  <c r="JW26" i="1"/>
  <c r="JW25" i="1"/>
  <c r="JW24" i="1"/>
  <c r="JW23" i="1"/>
  <c r="JW22" i="1"/>
  <c r="JW21" i="1"/>
  <c r="JW20" i="1"/>
  <c r="JW19" i="1"/>
  <c r="JW18" i="1"/>
  <c r="JW17" i="1"/>
  <c r="JW16" i="1"/>
  <c r="JW15" i="1"/>
  <c r="JW14" i="1"/>
  <c r="JW13" i="1"/>
  <c r="JW12" i="1"/>
  <c r="JW11" i="1"/>
  <c r="JT88" i="1" l="1"/>
  <c r="JT90" i="1" s="1"/>
  <c r="JM12" i="1"/>
  <c r="JC14" i="1"/>
  <c r="JK94" i="1"/>
  <c r="IZ86" i="1"/>
  <c r="JL12" i="1"/>
  <c r="JL13" i="1"/>
  <c r="JL14" i="1"/>
  <c r="JL15" i="1"/>
  <c r="JL16" i="1"/>
  <c r="JL17" i="1"/>
  <c r="JL18" i="1"/>
  <c r="JL19" i="1"/>
  <c r="JL20" i="1"/>
  <c r="JL21" i="1"/>
  <c r="JL22" i="1"/>
  <c r="JL23" i="1"/>
  <c r="JL24" i="1"/>
  <c r="JL25" i="1"/>
  <c r="JL26" i="1"/>
  <c r="JL27" i="1"/>
  <c r="JL28" i="1"/>
  <c r="JL29" i="1"/>
  <c r="JL30" i="1"/>
  <c r="JL31" i="1"/>
  <c r="JL32" i="1"/>
  <c r="JL33" i="1"/>
  <c r="JL34" i="1"/>
  <c r="JL35" i="1"/>
  <c r="JL36" i="1"/>
  <c r="JL37" i="1"/>
  <c r="JL38" i="1"/>
  <c r="JL39" i="1"/>
  <c r="JL40" i="1"/>
  <c r="JL41" i="1"/>
  <c r="JL42" i="1"/>
  <c r="JL43" i="1"/>
  <c r="JL44" i="1"/>
  <c r="JL45" i="1"/>
  <c r="JL46" i="1"/>
  <c r="JL47" i="1"/>
  <c r="JL48" i="1"/>
  <c r="JL49" i="1"/>
  <c r="JL50" i="1"/>
  <c r="JL51" i="1"/>
  <c r="JL52" i="1"/>
  <c r="JL53" i="1"/>
  <c r="JL54" i="1"/>
  <c r="JL55" i="1"/>
  <c r="JL56" i="1"/>
  <c r="JL57" i="1"/>
  <c r="JL58" i="1"/>
  <c r="JL59" i="1"/>
  <c r="JL60" i="1"/>
  <c r="JL61" i="1"/>
  <c r="JL62" i="1"/>
  <c r="JL63" i="1"/>
  <c r="JL64" i="1"/>
  <c r="JL65" i="1"/>
  <c r="JL66" i="1"/>
  <c r="JL67" i="1"/>
  <c r="JL68" i="1"/>
  <c r="JL69" i="1"/>
  <c r="JL70" i="1"/>
  <c r="JL71" i="1"/>
  <c r="JL72" i="1"/>
  <c r="JL73" i="1"/>
  <c r="JL74" i="1"/>
  <c r="JL75" i="1"/>
  <c r="JL76" i="1"/>
  <c r="JL77" i="1"/>
  <c r="JL78" i="1"/>
  <c r="JL79" i="1"/>
  <c r="JL80" i="1"/>
  <c r="JL81" i="1"/>
  <c r="JL82" i="1"/>
  <c r="JL83" i="1"/>
  <c r="JL84" i="1"/>
  <c r="JL85" i="1"/>
  <c r="JK12" i="1"/>
  <c r="JK13" i="1"/>
  <c r="JK14" i="1"/>
  <c r="JK15" i="1"/>
  <c r="JK16" i="1"/>
  <c r="JK17" i="1"/>
  <c r="JK18" i="1"/>
  <c r="JK19" i="1"/>
  <c r="JK20" i="1"/>
  <c r="JK21" i="1"/>
  <c r="JK22" i="1"/>
  <c r="JK23" i="1"/>
  <c r="JK24" i="1"/>
  <c r="JK25" i="1"/>
  <c r="JK26" i="1"/>
  <c r="JK27" i="1"/>
  <c r="JK28" i="1"/>
  <c r="JK29" i="1"/>
  <c r="JK30" i="1"/>
  <c r="JK31" i="1"/>
  <c r="JK32" i="1"/>
  <c r="JK33" i="1"/>
  <c r="JK34" i="1"/>
  <c r="JK35" i="1"/>
  <c r="JK36" i="1"/>
  <c r="JK37" i="1"/>
  <c r="JK38" i="1"/>
  <c r="JK39" i="1"/>
  <c r="JK40" i="1"/>
  <c r="JK41" i="1"/>
  <c r="JK42" i="1"/>
  <c r="JK43" i="1"/>
  <c r="JK44" i="1"/>
  <c r="JK45" i="1"/>
  <c r="JK46" i="1"/>
  <c r="JK47" i="1"/>
  <c r="JK48" i="1"/>
  <c r="JK49" i="1"/>
  <c r="JK50" i="1"/>
  <c r="JK51" i="1"/>
  <c r="JK52" i="1"/>
  <c r="JK53" i="1"/>
  <c r="JK54" i="1"/>
  <c r="JK55" i="1"/>
  <c r="JK56" i="1"/>
  <c r="JK57" i="1"/>
  <c r="JK58" i="1"/>
  <c r="JK59" i="1"/>
  <c r="JK60" i="1"/>
  <c r="JK61" i="1"/>
  <c r="JK62" i="1"/>
  <c r="JK63" i="1"/>
  <c r="JK64" i="1"/>
  <c r="JK65" i="1"/>
  <c r="JK66" i="1"/>
  <c r="JK67" i="1"/>
  <c r="JK68" i="1"/>
  <c r="JK69" i="1"/>
  <c r="JK70" i="1"/>
  <c r="JK71" i="1"/>
  <c r="JK72" i="1"/>
  <c r="JK73" i="1"/>
  <c r="JK74" i="1"/>
  <c r="JK75" i="1"/>
  <c r="JK76" i="1"/>
  <c r="JK77" i="1"/>
  <c r="JK78" i="1"/>
  <c r="JK79" i="1"/>
  <c r="JK80" i="1"/>
  <c r="JK81" i="1"/>
  <c r="JK82" i="1"/>
  <c r="JK83" i="1"/>
  <c r="JK84" i="1"/>
  <c r="JK85" i="1"/>
  <c r="JK11" i="1"/>
  <c r="JA9" i="1"/>
  <c r="JM74" i="1"/>
  <c r="JM76" i="1"/>
  <c r="JM78" i="1"/>
  <c r="JM80" i="1"/>
  <c r="JM81" i="1"/>
  <c r="JM79" i="1"/>
  <c r="JM77" i="1"/>
  <c r="JM75" i="1"/>
  <c r="JM73" i="1"/>
  <c r="JM72" i="1"/>
  <c r="JM71" i="1"/>
  <c r="JM70" i="1"/>
  <c r="JM69" i="1"/>
  <c r="JM68" i="1"/>
  <c r="JM67" i="1"/>
  <c r="JM66" i="1"/>
  <c r="JM65" i="1"/>
  <c r="JM64" i="1"/>
  <c r="JM63" i="1"/>
  <c r="JM62" i="1"/>
  <c r="JM61" i="1"/>
  <c r="JM60" i="1"/>
  <c r="JM59" i="1"/>
  <c r="JM58" i="1"/>
  <c r="JM57" i="1"/>
  <c r="JM56" i="1"/>
  <c r="JM55" i="1"/>
  <c r="JM54" i="1"/>
  <c r="JM53" i="1"/>
  <c r="JM52" i="1"/>
  <c r="JM51" i="1"/>
  <c r="JM50" i="1"/>
  <c r="JM49" i="1"/>
  <c r="JM48" i="1"/>
  <c r="JM47" i="1"/>
  <c r="JM46" i="1"/>
  <c r="JM45" i="1"/>
  <c r="JM44" i="1"/>
  <c r="JM43" i="1"/>
  <c r="JM42" i="1"/>
  <c r="JM41" i="1"/>
  <c r="JM40" i="1"/>
  <c r="JM39" i="1"/>
  <c r="JM38" i="1"/>
  <c r="JM37" i="1"/>
  <c r="JM36" i="1"/>
  <c r="JM35" i="1"/>
  <c r="JM34" i="1"/>
  <c r="JM33" i="1"/>
  <c r="JM32" i="1"/>
  <c r="JM31" i="1"/>
  <c r="JM30" i="1"/>
  <c r="JM29" i="1"/>
  <c r="JM28" i="1"/>
  <c r="JM27" i="1"/>
  <c r="JM26" i="1"/>
  <c r="JM25" i="1"/>
  <c r="JM24" i="1"/>
  <c r="JM23" i="1"/>
  <c r="JM22" i="1"/>
  <c r="JM21" i="1"/>
  <c r="JM20" i="1"/>
  <c r="JM19" i="1"/>
  <c r="JM18" i="1"/>
  <c r="JM17" i="1"/>
  <c r="JM16" i="1"/>
  <c r="JM15" i="1"/>
  <c r="JM14" i="1"/>
  <c r="JM13" i="1"/>
  <c r="JM11" i="1"/>
  <c r="JK10" i="1"/>
  <c r="JK9" i="1"/>
  <c r="JL86" i="1" l="1"/>
  <c r="JT93" i="1" s="1"/>
  <c r="JJ87" i="1"/>
  <c r="JK93" i="1"/>
  <c r="JA94" i="1"/>
  <c r="IP86" i="1"/>
  <c r="IZ87" i="1" s="1"/>
  <c r="IZ88" i="1" s="1"/>
  <c r="IZ90" i="1" s="1"/>
  <c r="JC11" i="1"/>
  <c r="JC74" i="1"/>
  <c r="JB82" i="1"/>
  <c r="JB83" i="1"/>
  <c r="JB84" i="1"/>
  <c r="JB85" i="1"/>
  <c r="JB12" i="1"/>
  <c r="JB13" i="1"/>
  <c r="JB14" i="1"/>
  <c r="JB15" i="1"/>
  <c r="JB16" i="1"/>
  <c r="JB17" i="1"/>
  <c r="JB18" i="1"/>
  <c r="JB19" i="1"/>
  <c r="JB20" i="1"/>
  <c r="JB21" i="1"/>
  <c r="JB22" i="1"/>
  <c r="JB23" i="1"/>
  <c r="JB24" i="1"/>
  <c r="JB25" i="1"/>
  <c r="JB26" i="1"/>
  <c r="JB27" i="1"/>
  <c r="JB28" i="1"/>
  <c r="JB29" i="1"/>
  <c r="JB30" i="1"/>
  <c r="JB31" i="1"/>
  <c r="JB32" i="1"/>
  <c r="JB33" i="1"/>
  <c r="JB34" i="1"/>
  <c r="JB35" i="1"/>
  <c r="JB36" i="1"/>
  <c r="JB37" i="1"/>
  <c r="JB38" i="1"/>
  <c r="JB39" i="1"/>
  <c r="JB40" i="1"/>
  <c r="JB41" i="1"/>
  <c r="JB42" i="1"/>
  <c r="JB43" i="1"/>
  <c r="JB44" i="1"/>
  <c r="JB45" i="1"/>
  <c r="JB46" i="1"/>
  <c r="JB47" i="1"/>
  <c r="JB48" i="1"/>
  <c r="JB49" i="1"/>
  <c r="JB50" i="1"/>
  <c r="JB51" i="1"/>
  <c r="JB52" i="1"/>
  <c r="JB53" i="1"/>
  <c r="JB54" i="1"/>
  <c r="JB55" i="1"/>
  <c r="JB56" i="1"/>
  <c r="JB57" i="1"/>
  <c r="JB58" i="1"/>
  <c r="JB59" i="1"/>
  <c r="JB60" i="1"/>
  <c r="JB61" i="1"/>
  <c r="JB62" i="1"/>
  <c r="JB63" i="1"/>
  <c r="JB64" i="1"/>
  <c r="JB65" i="1"/>
  <c r="JB66" i="1"/>
  <c r="JB67" i="1"/>
  <c r="JB68" i="1"/>
  <c r="JB69" i="1"/>
  <c r="JB70" i="1"/>
  <c r="JB71" i="1"/>
  <c r="JB72" i="1"/>
  <c r="JB73" i="1"/>
  <c r="JB74" i="1"/>
  <c r="JB75" i="1"/>
  <c r="JB76" i="1"/>
  <c r="JB77" i="1"/>
  <c r="JB78" i="1"/>
  <c r="JB79" i="1"/>
  <c r="JB80" i="1"/>
  <c r="JB81" i="1"/>
  <c r="JB11" i="1"/>
  <c r="JA10" i="1"/>
  <c r="JA11" i="1"/>
  <c r="JA12" i="1"/>
  <c r="JA13" i="1"/>
  <c r="JA14" i="1"/>
  <c r="JA15" i="1"/>
  <c r="JA16" i="1"/>
  <c r="JA17" i="1"/>
  <c r="JA18" i="1"/>
  <c r="JA19" i="1"/>
  <c r="JA20" i="1"/>
  <c r="JA21" i="1"/>
  <c r="JA22" i="1"/>
  <c r="JA23" i="1"/>
  <c r="JA24" i="1"/>
  <c r="JA25" i="1"/>
  <c r="JA26" i="1"/>
  <c r="JA27" i="1"/>
  <c r="JA28" i="1"/>
  <c r="JA29" i="1"/>
  <c r="JA30" i="1"/>
  <c r="JA31" i="1"/>
  <c r="JA32" i="1"/>
  <c r="JA33" i="1"/>
  <c r="JA34" i="1"/>
  <c r="JA35" i="1"/>
  <c r="JA36" i="1"/>
  <c r="JA37" i="1"/>
  <c r="JA38" i="1"/>
  <c r="JA39" i="1"/>
  <c r="JA40" i="1"/>
  <c r="JA41" i="1"/>
  <c r="JA42" i="1"/>
  <c r="JA43" i="1"/>
  <c r="JA44" i="1"/>
  <c r="JA45" i="1"/>
  <c r="JA46" i="1"/>
  <c r="JA47" i="1"/>
  <c r="JA48" i="1"/>
  <c r="JA49" i="1"/>
  <c r="JA50" i="1"/>
  <c r="JA51" i="1"/>
  <c r="JA52" i="1"/>
  <c r="JA53" i="1"/>
  <c r="JA54" i="1"/>
  <c r="JA55" i="1"/>
  <c r="JA56" i="1"/>
  <c r="JA57" i="1"/>
  <c r="JA58" i="1"/>
  <c r="JA59" i="1"/>
  <c r="JA60" i="1"/>
  <c r="JA61" i="1"/>
  <c r="JA62" i="1"/>
  <c r="JA63" i="1"/>
  <c r="JA64" i="1"/>
  <c r="JA65" i="1"/>
  <c r="JA66" i="1"/>
  <c r="JA67" i="1"/>
  <c r="JA68" i="1"/>
  <c r="JA69" i="1"/>
  <c r="JA70" i="1"/>
  <c r="JA71" i="1"/>
  <c r="JA72" i="1"/>
  <c r="JA73" i="1"/>
  <c r="JA74" i="1"/>
  <c r="JA75" i="1"/>
  <c r="JA76" i="1"/>
  <c r="JA77" i="1"/>
  <c r="JA78" i="1"/>
  <c r="JA79" i="1"/>
  <c r="JA80" i="1"/>
  <c r="JA81" i="1"/>
  <c r="JA82" i="1"/>
  <c r="JA83" i="1"/>
  <c r="JA84" i="1"/>
  <c r="JA85" i="1"/>
  <c r="JC28" i="1"/>
  <c r="JC80" i="1"/>
  <c r="JC78" i="1"/>
  <c r="JC81" i="1"/>
  <c r="JC79" i="1"/>
  <c r="JC77" i="1"/>
  <c r="JC76" i="1"/>
  <c r="JC75" i="1"/>
  <c r="JC73" i="1"/>
  <c r="JC72" i="1"/>
  <c r="JC71" i="1"/>
  <c r="JC70" i="1"/>
  <c r="JC69" i="1"/>
  <c r="JC68" i="1"/>
  <c r="JC67" i="1"/>
  <c r="JC66" i="1"/>
  <c r="JC65" i="1"/>
  <c r="JC64" i="1"/>
  <c r="JC63" i="1"/>
  <c r="JC62" i="1"/>
  <c r="JC61" i="1"/>
  <c r="JC60" i="1"/>
  <c r="JC59" i="1"/>
  <c r="JC58" i="1"/>
  <c r="JC57" i="1"/>
  <c r="JC56" i="1"/>
  <c r="JC55" i="1"/>
  <c r="JC54" i="1"/>
  <c r="JC53" i="1"/>
  <c r="JC52" i="1"/>
  <c r="JC51" i="1"/>
  <c r="JC50" i="1"/>
  <c r="JC49" i="1"/>
  <c r="JC48" i="1"/>
  <c r="JC47" i="1"/>
  <c r="JC46" i="1"/>
  <c r="JC45" i="1"/>
  <c r="JC44" i="1"/>
  <c r="JC43" i="1"/>
  <c r="JC42" i="1"/>
  <c r="JC41" i="1"/>
  <c r="JC40" i="1"/>
  <c r="JC39" i="1"/>
  <c r="JC38" i="1"/>
  <c r="JC37" i="1"/>
  <c r="JC36" i="1"/>
  <c r="JC35" i="1"/>
  <c r="JC34" i="1"/>
  <c r="JC33" i="1"/>
  <c r="JC32" i="1"/>
  <c r="JC31" i="1"/>
  <c r="JC30" i="1"/>
  <c r="JC29" i="1"/>
  <c r="JC27" i="1"/>
  <c r="JC26" i="1"/>
  <c r="JC25" i="1"/>
  <c r="JC24" i="1"/>
  <c r="JC23" i="1"/>
  <c r="JC22" i="1"/>
  <c r="JC21" i="1"/>
  <c r="JC20" i="1"/>
  <c r="JC19" i="1"/>
  <c r="JC18" i="1"/>
  <c r="JC17" i="1"/>
  <c r="JC16" i="1"/>
  <c r="JC15" i="1"/>
  <c r="JC13" i="1"/>
  <c r="JC12" i="1"/>
  <c r="JB86" i="1" l="1"/>
  <c r="IZ94" i="1"/>
  <c r="JJ94" i="1"/>
  <c r="JJ88" i="1"/>
  <c r="JJ90" i="1" s="1"/>
  <c r="IQ94" i="1"/>
  <c r="IF86" i="1"/>
  <c r="IP87" i="1" s="1"/>
  <c r="IR85" i="1"/>
  <c r="IQ85" i="1"/>
  <c r="IR84" i="1"/>
  <c r="IQ84" i="1"/>
  <c r="IR83" i="1"/>
  <c r="IQ83" i="1"/>
  <c r="IR82" i="1"/>
  <c r="IQ82" i="1"/>
  <c r="IR12" i="1"/>
  <c r="IR13" i="1"/>
  <c r="IR14" i="1"/>
  <c r="IR15" i="1"/>
  <c r="IR16" i="1"/>
  <c r="IR17" i="1"/>
  <c r="IR18" i="1"/>
  <c r="IR19" i="1"/>
  <c r="IR20" i="1"/>
  <c r="IR21" i="1"/>
  <c r="IR22" i="1"/>
  <c r="IR23" i="1"/>
  <c r="IR24" i="1"/>
  <c r="IR25" i="1"/>
  <c r="IR26" i="1"/>
  <c r="IR27" i="1"/>
  <c r="IR28" i="1"/>
  <c r="IR29" i="1"/>
  <c r="IR30" i="1"/>
  <c r="IR31" i="1"/>
  <c r="IR32" i="1"/>
  <c r="IR33" i="1"/>
  <c r="IR34" i="1"/>
  <c r="IR35" i="1"/>
  <c r="IR36" i="1"/>
  <c r="IR37" i="1"/>
  <c r="IR38" i="1"/>
  <c r="IR39" i="1"/>
  <c r="IR40" i="1"/>
  <c r="IR41" i="1"/>
  <c r="IR42" i="1"/>
  <c r="IR43" i="1"/>
  <c r="IR44" i="1"/>
  <c r="IR45" i="1"/>
  <c r="IR46" i="1"/>
  <c r="IR47" i="1"/>
  <c r="IR48" i="1"/>
  <c r="IR49" i="1"/>
  <c r="IR50" i="1"/>
  <c r="IR51" i="1"/>
  <c r="IR52" i="1"/>
  <c r="IR53" i="1"/>
  <c r="IR54" i="1"/>
  <c r="IR55" i="1"/>
  <c r="IR56" i="1"/>
  <c r="IR57" i="1"/>
  <c r="IR58" i="1"/>
  <c r="IR59" i="1"/>
  <c r="IR60" i="1"/>
  <c r="IR61" i="1"/>
  <c r="IR62" i="1"/>
  <c r="IR63" i="1"/>
  <c r="IR64" i="1"/>
  <c r="IR65" i="1"/>
  <c r="IR66" i="1"/>
  <c r="IR67" i="1"/>
  <c r="IR68" i="1"/>
  <c r="IR69" i="1"/>
  <c r="IR70" i="1"/>
  <c r="IR71" i="1"/>
  <c r="IR72" i="1"/>
  <c r="IR73" i="1"/>
  <c r="IR74" i="1"/>
  <c r="IR75" i="1"/>
  <c r="IR76" i="1"/>
  <c r="IR77" i="1"/>
  <c r="IR78" i="1"/>
  <c r="IR79" i="1"/>
  <c r="IR80" i="1"/>
  <c r="IR81" i="1"/>
  <c r="IR11" i="1"/>
  <c r="IR86" i="1" s="1"/>
  <c r="IZ93" i="1" s="1"/>
  <c r="IQ12" i="1"/>
  <c r="IQ13" i="1"/>
  <c r="IQ14" i="1"/>
  <c r="IQ15" i="1"/>
  <c r="IQ16" i="1"/>
  <c r="IQ17" i="1"/>
  <c r="IQ18" i="1"/>
  <c r="IQ19" i="1"/>
  <c r="IQ20" i="1"/>
  <c r="IQ21" i="1"/>
  <c r="IQ22" i="1"/>
  <c r="IQ23" i="1"/>
  <c r="IQ24" i="1"/>
  <c r="IQ25" i="1"/>
  <c r="IQ26" i="1"/>
  <c r="IQ27" i="1"/>
  <c r="IQ28" i="1"/>
  <c r="IQ29" i="1"/>
  <c r="IQ30" i="1"/>
  <c r="IQ31" i="1"/>
  <c r="IQ32" i="1"/>
  <c r="IQ33" i="1"/>
  <c r="IQ34" i="1"/>
  <c r="IQ35" i="1"/>
  <c r="IQ36" i="1"/>
  <c r="IQ37" i="1"/>
  <c r="IQ38" i="1"/>
  <c r="IQ39" i="1"/>
  <c r="IQ40" i="1"/>
  <c r="IQ41" i="1"/>
  <c r="IQ42" i="1"/>
  <c r="IQ43" i="1"/>
  <c r="IQ44" i="1"/>
  <c r="IQ45" i="1"/>
  <c r="IQ46" i="1"/>
  <c r="IQ47" i="1"/>
  <c r="IQ48" i="1"/>
  <c r="IQ49" i="1"/>
  <c r="IQ50" i="1"/>
  <c r="IQ51" i="1"/>
  <c r="IQ52" i="1"/>
  <c r="IQ53" i="1"/>
  <c r="IQ54" i="1"/>
  <c r="IQ55" i="1"/>
  <c r="IQ56" i="1"/>
  <c r="IQ57" i="1"/>
  <c r="IQ58" i="1"/>
  <c r="IQ59" i="1"/>
  <c r="IQ60" i="1"/>
  <c r="IQ61" i="1"/>
  <c r="IQ62" i="1"/>
  <c r="IQ63" i="1"/>
  <c r="IQ64" i="1"/>
  <c r="IQ65" i="1"/>
  <c r="IQ66" i="1"/>
  <c r="IQ67" i="1"/>
  <c r="IQ68" i="1"/>
  <c r="IQ69" i="1"/>
  <c r="IQ70" i="1"/>
  <c r="IQ71" i="1"/>
  <c r="IQ72" i="1"/>
  <c r="IQ73" i="1"/>
  <c r="IQ74" i="1"/>
  <c r="IQ75" i="1"/>
  <c r="IQ76" i="1"/>
  <c r="IQ77" i="1"/>
  <c r="IQ78" i="1"/>
  <c r="IQ79" i="1"/>
  <c r="IQ80" i="1"/>
  <c r="IQ81" i="1"/>
  <c r="IQ11" i="1"/>
  <c r="IP94" i="1" l="1"/>
  <c r="IP88" i="1"/>
  <c r="IP90" i="1" s="1"/>
  <c r="JJ93" i="1"/>
  <c r="JA93" i="1"/>
  <c r="IG94" i="1"/>
  <c r="IS12" i="1"/>
  <c r="IS13" i="1"/>
  <c r="IS14" i="1"/>
  <c r="IS15" i="1"/>
  <c r="IS16" i="1"/>
  <c r="IS17" i="1"/>
  <c r="IS18" i="1"/>
  <c r="IS19" i="1"/>
  <c r="IS20" i="1"/>
  <c r="IS21" i="1"/>
  <c r="IS22" i="1"/>
  <c r="IS23" i="1"/>
  <c r="IS24" i="1"/>
  <c r="IS25" i="1"/>
  <c r="IS26" i="1"/>
  <c r="IS27" i="1"/>
  <c r="IS28" i="1"/>
  <c r="IS29" i="1"/>
  <c r="IS30" i="1"/>
  <c r="IS31" i="1"/>
  <c r="IS32" i="1"/>
  <c r="IS33" i="1"/>
  <c r="IS34" i="1"/>
  <c r="IS35" i="1"/>
  <c r="IS36" i="1"/>
  <c r="IS37" i="1"/>
  <c r="IS38" i="1"/>
  <c r="IS39" i="1"/>
  <c r="IS40" i="1"/>
  <c r="IS41" i="1"/>
  <c r="IS42" i="1"/>
  <c r="IS43" i="1"/>
  <c r="IS44" i="1"/>
  <c r="IS45" i="1"/>
  <c r="IS46" i="1"/>
  <c r="IS47" i="1"/>
  <c r="IS48" i="1"/>
  <c r="IS49" i="1"/>
  <c r="IS50" i="1"/>
  <c r="IS51" i="1"/>
  <c r="IS52" i="1"/>
  <c r="IS53" i="1"/>
  <c r="IS54" i="1"/>
  <c r="IS55" i="1"/>
  <c r="IS56" i="1"/>
  <c r="IS57" i="1"/>
  <c r="IS58" i="1"/>
  <c r="IS59" i="1"/>
  <c r="IS60" i="1"/>
  <c r="IS61" i="1"/>
  <c r="IS62" i="1"/>
  <c r="IS63" i="1"/>
  <c r="IS64" i="1"/>
  <c r="IS65" i="1"/>
  <c r="IS66" i="1"/>
  <c r="IS67" i="1"/>
  <c r="IS68" i="1"/>
  <c r="IS69" i="1"/>
  <c r="IS70" i="1"/>
  <c r="IS71" i="1"/>
  <c r="IS72" i="1"/>
  <c r="IS73" i="1"/>
  <c r="IS74" i="1"/>
  <c r="IS75" i="1"/>
  <c r="IS76" i="1"/>
  <c r="IS77" i="1"/>
  <c r="IS78" i="1"/>
  <c r="IS79" i="1"/>
  <c r="IS80" i="1"/>
  <c r="IS81" i="1"/>
  <c r="II11" i="1"/>
  <c r="IS11" i="1"/>
  <c r="IQ10" i="1"/>
  <c r="IQ9" i="1"/>
  <c r="IQ93" i="1" l="1"/>
  <c r="HV86" i="1"/>
  <c r="IF87" i="1" s="1"/>
  <c r="IH82" i="1"/>
  <c r="IG12" i="1"/>
  <c r="IG13" i="1"/>
  <c r="IG14" i="1"/>
  <c r="IG15" i="1"/>
  <c r="IG16" i="1"/>
  <c r="IG17" i="1"/>
  <c r="IG18" i="1"/>
  <c r="IG19" i="1"/>
  <c r="IG20" i="1"/>
  <c r="IG21" i="1"/>
  <c r="IG22" i="1"/>
  <c r="IG23" i="1"/>
  <c r="IG24" i="1"/>
  <c r="IG25" i="1"/>
  <c r="IG26" i="1"/>
  <c r="IG27" i="1"/>
  <c r="IG28" i="1"/>
  <c r="IG29" i="1"/>
  <c r="IG30" i="1"/>
  <c r="IG31" i="1"/>
  <c r="IG32" i="1"/>
  <c r="IG33" i="1"/>
  <c r="IG34" i="1"/>
  <c r="IG35" i="1"/>
  <c r="IG36" i="1"/>
  <c r="IG37" i="1"/>
  <c r="IG38" i="1"/>
  <c r="IG39" i="1"/>
  <c r="IG40" i="1"/>
  <c r="IG41" i="1"/>
  <c r="IG42" i="1"/>
  <c r="IG43" i="1"/>
  <c r="IG44" i="1"/>
  <c r="IG45" i="1"/>
  <c r="IG46" i="1"/>
  <c r="IG47" i="1"/>
  <c r="IG48" i="1"/>
  <c r="IG49" i="1"/>
  <c r="IG50" i="1"/>
  <c r="IG51" i="1"/>
  <c r="IG52" i="1"/>
  <c r="IG53" i="1"/>
  <c r="IG54" i="1"/>
  <c r="IG55" i="1"/>
  <c r="IG56" i="1"/>
  <c r="IG57" i="1"/>
  <c r="IG58" i="1"/>
  <c r="IG59" i="1"/>
  <c r="IG60" i="1"/>
  <c r="IG61" i="1"/>
  <c r="IG62" i="1"/>
  <c r="IG63" i="1"/>
  <c r="IG64" i="1"/>
  <c r="IG65" i="1"/>
  <c r="IG66" i="1"/>
  <c r="IG67" i="1"/>
  <c r="IG68" i="1"/>
  <c r="IG69" i="1"/>
  <c r="IG70" i="1"/>
  <c r="IG71" i="1"/>
  <c r="IG72" i="1"/>
  <c r="IG73" i="1"/>
  <c r="IG74" i="1"/>
  <c r="IG75" i="1"/>
  <c r="IG76" i="1"/>
  <c r="IG77" i="1"/>
  <c r="IG78" i="1"/>
  <c r="IG79" i="1"/>
  <c r="IG80" i="1"/>
  <c r="IG81" i="1"/>
  <c r="IG11" i="1"/>
  <c r="IH12" i="1"/>
  <c r="IH13" i="1"/>
  <c r="IH14" i="1"/>
  <c r="IH15" i="1"/>
  <c r="IH16" i="1"/>
  <c r="IH17" i="1"/>
  <c r="IH18" i="1"/>
  <c r="IH19" i="1"/>
  <c r="IH20" i="1"/>
  <c r="IH21" i="1"/>
  <c r="IH22" i="1"/>
  <c r="IH23" i="1"/>
  <c r="IH24" i="1"/>
  <c r="IH25" i="1"/>
  <c r="IH26" i="1"/>
  <c r="IH27" i="1"/>
  <c r="IH28" i="1"/>
  <c r="IH29" i="1"/>
  <c r="IH30" i="1"/>
  <c r="IH31" i="1"/>
  <c r="IH32" i="1"/>
  <c r="IH33" i="1"/>
  <c r="IH34" i="1"/>
  <c r="IH35" i="1"/>
  <c r="IH36" i="1"/>
  <c r="IH37" i="1"/>
  <c r="IH38" i="1"/>
  <c r="IH39" i="1"/>
  <c r="IH40" i="1"/>
  <c r="IH41" i="1"/>
  <c r="IH42" i="1"/>
  <c r="IH43" i="1"/>
  <c r="IH44" i="1"/>
  <c r="IH45" i="1"/>
  <c r="IH46" i="1"/>
  <c r="IH47" i="1"/>
  <c r="IH48" i="1"/>
  <c r="IH49" i="1"/>
  <c r="IH50" i="1"/>
  <c r="IH51" i="1"/>
  <c r="IH52" i="1"/>
  <c r="IH53" i="1"/>
  <c r="IH54" i="1"/>
  <c r="IH55" i="1"/>
  <c r="IH56" i="1"/>
  <c r="IH57" i="1"/>
  <c r="IH58" i="1"/>
  <c r="IH59" i="1"/>
  <c r="IH60" i="1"/>
  <c r="IH61" i="1"/>
  <c r="IH62" i="1"/>
  <c r="IH63" i="1"/>
  <c r="IH64" i="1"/>
  <c r="IH65" i="1"/>
  <c r="IH66" i="1"/>
  <c r="IH67" i="1"/>
  <c r="IH68" i="1"/>
  <c r="IH69" i="1"/>
  <c r="IH70" i="1"/>
  <c r="IH71" i="1"/>
  <c r="IH72" i="1"/>
  <c r="IH73" i="1"/>
  <c r="IH74" i="1"/>
  <c r="IH75" i="1"/>
  <c r="IH76" i="1"/>
  <c r="IH77" i="1"/>
  <c r="IH78" i="1"/>
  <c r="IH79" i="1"/>
  <c r="IH80" i="1"/>
  <c r="IH81" i="1"/>
  <c r="IH11" i="1"/>
  <c r="IH86" i="1" s="1"/>
  <c r="HX11" i="1"/>
  <c r="IH83" i="1"/>
  <c r="IH84" i="1"/>
  <c r="IH85" i="1"/>
  <c r="IG83" i="1"/>
  <c r="IG84" i="1"/>
  <c r="IG85" i="1"/>
  <c r="IG82" i="1"/>
  <c r="IG9" i="1"/>
  <c r="IG10" i="1"/>
  <c r="II81" i="1"/>
  <c r="II28" i="1"/>
  <c r="II70" i="1"/>
  <c r="II72" i="1"/>
  <c r="II74" i="1"/>
  <c r="II76" i="1"/>
  <c r="II78" i="1"/>
  <c r="II80" i="1"/>
  <c r="II79" i="1"/>
  <c r="II77" i="1"/>
  <c r="II75" i="1"/>
  <c r="II73" i="1"/>
  <c r="II71" i="1"/>
  <c r="II69" i="1"/>
  <c r="II68" i="1"/>
  <c r="II67" i="1"/>
  <c r="II66" i="1"/>
  <c r="II65" i="1"/>
  <c r="II64" i="1"/>
  <c r="II63" i="1"/>
  <c r="II62" i="1"/>
  <c r="II61" i="1"/>
  <c r="II60" i="1"/>
  <c r="II59" i="1"/>
  <c r="II58" i="1"/>
  <c r="II57" i="1"/>
  <c r="II56" i="1"/>
  <c r="II55" i="1"/>
  <c r="II54" i="1"/>
  <c r="II53" i="1"/>
  <c r="II52" i="1"/>
  <c r="II51" i="1"/>
  <c r="II50" i="1"/>
  <c r="II49" i="1"/>
  <c r="II48" i="1"/>
  <c r="II47" i="1"/>
  <c r="II46" i="1"/>
  <c r="II45" i="1"/>
  <c r="II44" i="1"/>
  <c r="II43" i="1"/>
  <c r="II42" i="1"/>
  <c r="II41" i="1"/>
  <c r="II40" i="1"/>
  <c r="II39" i="1"/>
  <c r="II38" i="1"/>
  <c r="II37" i="1"/>
  <c r="II36" i="1"/>
  <c r="II35" i="1"/>
  <c r="II34" i="1"/>
  <c r="II33" i="1"/>
  <c r="II32" i="1"/>
  <c r="II31" i="1"/>
  <c r="II30" i="1"/>
  <c r="II29" i="1"/>
  <c r="II27" i="1"/>
  <c r="II26" i="1"/>
  <c r="II25" i="1"/>
  <c r="II24" i="1"/>
  <c r="II23" i="1"/>
  <c r="II22" i="1"/>
  <c r="II21" i="1"/>
  <c r="II20" i="1"/>
  <c r="II19" i="1"/>
  <c r="II18" i="1"/>
  <c r="II17" i="1"/>
  <c r="II16" i="1"/>
  <c r="II15" i="1"/>
  <c r="II14" i="1"/>
  <c r="II13" i="1"/>
  <c r="II12" i="1"/>
  <c r="IF88" i="1" l="1"/>
  <c r="IF90" i="1" s="1"/>
  <c r="IF94" i="1"/>
  <c r="HW94" i="1"/>
  <c r="IP93" i="1"/>
  <c r="IG93" i="1"/>
  <c r="HL86" i="1"/>
  <c r="HM94" i="1" s="1"/>
  <c r="GQ86" i="1"/>
  <c r="HY12" i="1"/>
  <c r="HY13" i="1"/>
  <c r="HY14" i="1"/>
  <c r="HY15" i="1"/>
  <c r="HY16" i="1"/>
  <c r="HY17" i="1"/>
  <c r="HY18" i="1"/>
  <c r="HY19" i="1"/>
  <c r="HY20" i="1"/>
  <c r="HY21" i="1"/>
  <c r="HY22" i="1"/>
  <c r="HY23" i="1"/>
  <c r="HY24" i="1"/>
  <c r="HY25" i="1"/>
  <c r="HY26" i="1"/>
  <c r="HY27" i="1"/>
  <c r="HY28" i="1"/>
  <c r="HY29" i="1"/>
  <c r="HY30" i="1"/>
  <c r="HY31" i="1"/>
  <c r="HY32" i="1"/>
  <c r="HY33" i="1"/>
  <c r="HY34" i="1"/>
  <c r="HY35" i="1"/>
  <c r="HY36" i="1"/>
  <c r="HY37" i="1"/>
  <c r="HY38" i="1"/>
  <c r="HY39" i="1"/>
  <c r="HY40" i="1"/>
  <c r="HY41" i="1"/>
  <c r="HY42" i="1"/>
  <c r="HY43" i="1"/>
  <c r="HY44" i="1"/>
  <c r="HY45" i="1"/>
  <c r="HY46" i="1"/>
  <c r="HY47" i="1"/>
  <c r="HY48" i="1"/>
  <c r="HY49" i="1"/>
  <c r="HY50" i="1"/>
  <c r="HY51" i="1"/>
  <c r="HY52" i="1"/>
  <c r="HY53" i="1"/>
  <c r="HY54" i="1"/>
  <c r="HY55" i="1"/>
  <c r="HY56" i="1"/>
  <c r="HY57" i="1"/>
  <c r="HY58" i="1"/>
  <c r="HY59" i="1"/>
  <c r="HY60" i="1"/>
  <c r="HY61" i="1"/>
  <c r="HY62" i="1"/>
  <c r="HY63" i="1"/>
  <c r="HY64" i="1"/>
  <c r="HY65" i="1"/>
  <c r="HY66" i="1"/>
  <c r="HY67" i="1"/>
  <c r="HY68" i="1"/>
  <c r="HY69" i="1"/>
  <c r="HY70" i="1"/>
  <c r="HY71" i="1"/>
  <c r="HY72" i="1"/>
  <c r="HY73" i="1"/>
  <c r="HY74" i="1"/>
  <c r="HY75" i="1"/>
  <c r="HY76" i="1"/>
  <c r="HY77" i="1"/>
  <c r="HY78" i="1"/>
  <c r="HY79" i="1"/>
  <c r="HY80" i="1"/>
  <c r="HY81" i="1"/>
  <c r="HY11" i="1"/>
  <c r="HX12" i="1"/>
  <c r="HX86" i="1" s="1"/>
  <c r="HX13" i="1"/>
  <c r="HX14" i="1"/>
  <c r="HX15" i="1"/>
  <c r="HX16" i="1"/>
  <c r="HX17" i="1"/>
  <c r="HX18" i="1"/>
  <c r="HX19" i="1"/>
  <c r="HX20" i="1"/>
  <c r="HX21" i="1"/>
  <c r="HX22" i="1"/>
  <c r="HX23" i="1"/>
  <c r="HX24" i="1"/>
  <c r="HX25" i="1"/>
  <c r="HX26" i="1"/>
  <c r="HX27" i="1"/>
  <c r="HX28" i="1"/>
  <c r="HX29" i="1"/>
  <c r="HX30" i="1"/>
  <c r="HX31" i="1"/>
  <c r="HX32" i="1"/>
  <c r="HX33" i="1"/>
  <c r="HX34" i="1"/>
  <c r="HX35" i="1"/>
  <c r="HX36" i="1"/>
  <c r="HX37" i="1"/>
  <c r="HX38" i="1"/>
  <c r="HX39" i="1"/>
  <c r="HX40" i="1"/>
  <c r="HX41" i="1"/>
  <c r="HX42" i="1"/>
  <c r="HX43" i="1"/>
  <c r="HX44" i="1"/>
  <c r="HX45" i="1"/>
  <c r="HX46" i="1"/>
  <c r="HX47" i="1"/>
  <c r="HX48" i="1"/>
  <c r="HX49" i="1"/>
  <c r="HX50" i="1"/>
  <c r="HX51" i="1"/>
  <c r="HX52" i="1"/>
  <c r="HX53" i="1"/>
  <c r="HX54" i="1"/>
  <c r="HX55" i="1"/>
  <c r="HX56" i="1"/>
  <c r="HX57" i="1"/>
  <c r="HX58" i="1"/>
  <c r="HX59" i="1"/>
  <c r="HX60" i="1"/>
  <c r="HX61" i="1"/>
  <c r="HX62" i="1"/>
  <c r="HX63" i="1"/>
  <c r="HX64" i="1"/>
  <c r="HX65" i="1"/>
  <c r="HX66" i="1"/>
  <c r="HX67" i="1"/>
  <c r="HX68" i="1"/>
  <c r="HX69" i="1"/>
  <c r="HX70" i="1"/>
  <c r="HX71" i="1"/>
  <c r="HX72" i="1"/>
  <c r="HX73" i="1"/>
  <c r="HX74" i="1"/>
  <c r="HX75" i="1"/>
  <c r="HX76" i="1"/>
  <c r="HX77" i="1"/>
  <c r="HX78" i="1"/>
  <c r="HX79" i="1"/>
  <c r="HX80" i="1"/>
  <c r="HX81" i="1"/>
  <c r="HX82" i="1"/>
  <c r="HX83" i="1"/>
  <c r="HX84" i="1"/>
  <c r="HX85" i="1"/>
  <c r="HN11" i="1"/>
  <c r="HW82" i="1"/>
  <c r="HW83" i="1"/>
  <c r="HW84" i="1"/>
  <c r="HW85" i="1"/>
  <c r="HW76" i="1"/>
  <c r="HW74" i="1"/>
  <c r="HW72" i="1"/>
  <c r="HW70" i="1"/>
  <c r="HW68" i="1"/>
  <c r="HW67" i="1"/>
  <c r="HW66" i="1"/>
  <c r="HW65" i="1"/>
  <c r="HW64" i="1"/>
  <c r="HW63" i="1"/>
  <c r="HW62" i="1"/>
  <c r="HW61" i="1"/>
  <c r="HW60" i="1"/>
  <c r="HW59" i="1"/>
  <c r="HW58" i="1"/>
  <c r="HW57" i="1"/>
  <c r="HW56" i="1"/>
  <c r="HW55" i="1"/>
  <c r="HW54" i="1"/>
  <c r="HW53" i="1"/>
  <c r="HW52" i="1"/>
  <c r="HW51" i="1"/>
  <c r="HW50" i="1"/>
  <c r="HW49" i="1"/>
  <c r="HW48" i="1"/>
  <c r="HW47" i="1"/>
  <c r="HW46" i="1"/>
  <c r="HW45" i="1"/>
  <c r="HW44" i="1"/>
  <c r="HW43" i="1"/>
  <c r="HW42" i="1"/>
  <c r="HW41" i="1"/>
  <c r="HW40" i="1"/>
  <c r="HW39" i="1"/>
  <c r="HW38" i="1"/>
  <c r="HW37" i="1"/>
  <c r="HW36" i="1"/>
  <c r="HW35" i="1"/>
  <c r="HW34" i="1"/>
  <c r="HW33" i="1"/>
  <c r="HW32" i="1"/>
  <c r="HW31" i="1"/>
  <c r="HW30" i="1"/>
  <c r="HW29" i="1"/>
  <c r="HW28" i="1"/>
  <c r="HW27" i="1"/>
  <c r="HW26" i="1"/>
  <c r="HW25" i="1"/>
  <c r="HW24" i="1"/>
  <c r="HW23" i="1"/>
  <c r="HW22" i="1"/>
  <c r="HW21" i="1"/>
  <c r="HW20" i="1"/>
  <c r="HW19" i="1"/>
  <c r="HW18" i="1"/>
  <c r="HW17" i="1"/>
  <c r="HW16" i="1"/>
  <c r="HW15" i="1"/>
  <c r="HW14" i="1"/>
  <c r="HW13" i="1"/>
  <c r="HW12" i="1"/>
  <c r="HW11" i="1"/>
  <c r="HW10" i="1"/>
  <c r="HW9" i="1"/>
  <c r="IF93" i="1" l="1"/>
  <c r="HW93" i="1"/>
  <c r="HV87" i="1"/>
  <c r="HW69" i="1"/>
  <c r="HW71" i="1"/>
  <c r="HW73" i="1"/>
  <c r="HW75" i="1"/>
  <c r="HW77" i="1"/>
  <c r="HW79" i="1"/>
  <c r="HW81" i="1"/>
  <c r="HW78" i="1"/>
  <c r="HW80" i="1"/>
  <c r="HV94" i="1" l="1"/>
  <c r="HV88" i="1"/>
  <c r="HV90" i="1" s="1"/>
  <c r="GQ96" i="1"/>
  <c r="HA87" i="1"/>
  <c r="HA97" i="1" s="1"/>
  <c r="HL10" i="1"/>
  <c r="HN12" i="1"/>
  <c r="HN13" i="1"/>
  <c r="HN14" i="1"/>
  <c r="HN15" i="1"/>
  <c r="HN16" i="1"/>
  <c r="HN17" i="1"/>
  <c r="HN18" i="1"/>
  <c r="HN19" i="1"/>
  <c r="HN20" i="1"/>
  <c r="HN21" i="1"/>
  <c r="HN22" i="1"/>
  <c r="HN23" i="1"/>
  <c r="HN24" i="1"/>
  <c r="HN25" i="1"/>
  <c r="HN26" i="1"/>
  <c r="HN27" i="1"/>
  <c r="HN28" i="1"/>
  <c r="HN29" i="1"/>
  <c r="HN30" i="1"/>
  <c r="HN31" i="1"/>
  <c r="HN32" i="1"/>
  <c r="HN33" i="1"/>
  <c r="HN34" i="1"/>
  <c r="HN35" i="1"/>
  <c r="HN36" i="1"/>
  <c r="HN37" i="1"/>
  <c r="HN38" i="1"/>
  <c r="HN39" i="1"/>
  <c r="HN40" i="1"/>
  <c r="HN41" i="1"/>
  <c r="HN42" i="1"/>
  <c r="HN43" i="1"/>
  <c r="HN44" i="1"/>
  <c r="HN45" i="1"/>
  <c r="HN46" i="1"/>
  <c r="HN47" i="1"/>
  <c r="HN48" i="1"/>
  <c r="HN49" i="1"/>
  <c r="HN50" i="1"/>
  <c r="HN51" i="1"/>
  <c r="HN52" i="1"/>
  <c r="HN53" i="1"/>
  <c r="HN54" i="1"/>
  <c r="HN55" i="1"/>
  <c r="HN56" i="1"/>
  <c r="HN57" i="1"/>
  <c r="HN58" i="1"/>
  <c r="HN59" i="1"/>
  <c r="HN60" i="1"/>
  <c r="HN61" i="1"/>
  <c r="HN62" i="1"/>
  <c r="HN63" i="1"/>
  <c r="HN64" i="1"/>
  <c r="HN65" i="1"/>
  <c r="HN66" i="1"/>
  <c r="HN67" i="1"/>
  <c r="HN68" i="1"/>
  <c r="HN69" i="1"/>
  <c r="HN70" i="1"/>
  <c r="HN71" i="1"/>
  <c r="HN72" i="1"/>
  <c r="HN73" i="1"/>
  <c r="HN74" i="1"/>
  <c r="HN75" i="1"/>
  <c r="HN76" i="1"/>
  <c r="HN77" i="1"/>
  <c r="HN78" i="1"/>
  <c r="HN79" i="1"/>
  <c r="HN80" i="1"/>
  <c r="HN81" i="1"/>
  <c r="HN82" i="1"/>
  <c r="HN83" i="1"/>
  <c r="HN84" i="1"/>
  <c r="HN85" i="1"/>
  <c r="HL9" i="1"/>
  <c r="HK10" i="1"/>
  <c r="HK9" i="1"/>
  <c r="HJ10" i="1"/>
  <c r="HM10" i="1" s="1"/>
  <c r="HM11" i="1"/>
  <c r="HM12" i="1"/>
  <c r="HM13" i="1"/>
  <c r="HM15" i="1"/>
  <c r="HM16" i="1"/>
  <c r="HM17" i="1"/>
  <c r="HM18" i="1"/>
  <c r="HM19" i="1"/>
  <c r="HM20" i="1"/>
  <c r="HM21" i="1"/>
  <c r="HM22" i="1"/>
  <c r="HM23" i="1"/>
  <c r="HM24" i="1"/>
  <c r="HM25" i="1"/>
  <c r="HM26" i="1"/>
  <c r="HM27" i="1"/>
  <c r="HM28" i="1"/>
  <c r="HM29" i="1"/>
  <c r="HM30" i="1"/>
  <c r="HM31" i="1"/>
  <c r="HM32" i="1"/>
  <c r="HM33" i="1"/>
  <c r="HM34" i="1"/>
  <c r="HM35" i="1"/>
  <c r="HM36" i="1"/>
  <c r="HM37" i="1"/>
  <c r="HM38" i="1"/>
  <c r="HM39" i="1"/>
  <c r="HM40" i="1"/>
  <c r="HM41" i="1"/>
  <c r="HM42" i="1"/>
  <c r="HM43" i="1"/>
  <c r="HM44" i="1"/>
  <c r="HM45" i="1"/>
  <c r="HM46" i="1"/>
  <c r="HM47" i="1"/>
  <c r="HM48" i="1"/>
  <c r="HM49" i="1"/>
  <c r="HM50" i="1"/>
  <c r="HM51" i="1"/>
  <c r="HM52" i="1"/>
  <c r="HM53" i="1"/>
  <c r="HM54" i="1"/>
  <c r="HM55" i="1"/>
  <c r="HM56" i="1"/>
  <c r="HM57" i="1"/>
  <c r="HM58" i="1"/>
  <c r="HM59" i="1"/>
  <c r="HM60" i="1"/>
  <c r="HM61" i="1"/>
  <c r="HM62" i="1"/>
  <c r="HM63" i="1"/>
  <c r="HM64" i="1"/>
  <c r="HM65" i="1"/>
  <c r="HM66" i="1"/>
  <c r="HM67" i="1"/>
  <c r="HM68" i="1"/>
  <c r="HM69" i="1"/>
  <c r="HM70" i="1"/>
  <c r="HM71" i="1"/>
  <c r="HM72" i="1"/>
  <c r="HM73" i="1"/>
  <c r="HM74" i="1"/>
  <c r="HM75" i="1"/>
  <c r="HM76" i="1"/>
  <c r="HM77" i="1"/>
  <c r="HM78" i="1"/>
  <c r="HM79" i="1"/>
  <c r="HM80" i="1"/>
  <c r="HM81" i="1"/>
  <c r="HM82" i="1"/>
  <c r="HM83" i="1"/>
  <c r="HM84" i="1"/>
  <c r="HM85" i="1"/>
  <c r="HJ9" i="1"/>
  <c r="HM9" i="1" s="1"/>
  <c r="FZ11" i="1"/>
  <c r="GT11" i="1"/>
  <c r="HN86" i="1" l="1"/>
  <c r="GR59" i="1"/>
  <c r="GH13" i="1"/>
  <c r="HA10" i="1"/>
  <c r="HA11" i="1"/>
  <c r="HA12" i="1"/>
  <c r="HE12" i="1" s="1"/>
  <c r="HA13" i="1"/>
  <c r="HA14" i="1"/>
  <c r="HA15" i="1"/>
  <c r="HA16" i="1"/>
  <c r="HA17" i="1"/>
  <c r="HA18" i="1"/>
  <c r="HA19" i="1"/>
  <c r="HA20" i="1"/>
  <c r="HA21" i="1"/>
  <c r="HA22" i="1"/>
  <c r="HA23" i="1"/>
  <c r="HA24" i="1"/>
  <c r="HA25" i="1"/>
  <c r="HA26" i="1"/>
  <c r="HA27" i="1"/>
  <c r="HA28" i="1"/>
  <c r="HA29" i="1"/>
  <c r="HA30" i="1"/>
  <c r="HA31" i="1"/>
  <c r="HA32" i="1"/>
  <c r="HA33" i="1"/>
  <c r="HA34" i="1"/>
  <c r="HA35" i="1"/>
  <c r="HA36" i="1"/>
  <c r="HA37" i="1"/>
  <c r="HA38" i="1"/>
  <c r="HA39" i="1"/>
  <c r="HA40" i="1"/>
  <c r="HA41" i="1"/>
  <c r="HA42" i="1"/>
  <c r="HA43" i="1"/>
  <c r="HA44" i="1"/>
  <c r="HA45" i="1"/>
  <c r="HA46" i="1"/>
  <c r="HA47" i="1"/>
  <c r="HA48" i="1"/>
  <c r="HA49" i="1"/>
  <c r="HA50" i="1"/>
  <c r="HA51" i="1"/>
  <c r="HA52" i="1"/>
  <c r="HA53" i="1"/>
  <c r="HA54" i="1"/>
  <c r="HA55" i="1"/>
  <c r="HA56" i="1"/>
  <c r="HA57" i="1"/>
  <c r="HA58" i="1"/>
  <c r="HA59" i="1"/>
  <c r="HA60" i="1"/>
  <c r="HA61" i="1"/>
  <c r="HA62" i="1"/>
  <c r="HA63" i="1"/>
  <c r="HA64" i="1"/>
  <c r="HA65" i="1"/>
  <c r="HA66" i="1"/>
  <c r="HA67" i="1"/>
  <c r="HA68" i="1"/>
  <c r="HA69" i="1"/>
  <c r="HA70" i="1"/>
  <c r="HA71" i="1"/>
  <c r="HA72" i="1"/>
  <c r="HA73" i="1"/>
  <c r="HA74" i="1"/>
  <c r="HE74" i="1" s="1"/>
  <c r="HA75" i="1"/>
  <c r="HA76" i="1"/>
  <c r="HA77" i="1"/>
  <c r="HA78" i="1"/>
  <c r="HA79" i="1"/>
  <c r="HA80" i="1"/>
  <c r="HA81" i="1"/>
  <c r="HC81" i="1" s="1"/>
  <c r="HA82" i="1"/>
  <c r="HC82" i="1" s="1"/>
  <c r="HA83" i="1"/>
  <c r="HA84" i="1"/>
  <c r="HA85" i="1"/>
  <c r="HA9" i="1"/>
  <c r="GS11" i="1"/>
  <c r="HC12" i="1"/>
  <c r="GZ9" i="1"/>
  <c r="GZ10" i="1"/>
  <c r="GZ11" i="1"/>
  <c r="GZ12" i="1"/>
  <c r="GZ13" i="1"/>
  <c r="GZ14" i="1"/>
  <c r="GZ15" i="1"/>
  <c r="GZ16" i="1"/>
  <c r="GZ17" i="1"/>
  <c r="GZ18" i="1"/>
  <c r="GZ19" i="1"/>
  <c r="GZ20" i="1"/>
  <c r="GZ21" i="1"/>
  <c r="GZ22" i="1"/>
  <c r="GZ23" i="1"/>
  <c r="GZ24" i="1"/>
  <c r="GZ25" i="1"/>
  <c r="GZ26" i="1"/>
  <c r="GZ27" i="1"/>
  <c r="GZ28" i="1"/>
  <c r="GZ29" i="1"/>
  <c r="GZ30" i="1"/>
  <c r="GZ31" i="1"/>
  <c r="GZ32" i="1"/>
  <c r="GZ33" i="1"/>
  <c r="GZ34" i="1"/>
  <c r="GZ35" i="1"/>
  <c r="GZ36" i="1"/>
  <c r="GZ37" i="1"/>
  <c r="GZ38" i="1"/>
  <c r="GZ39" i="1"/>
  <c r="GZ40" i="1"/>
  <c r="GZ41" i="1"/>
  <c r="GZ42" i="1"/>
  <c r="GZ43" i="1"/>
  <c r="GZ44" i="1"/>
  <c r="GZ45" i="1"/>
  <c r="GZ46" i="1"/>
  <c r="GZ47" i="1"/>
  <c r="GZ48" i="1"/>
  <c r="GZ49" i="1"/>
  <c r="GZ50" i="1"/>
  <c r="GZ51" i="1"/>
  <c r="GZ52" i="1"/>
  <c r="GZ53" i="1"/>
  <c r="GZ54" i="1"/>
  <c r="GZ55" i="1"/>
  <c r="GZ56" i="1"/>
  <c r="GZ57" i="1"/>
  <c r="GZ58" i="1"/>
  <c r="GZ59" i="1"/>
  <c r="GZ60" i="1"/>
  <c r="GZ61" i="1"/>
  <c r="GZ62" i="1"/>
  <c r="GZ63" i="1"/>
  <c r="GZ64" i="1"/>
  <c r="GZ65" i="1"/>
  <c r="GZ66" i="1"/>
  <c r="GZ67" i="1"/>
  <c r="GZ68" i="1"/>
  <c r="GZ69" i="1"/>
  <c r="GZ70" i="1"/>
  <c r="GZ71" i="1"/>
  <c r="GZ72" i="1"/>
  <c r="GZ73" i="1"/>
  <c r="GZ74" i="1"/>
  <c r="GZ75" i="1"/>
  <c r="GZ76" i="1"/>
  <c r="GZ77" i="1"/>
  <c r="GZ78" i="1"/>
  <c r="GZ79" i="1"/>
  <c r="GZ80" i="1"/>
  <c r="GZ81" i="1"/>
  <c r="GZ82" i="1"/>
  <c r="GZ83" i="1"/>
  <c r="GZ84" i="1"/>
  <c r="GZ85" i="1"/>
  <c r="GY10" i="1"/>
  <c r="HB10" i="1" s="1"/>
  <c r="GY11" i="1"/>
  <c r="HO11" i="1" s="1"/>
  <c r="GY12" i="1"/>
  <c r="GY13" i="1"/>
  <c r="GY14" i="1"/>
  <c r="GY15" i="1"/>
  <c r="GY16" i="1"/>
  <c r="GY17" i="1"/>
  <c r="GY18" i="1"/>
  <c r="GY19" i="1"/>
  <c r="GY20" i="1"/>
  <c r="GY21" i="1"/>
  <c r="GY22" i="1"/>
  <c r="GY23" i="1"/>
  <c r="GY24" i="1"/>
  <c r="GY25" i="1"/>
  <c r="GY26" i="1"/>
  <c r="GY27" i="1"/>
  <c r="GY28" i="1"/>
  <c r="GY29" i="1"/>
  <c r="GY30" i="1"/>
  <c r="GY31" i="1"/>
  <c r="GY32" i="1"/>
  <c r="GY33" i="1"/>
  <c r="GY34" i="1"/>
  <c r="GY35" i="1"/>
  <c r="GY36" i="1"/>
  <c r="GY37" i="1"/>
  <c r="GY38" i="1"/>
  <c r="GY39" i="1"/>
  <c r="GY40" i="1"/>
  <c r="GY41" i="1"/>
  <c r="GY42" i="1"/>
  <c r="GY43" i="1"/>
  <c r="GY44" i="1"/>
  <c r="GY45" i="1"/>
  <c r="GY46" i="1"/>
  <c r="GY47" i="1"/>
  <c r="GY48" i="1"/>
  <c r="GY49" i="1"/>
  <c r="GY50" i="1"/>
  <c r="GY51" i="1"/>
  <c r="GY52" i="1"/>
  <c r="GY53" i="1"/>
  <c r="GY54" i="1"/>
  <c r="GY55" i="1"/>
  <c r="GY56" i="1"/>
  <c r="GY57" i="1"/>
  <c r="GY58" i="1"/>
  <c r="GY59" i="1"/>
  <c r="GY60" i="1"/>
  <c r="GY61" i="1"/>
  <c r="GY62" i="1"/>
  <c r="GY63" i="1"/>
  <c r="GY64" i="1"/>
  <c r="GY65" i="1"/>
  <c r="GY66" i="1"/>
  <c r="GY67" i="1"/>
  <c r="GY68" i="1"/>
  <c r="GY69" i="1"/>
  <c r="GY70" i="1"/>
  <c r="GY71" i="1"/>
  <c r="GY72" i="1"/>
  <c r="GY73" i="1"/>
  <c r="GY74" i="1"/>
  <c r="GY75" i="1"/>
  <c r="GY76" i="1"/>
  <c r="GY77" i="1"/>
  <c r="GY78" i="1"/>
  <c r="GY79" i="1"/>
  <c r="GY80" i="1"/>
  <c r="GY81" i="1"/>
  <c r="GY82" i="1"/>
  <c r="HB82" i="1" s="1"/>
  <c r="GY83" i="1"/>
  <c r="HB83" i="1" s="1"/>
  <c r="GY84" i="1"/>
  <c r="HB84" i="1" s="1"/>
  <c r="GY85" i="1"/>
  <c r="HB85" i="1" s="1"/>
  <c r="GY9" i="1"/>
  <c r="HB9" i="1" s="1"/>
  <c r="GR11" i="1"/>
  <c r="HV93" i="1" l="1"/>
  <c r="HM93" i="1"/>
  <c r="HB79" i="1"/>
  <c r="HO79" i="1"/>
  <c r="HB75" i="1"/>
  <c r="HO75" i="1"/>
  <c r="HB73" i="1"/>
  <c r="HO73" i="1"/>
  <c r="HB69" i="1"/>
  <c r="HO69" i="1"/>
  <c r="HB65" i="1"/>
  <c r="HO65" i="1"/>
  <c r="HB61" i="1"/>
  <c r="HO61" i="1"/>
  <c r="HB57" i="1"/>
  <c r="HO57" i="1"/>
  <c r="HB53" i="1"/>
  <c r="HO53" i="1"/>
  <c r="HB49" i="1"/>
  <c r="HO49" i="1"/>
  <c r="HB80" i="1"/>
  <c r="HO80" i="1"/>
  <c r="HB78" i="1"/>
  <c r="HO78" i="1"/>
  <c r="HB76" i="1"/>
  <c r="HO76" i="1"/>
  <c r="HB74" i="1"/>
  <c r="HO74" i="1"/>
  <c r="HB72" i="1"/>
  <c r="HO72" i="1"/>
  <c r="HB70" i="1"/>
  <c r="HO70" i="1"/>
  <c r="HB68" i="1"/>
  <c r="HO68" i="1"/>
  <c r="HB66" i="1"/>
  <c r="HO66" i="1"/>
  <c r="HB64" i="1"/>
  <c r="HO64" i="1"/>
  <c r="HB62" i="1"/>
  <c r="HO62" i="1"/>
  <c r="HB60" i="1"/>
  <c r="HO60" i="1"/>
  <c r="HB58" i="1"/>
  <c r="HO58" i="1"/>
  <c r="HB56" i="1"/>
  <c r="HO56" i="1"/>
  <c r="HB54" i="1"/>
  <c r="HO54" i="1"/>
  <c r="HB52" i="1"/>
  <c r="HO52" i="1"/>
  <c r="HB50" i="1"/>
  <c r="HO50" i="1"/>
  <c r="HB48" i="1"/>
  <c r="HO48" i="1"/>
  <c r="HB46" i="1"/>
  <c r="HO46" i="1"/>
  <c r="HB44" i="1"/>
  <c r="HO44" i="1"/>
  <c r="HB42" i="1"/>
  <c r="HO42" i="1"/>
  <c r="HB40" i="1"/>
  <c r="HO40" i="1"/>
  <c r="HB38" i="1"/>
  <c r="HO38" i="1"/>
  <c r="HB36" i="1"/>
  <c r="HO36" i="1"/>
  <c r="HB34" i="1"/>
  <c r="HO34" i="1"/>
  <c r="HB32" i="1"/>
  <c r="HO32" i="1"/>
  <c r="HB30" i="1"/>
  <c r="HO30" i="1"/>
  <c r="HB28" i="1"/>
  <c r="HO28" i="1"/>
  <c r="HB26" i="1"/>
  <c r="HO26" i="1"/>
  <c r="HB24" i="1"/>
  <c r="HO24" i="1"/>
  <c r="HB22" i="1"/>
  <c r="HO22" i="1"/>
  <c r="HB20" i="1"/>
  <c r="HO20" i="1"/>
  <c r="HB18" i="1"/>
  <c r="HO18" i="1"/>
  <c r="HB16" i="1"/>
  <c r="HO16" i="1"/>
  <c r="HB14" i="1"/>
  <c r="HO14" i="1"/>
  <c r="HB12" i="1"/>
  <c r="HO12" i="1"/>
  <c r="HB81" i="1"/>
  <c r="HO81" i="1"/>
  <c r="HB77" i="1"/>
  <c r="HO77" i="1"/>
  <c r="HB71" i="1"/>
  <c r="HO71" i="1"/>
  <c r="HB67" i="1"/>
  <c r="HO67" i="1"/>
  <c r="HB63" i="1"/>
  <c r="HO63" i="1"/>
  <c r="HB59" i="1"/>
  <c r="HO59" i="1"/>
  <c r="HB55" i="1"/>
  <c r="HO55" i="1"/>
  <c r="HB51" i="1"/>
  <c r="HO51" i="1"/>
  <c r="HB47" i="1"/>
  <c r="HO47" i="1"/>
  <c r="HB45" i="1"/>
  <c r="HO45" i="1"/>
  <c r="HB43" i="1"/>
  <c r="HO43" i="1"/>
  <c r="HB41" i="1"/>
  <c r="HO41" i="1"/>
  <c r="HB39" i="1"/>
  <c r="HO39" i="1"/>
  <c r="HB37" i="1"/>
  <c r="HO37" i="1"/>
  <c r="HB35" i="1"/>
  <c r="HO35" i="1"/>
  <c r="HB33" i="1"/>
  <c r="HO33" i="1"/>
  <c r="HB31" i="1"/>
  <c r="HO31" i="1"/>
  <c r="HB29" i="1"/>
  <c r="HO29" i="1"/>
  <c r="HB27" i="1"/>
  <c r="HO27" i="1"/>
  <c r="HB25" i="1"/>
  <c r="HO25" i="1"/>
  <c r="HB23" i="1"/>
  <c r="HO23" i="1"/>
  <c r="HB21" i="1"/>
  <c r="HO21" i="1"/>
  <c r="HB19" i="1"/>
  <c r="HO19" i="1"/>
  <c r="HB17" i="1"/>
  <c r="HO17" i="1"/>
  <c r="HB15" i="1"/>
  <c r="HO15" i="1"/>
  <c r="HB13" i="1"/>
  <c r="HO13" i="1"/>
  <c r="HD11" i="1"/>
  <c r="HC11" i="1"/>
  <c r="HA86" i="1"/>
  <c r="HB11" i="1"/>
  <c r="HE13" i="1"/>
  <c r="HE14" i="1"/>
  <c r="HC15" i="1"/>
  <c r="HE16" i="1"/>
  <c r="HE17" i="1"/>
  <c r="HE18" i="1"/>
  <c r="HC19" i="1"/>
  <c r="HE20" i="1"/>
  <c r="HE21" i="1"/>
  <c r="HE22" i="1"/>
  <c r="HC23" i="1"/>
  <c r="HE24" i="1"/>
  <c r="HE25" i="1"/>
  <c r="HE26" i="1"/>
  <c r="HC27" i="1"/>
  <c r="HE28" i="1"/>
  <c r="HE29" i="1"/>
  <c r="HE30" i="1"/>
  <c r="HC31" i="1"/>
  <c r="HE32" i="1"/>
  <c r="HE33" i="1"/>
  <c r="HE34" i="1"/>
  <c r="HC35" i="1"/>
  <c r="HE36" i="1"/>
  <c r="HE37" i="1"/>
  <c r="HE38" i="1"/>
  <c r="HE39" i="1"/>
  <c r="HE40" i="1"/>
  <c r="HE41" i="1"/>
  <c r="HE42" i="1"/>
  <c r="HC43" i="1"/>
  <c r="HE44" i="1"/>
  <c r="HE45" i="1"/>
  <c r="HE46" i="1"/>
  <c r="HC47" i="1"/>
  <c r="HE48" i="1"/>
  <c r="HE49" i="1"/>
  <c r="HE50" i="1"/>
  <c r="HC51" i="1"/>
  <c r="HE52" i="1"/>
  <c r="HE53" i="1"/>
  <c r="HE54" i="1"/>
  <c r="HC55" i="1"/>
  <c r="HE56" i="1"/>
  <c r="HE57" i="1"/>
  <c r="HE58" i="1"/>
  <c r="HE59" i="1"/>
  <c r="HE60" i="1"/>
  <c r="HE61" i="1"/>
  <c r="HE62" i="1"/>
  <c r="HC63" i="1"/>
  <c r="HE64" i="1"/>
  <c r="HE65" i="1"/>
  <c r="HE66" i="1"/>
  <c r="HE67" i="1"/>
  <c r="HE68" i="1"/>
  <c r="HE69" i="1"/>
  <c r="HE70" i="1"/>
  <c r="HC71" i="1"/>
  <c r="HE72" i="1"/>
  <c r="HE73" i="1"/>
  <c r="HC75" i="1"/>
  <c r="HE76" i="1"/>
  <c r="HE77" i="1"/>
  <c r="HE78" i="1"/>
  <c r="HC79" i="1"/>
  <c r="HE80" i="1"/>
  <c r="HE81" i="1"/>
  <c r="HE11" i="1"/>
  <c r="HD13" i="1"/>
  <c r="HD14" i="1"/>
  <c r="HD15" i="1"/>
  <c r="HD16" i="1"/>
  <c r="HD17" i="1"/>
  <c r="HD18" i="1"/>
  <c r="HD19" i="1"/>
  <c r="HD20" i="1"/>
  <c r="HD21" i="1"/>
  <c r="HD22" i="1"/>
  <c r="HD23" i="1"/>
  <c r="HD24" i="1"/>
  <c r="HD25" i="1"/>
  <c r="HD26" i="1"/>
  <c r="HD27" i="1"/>
  <c r="HD28" i="1"/>
  <c r="HD29" i="1"/>
  <c r="HD30" i="1"/>
  <c r="HD31" i="1"/>
  <c r="HD32" i="1"/>
  <c r="HD33" i="1"/>
  <c r="HD34" i="1"/>
  <c r="HD35" i="1"/>
  <c r="HD36" i="1"/>
  <c r="HD37" i="1"/>
  <c r="HD38" i="1"/>
  <c r="HD39" i="1"/>
  <c r="HD40" i="1"/>
  <c r="HD41" i="1"/>
  <c r="HD43" i="1"/>
  <c r="HD44" i="1"/>
  <c r="HD45" i="1"/>
  <c r="HD47" i="1"/>
  <c r="HD48" i="1"/>
  <c r="HD49" i="1"/>
  <c r="HD50" i="1"/>
  <c r="HD51" i="1"/>
  <c r="HD52" i="1"/>
  <c r="HD53" i="1"/>
  <c r="HD55" i="1"/>
  <c r="HD56" i="1"/>
  <c r="HD57" i="1"/>
  <c r="HD59" i="1"/>
  <c r="HD60" i="1"/>
  <c r="HD61" i="1"/>
  <c r="HD62" i="1"/>
  <c r="HD63" i="1"/>
  <c r="HD64" i="1"/>
  <c r="HD65" i="1"/>
  <c r="HD67" i="1"/>
  <c r="HD68" i="1"/>
  <c r="HD69" i="1"/>
  <c r="HD70" i="1"/>
  <c r="HD71" i="1"/>
  <c r="HD72" i="1"/>
  <c r="HD73" i="1"/>
  <c r="HD74" i="1"/>
  <c r="HD75" i="1"/>
  <c r="HD76" i="1"/>
  <c r="HD77" i="1"/>
  <c r="HD79" i="1"/>
  <c r="HD80" i="1"/>
  <c r="HD81" i="1"/>
  <c r="HD12" i="1"/>
  <c r="HC85" i="1"/>
  <c r="HC84" i="1"/>
  <c r="HC83" i="1"/>
  <c r="HC80" i="1"/>
  <c r="HC78" i="1"/>
  <c r="HC76" i="1"/>
  <c r="HC74" i="1"/>
  <c r="HC73" i="1"/>
  <c r="HC72" i="1"/>
  <c r="HC70" i="1"/>
  <c r="HC68" i="1"/>
  <c r="HC66" i="1"/>
  <c r="HC65" i="1"/>
  <c r="HC64" i="1"/>
  <c r="HC62" i="1"/>
  <c r="HC61" i="1"/>
  <c r="HC60" i="1"/>
  <c r="HC59" i="1"/>
  <c r="HC58" i="1"/>
  <c r="HC56" i="1"/>
  <c r="HC54" i="1"/>
  <c r="HC53" i="1"/>
  <c r="HC52" i="1"/>
  <c r="HC50" i="1"/>
  <c r="HC49" i="1"/>
  <c r="HC48" i="1"/>
  <c r="HC46" i="1"/>
  <c r="HC45" i="1"/>
  <c r="HC44" i="1"/>
  <c r="HC42" i="1"/>
  <c r="HC40" i="1"/>
  <c r="HC38" i="1"/>
  <c r="HC36" i="1"/>
  <c r="HC34" i="1"/>
  <c r="HC33" i="1"/>
  <c r="HC32" i="1"/>
  <c r="HC30" i="1"/>
  <c r="HC28" i="1"/>
  <c r="HC26" i="1"/>
  <c r="HC24" i="1"/>
  <c r="HC22" i="1"/>
  <c r="HC21" i="1"/>
  <c r="HC20" i="1"/>
  <c r="HC18" i="1"/>
  <c r="HC17" i="1"/>
  <c r="HC16" i="1"/>
  <c r="HC14" i="1"/>
  <c r="HA96" i="1" l="1"/>
  <c r="HL87" i="1"/>
  <c r="HA88" i="1"/>
  <c r="HA90" i="1" s="1"/>
  <c r="HC13" i="1"/>
  <c r="HC25" i="1"/>
  <c r="HC29" i="1"/>
  <c r="HC37" i="1"/>
  <c r="HC41" i="1"/>
  <c r="HC57" i="1"/>
  <c r="HC69" i="1"/>
  <c r="HC77" i="1"/>
  <c r="HD78" i="1"/>
  <c r="HD66" i="1"/>
  <c r="HD58" i="1"/>
  <c r="HD54" i="1"/>
  <c r="HD46" i="1"/>
  <c r="HD42" i="1"/>
  <c r="HC67" i="1"/>
  <c r="HC39" i="1"/>
  <c r="HE79" i="1"/>
  <c r="HE75" i="1"/>
  <c r="HE71" i="1"/>
  <c r="HE63" i="1"/>
  <c r="HE55" i="1"/>
  <c r="HE51" i="1"/>
  <c r="HE47" i="1"/>
  <c r="HE43" i="1"/>
  <c r="HE35" i="1"/>
  <c r="HE31" i="1"/>
  <c r="HE27" i="1"/>
  <c r="HE23" i="1"/>
  <c r="HE19" i="1"/>
  <c r="HE15" i="1"/>
  <c r="GR12" i="1"/>
  <c r="GR13" i="1"/>
  <c r="GR14" i="1"/>
  <c r="GR15" i="1"/>
  <c r="GR16" i="1"/>
  <c r="GR17" i="1"/>
  <c r="GR18" i="1"/>
  <c r="GR19" i="1"/>
  <c r="GR20" i="1"/>
  <c r="GR21" i="1"/>
  <c r="GR22" i="1"/>
  <c r="GR23" i="1"/>
  <c r="GR24" i="1"/>
  <c r="GR25" i="1"/>
  <c r="GR26" i="1"/>
  <c r="GR27" i="1"/>
  <c r="GR28" i="1"/>
  <c r="GR29" i="1"/>
  <c r="GR30" i="1"/>
  <c r="GR31" i="1"/>
  <c r="GR32" i="1"/>
  <c r="GR33" i="1"/>
  <c r="GR34" i="1"/>
  <c r="GR35" i="1"/>
  <c r="GR36" i="1"/>
  <c r="GR37" i="1"/>
  <c r="GR38" i="1"/>
  <c r="GR39" i="1"/>
  <c r="GR40" i="1"/>
  <c r="GR41" i="1"/>
  <c r="GR42" i="1"/>
  <c r="GR43" i="1"/>
  <c r="GR44" i="1"/>
  <c r="GR45" i="1"/>
  <c r="GR46" i="1"/>
  <c r="GR47" i="1"/>
  <c r="GR48" i="1"/>
  <c r="GR49" i="1"/>
  <c r="GR50" i="1"/>
  <c r="GR51" i="1"/>
  <c r="GR52" i="1"/>
  <c r="GR53" i="1"/>
  <c r="GR54" i="1"/>
  <c r="GR55" i="1"/>
  <c r="GR56" i="1"/>
  <c r="GR57" i="1"/>
  <c r="GR58" i="1"/>
  <c r="GR60" i="1"/>
  <c r="GR61" i="1"/>
  <c r="GR62" i="1"/>
  <c r="GR63" i="1"/>
  <c r="GR64" i="1"/>
  <c r="GR65" i="1"/>
  <c r="GR66" i="1"/>
  <c r="GR67" i="1"/>
  <c r="GR68" i="1"/>
  <c r="GR69" i="1"/>
  <c r="GR70" i="1"/>
  <c r="GR71" i="1"/>
  <c r="GR72" i="1"/>
  <c r="GR73" i="1"/>
  <c r="GR74" i="1"/>
  <c r="GR75" i="1"/>
  <c r="GR76" i="1"/>
  <c r="GR77" i="1"/>
  <c r="GR78" i="1"/>
  <c r="GR79" i="1"/>
  <c r="GR80" i="1"/>
  <c r="GR81" i="1"/>
  <c r="GT85" i="1"/>
  <c r="GS85" i="1"/>
  <c r="GR85" i="1"/>
  <c r="GT84" i="1"/>
  <c r="GS84" i="1"/>
  <c r="GR84" i="1"/>
  <c r="GT83" i="1"/>
  <c r="GS83" i="1"/>
  <c r="GR83" i="1"/>
  <c r="GT82" i="1"/>
  <c r="GS82" i="1"/>
  <c r="GR82" i="1"/>
  <c r="GT81" i="1"/>
  <c r="GS81" i="1"/>
  <c r="GT80" i="1"/>
  <c r="GS80" i="1"/>
  <c r="GT79" i="1"/>
  <c r="GS79" i="1"/>
  <c r="GT78" i="1"/>
  <c r="GS78" i="1"/>
  <c r="GT77" i="1"/>
  <c r="GS77" i="1"/>
  <c r="GT76" i="1"/>
  <c r="GS76" i="1"/>
  <c r="GT75" i="1"/>
  <c r="GS75" i="1"/>
  <c r="GT74" i="1"/>
  <c r="GS74" i="1"/>
  <c r="GT73" i="1"/>
  <c r="GS73" i="1"/>
  <c r="GT72" i="1"/>
  <c r="GS72" i="1"/>
  <c r="GT71" i="1"/>
  <c r="GS71" i="1"/>
  <c r="GT70" i="1"/>
  <c r="GS70" i="1"/>
  <c r="GT69" i="1"/>
  <c r="GS69" i="1"/>
  <c r="GT68" i="1"/>
  <c r="GS68" i="1"/>
  <c r="GT67" i="1"/>
  <c r="GS67" i="1"/>
  <c r="GT66" i="1"/>
  <c r="GS66" i="1"/>
  <c r="GT65" i="1"/>
  <c r="GS65" i="1"/>
  <c r="GT64" i="1"/>
  <c r="GS64" i="1"/>
  <c r="GT63" i="1"/>
  <c r="GS63" i="1"/>
  <c r="GT62" i="1"/>
  <c r="GS62" i="1"/>
  <c r="GT61" i="1"/>
  <c r="GS61" i="1"/>
  <c r="GT60" i="1"/>
  <c r="GS60" i="1"/>
  <c r="GT59" i="1"/>
  <c r="GS59" i="1"/>
  <c r="GT58" i="1"/>
  <c r="GS58" i="1"/>
  <c r="GT57" i="1"/>
  <c r="GS57" i="1"/>
  <c r="GT56" i="1"/>
  <c r="GS56" i="1"/>
  <c r="GT55" i="1"/>
  <c r="GS55" i="1"/>
  <c r="GT54" i="1"/>
  <c r="GS54" i="1"/>
  <c r="GT53" i="1"/>
  <c r="GS53" i="1"/>
  <c r="GT52" i="1"/>
  <c r="GS52" i="1"/>
  <c r="GT51" i="1"/>
  <c r="GS51" i="1"/>
  <c r="GT50" i="1"/>
  <c r="GS50" i="1"/>
  <c r="GT49" i="1"/>
  <c r="GS49" i="1"/>
  <c r="GT48" i="1"/>
  <c r="GS48" i="1"/>
  <c r="GT47" i="1"/>
  <c r="GS47" i="1"/>
  <c r="GT46" i="1"/>
  <c r="GS46" i="1"/>
  <c r="GT45" i="1"/>
  <c r="GS45" i="1"/>
  <c r="GT44" i="1"/>
  <c r="GS44" i="1"/>
  <c r="GT43" i="1"/>
  <c r="GS43" i="1"/>
  <c r="GT42" i="1"/>
  <c r="GS42" i="1"/>
  <c r="GT41" i="1"/>
  <c r="GS41" i="1"/>
  <c r="GT40" i="1"/>
  <c r="GS40" i="1"/>
  <c r="GT39" i="1"/>
  <c r="GS39" i="1"/>
  <c r="GT38" i="1"/>
  <c r="GS38" i="1"/>
  <c r="GT37" i="1"/>
  <c r="GS37" i="1"/>
  <c r="GT36" i="1"/>
  <c r="GS36" i="1"/>
  <c r="GT35" i="1"/>
  <c r="GS35" i="1"/>
  <c r="GT34" i="1"/>
  <c r="GS34" i="1"/>
  <c r="GT33" i="1"/>
  <c r="GS33" i="1"/>
  <c r="GT32" i="1"/>
  <c r="GS32" i="1"/>
  <c r="GT31" i="1"/>
  <c r="GS31" i="1"/>
  <c r="GT30" i="1"/>
  <c r="GS30" i="1"/>
  <c r="GT29" i="1"/>
  <c r="GS29" i="1"/>
  <c r="GT28" i="1"/>
  <c r="GS28" i="1"/>
  <c r="GT27" i="1"/>
  <c r="GS27" i="1"/>
  <c r="GT26" i="1"/>
  <c r="GS26" i="1"/>
  <c r="GT25" i="1"/>
  <c r="GS25" i="1"/>
  <c r="GT24" i="1"/>
  <c r="GS24" i="1"/>
  <c r="GT23" i="1"/>
  <c r="GS23" i="1"/>
  <c r="GT22" i="1"/>
  <c r="GS22" i="1"/>
  <c r="GT21" i="1"/>
  <c r="GS21" i="1"/>
  <c r="GT20" i="1"/>
  <c r="GS20" i="1"/>
  <c r="GT19" i="1"/>
  <c r="GS19" i="1"/>
  <c r="GT18" i="1"/>
  <c r="GS18" i="1"/>
  <c r="GT17" i="1"/>
  <c r="GS17" i="1"/>
  <c r="GT16" i="1"/>
  <c r="GS16" i="1"/>
  <c r="GT15" i="1"/>
  <c r="GS15" i="1"/>
  <c r="GT14" i="1"/>
  <c r="GS14" i="1"/>
  <c r="GT13" i="1"/>
  <c r="GS13" i="1"/>
  <c r="GT12" i="1"/>
  <c r="GS12" i="1"/>
  <c r="GR10" i="1"/>
  <c r="GR9" i="1"/>
  <c r="GS86" i="1" l="1"/>
  <c r="HL88" i="1"/>
  <c r="HL90" i="1" s="1"/>
  <c r="HL94" i="1"/>
  <c r="HC86" i="1"/>
  <c r="GJ12" i="1"/>
  <c r="GJ13" i="1"/>
  <c r="GJ14" i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37" i="1"/>
  <c r="GJ38" i="1"/>
  <c r="GJ39" i="1"/>
  <c r="GJ40" i="1"/>
  <c r="GJ41" i="1"/>
  <c r="GJ42" i="1"/>
  <c r="GJ43" i="1"/>
  <c r="GJ44" i="1"/>
  <c r="GJ45" i="1"/>
  <c r="GJ46" i="1"/>
  <c r="GJ47" i="1"/>
  <c r="GJ48" i="1"/>
  <c r="GJ49" i="1"/>
  <c r="GJ50" i="1"/>
  <c r="GJ51" i="1"/>
  <c r="GJ52" i="1"/>
  <c r="GJ53" i="1"/>
  <c r="GJ54" i="1"/>
  <c r="GJ55" i="1"/>
  <c r="GJ56" i="1"/>
  <c r="GJ57" i="1"/>
  <c r="GJ58" i="1"/>
  <c r="GJ59" i="1"/>
  <c r="GJ60" i="1"/>
  <c r="GJ61" i="1"/>
  <c r="GJ62" i="1"/>
  <c r="GJ63" i="1"/>
  <c r="GJ64" i="1"/>
  <c r="GJ65" i="1"/>
  <c r="GJ66" i="1"/>
  <c r="GJ67" i="1"/>
  <c r="GJ68" i="1"/>
  <c r="GJ69" i="1"/>
  <c r="GJ70" i="1"/>
  <c r="GJ71" i="1"/>
  <c r="GJ72" i="1"/>
  <c r="GJ73" i="1"/>
  <c r="GJ74" i="1"/>
  <c r="GJ75" i="1"/>
  <c r="GJ76" i="1"/>
  <c r="GJ77" i="1"/>
  <c r="GJ78" i="1"/>
  <c r="GJ79" i="1"/>
  <c r="GJ80" i="1"/>
  <c r="GJ81" i="1"/>
  <c r="GJ82" i="1"/>
  <c r="GJ83" i="1"/>
  <c r="GJ84" i="1"/>
  <c r="GJ85" i="1"/>
  <c r="GJ11" i="1"/>
  <c r="GI12" i="1"/>
  <c r="GI13" i="1"/>
  <c r="GI14" i="1"/>
  <c r="GI15" i="1"/>
  <c r="GI16" i="1"/>
  <c r="GI17" i="1"/>
  <c r="GI18" i="1"/>
  <c r="GI19" i="1"/>
  <c r="GI20" i="1"/>
  <c r="GI21" i="1"/>
  <c r="GI22" i="1"/>
  <c r="GI23" i="1"/>
  <c r="GI24" i="1"/>
  <c r="GI25" i="1"/>
  <c r="GI26" i="1"/>
  <c r="GI27" i="1"/>
  <c r="GI28" i="1"/>
  <c r="GI29" i="1"/>
  <c r="GI30" i="1"/>
  <c r="GI31" i="1"/>
  <c r="GI32" i="1"/>
  <c r="GI33" i="1"/>
  <c r="GI34" i="1"/>
  <c r="GI35" i="1"/>
  <c r="GI36" i="1"/>
  <c r="GI37" i="1"/>
  <c r="GI38" i="1"/>
  <c r="GI39" i="1"/>
  <c r="GI40" i="1"/>
  <c r="GI41" i="1"/>
  <c r="GI42" i="1"/>
  <c r="GI43" i="1"/>
  <c r="GI44" i="1"/>
  <c r="GI45" i="1"/>
  <c r="GI46" i="1"/>
  <c r="GI47" i="1"/>
  <c r="GI48" i="1"/>
  <c r="GI49" i="1"/>
  <c r="GI50" i="1"/>
  <c r="GI51" i="1"/>
  <c r="GI52" i="1"/>
  <c r="GI53" i="1"/>
  <c r="GI54" i="1"/>
  <c r="GI55" i="1"/>
  <c r="GI56" i="1"/>
  <c r="GI57" i="1"/>
  <c r="GI58" i="1"/>
  <c r="GI59" i="1"/>
  <c r="GI60" i="1"/>
  <c r="GI61" i="1"/>
  <c r="GI62" i="1"/>
  <c r="GI63" i="1"/>
  <c r="GI64" i="1"/>
  <c r="GI65" i="1"/>
  <c r="GI66" i="1"/>
  <c r="GI67" i="1"/>
  <c r="GI68" i="1"/>
  <c r="GI69" i="1"/>
  <c r="GI70" i="1"/>
  <c r="GI71" i="1"/>
  <c r="GI72" i="1"/>
  <c r="GI73" i="1"/>
  <c r="GI74" i="1"/>
  <c r="GI75" i="1"/>
  <c r="GI76" i="1"/>
  <c r="GI77" i="1"/>
  <c r="GI78" i="1"/>
  <c r="GI79" i="1"/>
  <c r="GI80" i="1"/>
  <c r="GI81" i="1"/>
  <c r="GI82" i="1"/>
  <c r="GI83" i="1"/>
  <c r="GI84" i="1"/>
  <c r="GI85" i="1"/>
  <c r="GI11" i="1"/>
  <c r="GG86" i="1"/>
  <c r="GH85" i="1"/>
  <c r="GH84" i="1"/>
  <c r="GH83" i="1"/>
  <c r="GH82" i="1"/>
  <c r="GH81" i="1"/>
  <c r="GH80" i="1"/>
  <c r="GH79" i="1"/>
  <c r="GH78" i="1"/>
  <c r="GH77" i="1"/>
  <c r="GH76" i="1"/>
  <c r="GH75" i="1"/>
  <c r="GH74" i="1"/>
  <c r="GH73" i="1"/>
  <c r="GH72" i="1"/>
  <c r="GH71" i="1"/>
  <c r="GH70" i="1"/>
  <c r="GH69" i="1"/>
  <c r="GH68" i="1"/>
  <c r="GH67" i="1"/>
  <c r="GH66" i="1"/>
  <c r="GH65" i="1"/>
  <c r="GH64" i="1"/>
  <c r="GH63" i="1"/>
  <c r="GH62" i="1"/>
  <c r="GH61" i="1"/>
  <c r="GH60" i="1"/>
  <c r="GH59" i="1"/>
  <c r="GH58" i="1"/>
  <c r="GH57" i="1"/>
  <c r="GH56" i="1"/>
  <c r="GH55" i="1"/>
  <c r="GH54" i="1"/>
  <c r="GH53" i="1"/>
  <c r="GH52" i="1"/>
  <c r="GH51" i="1"/>
  <c r="GH50" i="1"/>
  <c r="GH49" i="1"/>
  <c r="GH48" i="1"/>
  <c r="GH47" i="1"/>
  <c r="GH46" i="1"/>
  <c r="GH45" i="1"/>
  <c r="GH44" i="1"/>
  <c r="GH43" i="1"/>
  <c r="GH42" i="1"/>
  <c r="GH41" i="1"/>
  <c r="GH40" i="1"/>
  <c r="GH39" i="1"/>
  <c r="GH38" i="1"/>
  <c r="GH37" i="1"/>
  <c r="GH36" i="1"/>
  <c r="GH35" i="1"/>
  <c r="GH34" i="1"/>
  <c r="GH33" i="1"/>
  <c r="GH32" i="1"/>
  <c r="GH31" i="1"/>
  <c r="GH30" i="1"/>
  <c r="GH29" i="1"/>
  <c r="GH28" i="1"/>
  <c r="GH27" i="1"/>
  <c r="GH26" i="1"/>
  <c r="GH25" i="1"/>
  <c r="GH24" i="1"/>
  <c r="GH23" i="1"/>
  <c r="GH22" i="1"/>
  <c r="GH21" i="1"/>
  <c r="GH20" i="1"/>
  <c r="GH19" i="1"/>
  <c r="GH18" i="1"/>
  <c r="GH17" i="1"/>
  <c r="GH16" i="1"/>
  <c r="GH15" i="1"/>
  <c r="GH14" i="1"/>
  <c r="GH11" i="1"/>
  <c r="GH10" i="1"/>
  <c r="GH9" i="1"/>
  <c r="GI86" i="1" l="1"/>
  <c r="GQ93" i="1" s="1"/>
  <c r="HA93" i="1"/>
  <c r="GR93" i="1"/>
  <c r="HB93" i="1"/>
  <c r="HL93" i="1"/>
  <c r="GG96" i="1"/>
  <c r="GQ87" i="1"/>
  <c r="GH93" i="1"/>
  <c r="FX11" i="1"/>
  <c r="FX13" i="1"/>
  <c r="FX14" i="1"/>
  <c r="FX15" i="1"/>
  <c r="FX16" i="1"/>
  <c r="FX17" i="1"/>
  <c r="FX18" i="1"/>
  <c r="FX19" i="1"/>
  <c r="FX20" i="1"/>
  <c r="FX21" i="1"/>
  <c r="FX22" i="1"/>
  <c r="FX23" i="1"/>
  <c r="FX24" i="1"/>
  <c r="FX25" i="1"/>
  <c r="FX26" i="1"/>
  <c r="FX27" i="1"/>
  <c r="FX28" i="1"/>
  <c r="FX29" i="1"/>
  <c r="FX30" i="1"/>
  <c r="FX31" i="1"/>
  <c r="FX32" i="1"/>
  <c r="FX33" i="1"/>
  <c r="FX34" i="1"/>
  <c r="FX35" i="1"/>
  <c r="FX36" i="1"/>
  <c r="FX37" i="1"/>
  <c r="FX38" i="1"/>
  <c r="FX39" i="1"/>
  <c r="FX40" i="1"/>
  <c r="FX41" i="1"/>
  <c r="FX42" i="1"/>
  <c r="FX43" i="1"/>
  <c r="FX44" i="1"/>
  <c r="FX45" i="1"/>
  <c r="FX46" i="1"/>
  <c r="FX47" i="1"/>
  <c r="FX48" i="1"/>
  <c r="FX49" i="1"/>
  <c r="FX50" i="1"/>
  <c r="FX51" i="1"/>
  <c r="FX52" i="1"/>
  <c r="FX53" i="1"/>
  <c r="FX54" i="1"/>
  <c r="FX55" i="1"/>
  <c r="FX56" i="1"/>
  <c r="FX57" i="1"/>
  <c r="FX58" i="1"/>
  <c r="FX59" i="1"/>
  <c r="FX60" i="1"/>
  <c r="FX61" i="1"/>
  <c r="FX62" i="1"/>
  <c r="FX63" i="1"/>
  <c r="FX64" i="1"/>
  <c r="FX65" i="1"/>
  <c r="FX66" i="1"/>
  <c r="FX67" i="1"/>
  <c r="FX68" i="1"/>
  <c r="FX69" i="1"/>
  <c r="FX70" i="1"/>
  <c r="FX71" i="1"/>
  <c r="FX72" i="1"/>
  <c r="FX73" i="1"/>
  <c r="FX74" i="1"/>
  <c r="FX75" i="1"/>
  <c r="FX76" i="1"/>
  <c r="FX77" i="1"/>
  <c r="FX78" i="1"/>
  <c r="FX79" i="1"/>
  <c r="FX80" i="1"/>
  <c r="FX81" i="1"/>
  <c r="GQ97" i="1" l="1"/>
  <c r="GQ88" i="1"/>
  <c r="GQ90" i="1" s="1"/>
  <c r="FY82" i="1"/>
  <c r="FY83" i="1"/>
  <c r="FY84" i="1"/>
  <c r="FY85" i="1"/>
  <c r="FZ12" i="1"/>
  <c r="FZ13" i="1"/>
  <c r="FZ14" i="1"/>
  <c r="FZ15" i="1"/>
  <c r="FZ16" i="1"/>
  <c r="FZ17" i="1"/>
  <c r="FZ18" i="1"/>
  <c r="FZ19" i="1"/>
  <c r="FZ20" i="1"/>
  <c r="FZ21" i="1"/>
  <c r="FZ22" i="1"/>
  <c r="FZ23" i="1"/>
  <c r="FZ24" i="1"/>
  <c r="FZ25" i="1"/>
  <c r="FZ26" i="1"/>
  <c r="FZ27" i="1"/>
  <c r="FZ28" i="1"/>
  <c r="FZ29" i="1"/>
  <c r="FZ30" i="1"/>
  <c r="FZ31" i="1"/>
  <c r="FZ32" i="1"/>
  <c r="FZ33" i="1"/>
  <c r="FZ34" i="1"/>
  <c r="FZ35" i="1"/>
  <c r="FZ36" i="1"/>
  <c r="FZ37" i="1"/>
  <c r="FZ38" i="1"/>
  <c r="FZ39" i="1"/>
  <c r="FZ40" i="1"/>
  <c r="FZ41" i="1"/>
  <c r="FZ42" i="1"/>
  <c r="FZ43" i="1"/>
  <c r="FZ44" i="1"/>
  <c r="FZ45" i="1"/>
  <c r="FZ46" i="1"/>
  <c r="FZ47" i="1"/>
  <c r="FZ48" i="1"/>
  <c r="FZ49" i="1"/>
  <c r="FZ50" i="1"/>
  <c r="FZ51" i="1"/>
  <c r="FZ52" i="1"/>
  <c r="FZ53" i="1"/>
  <c r="FZ54" i="1"/>
  <c r="FZ55" i="1"/>
  <c r="FZ56" i="1"/>
  <c r="FZ57" i="1"/>
  <c r="FZ58" i="1"/>
  <c r="FZ59" i="1"/>
  <c r="FZ60" i="1"/>
  <c r="FZ61" i="1"/>
  <c r="FZ62" i="1"/>
  <c r="FZ63" i="1"/>
  <c r="FZ64" i="1"/>
  <c r="FZ65" i="1"/>
  <c r="FZ66" i="1"/>
  <c r="FZ67" i="1"/>
  <c r="FZ68" i="1"/>
  <c r="FZ69" i="1"/>
  <c r="FZ70" i="1"/>
  <c r="FZ71" i="1"/>
  <c r="FZ72" i="1"/>
  <c r="FZ73" i="1"/>
  <c r="FZ74" i="1"/>
  <c r="FZ75" i="1"/>
  <c r="FZ76" i="1"/>
  <c r="FZ77" i="1"/>
  <c r="FZ78" i="1"/>
  <c r="FZ79" i="1"/>
  <c r="FZ80" i="1"/>
  <c r="FZ81" i="1"/>
  <c r="FZ82" i="1"/>
  <c r="FZ83" i="1"/>
  <c r="FZ84" i="1"/>
  <c r="FZ85" i="1"/>
  <c r="FY66" i="1"/>
  <c r="FY67" i="1"/>
  <c r="FY68" i="1"/>
  <c r="FY69" i="1"/>
  <c r="FY70" i="1"/>
  <c r="FY71" i="1"/>
  <c r="FY72" i="1"/>
  <c r="FY73" i="1"/>
  <c r="FY74" i="1"/>
  <c r="FY75" i="1"/>
  <c r="FY76" i="1"/>
  <c r="FY77" i="1"/>
  <c r="FY78" i="1"/>
  <c r="FY79" i="1"/>
  <c r="FY80" i="1"/>
  <c r="FY81" i="1"/>
  <c r="FY43" i="1"/>
  <c r="FY44" i="1"/>
  <c r="FY45" i="1"/>
  <c r="FY46" i="1"/>
  <c r="FY47" i="1"/>
  <c r="FY48" i="1"/>
  <c r="FY49" i="1"/>
  <c r="FY50" i="1"/>
  <c r="FY51" i="1"/>
  <c r="FY52" i="1"/>
  <c r="FY53" i="1"/>
  <c r="FY54" i="1"/>
  <c r="FY55" i="1"/>
  <c r="FY56" i="1"/>
  <c r="FY57" i="1"/>
  <c r="FY58" i="1"/>
  <c r="FY59" i="1"/>
  <c r="FY60" i="1"/>
  <c r="FY61" i="1"/>
  <c r="FY62" i="1"/>
  <c r="FY63" i="1"/>
  <c r="FY64" i="1"/>
  <c r="FY65" i="1"/>
  <c r="FY33" i="1"/>
  <c r="FY34" i="1"/>
  <c r="FY35" i="1"/>
  <c r="FY36" i="1"/>
  <c r="FY37" i="1"/>
  <c r="FY38" i="1"/>
  <c r="FY39" i="1"/>
  <c r="FY40" i="1"/>
  <c r="FY41" i="1"/>
  <c r="FY42" i="1"/>
  <c r="FY32" i="1"/>
  <c r="FY27" i="1"/>
  <c r="FY28" i="1"/>
  <c r="FY29" i="1"/>
  <c r="FY30" i="1"/>
  <c r="FY31" i="1"/>
  <c r="FY26" i="1"/>
  <c r="FY25" i="1"/>
  <c r="FY22" i="1"/>
  <c r="FY23" i="1"/>
  <c r="FY18" i="1"/>
  <c r="FY19" i="1"/>
  <c r="FY17" i="1"/>
  <c r="FY20" i="1"/>
  <c r="FY21" i="1"/>
  <c r="FY24" i="1"/>
  <c r="FY13" i="1"/>
  <c r="FY14" i="1"/>
  <c r="FY15" i="1"/>
  <c r="FY16" i="1"/>
  <c r="FY12" i="1"/>
  <c r="FY11" i="1"/>
  <c r="FW86" i="1"/>
  <c r="FX85" i="1"/>
  <c r="FX84" i="1"/>
  <c r="FX83" i="1"/>
  <c r="FX82" i="1"/>
  <c r="FX10" i="1"/>
  <c r="FX9" i="1"/>
  <c r="FW96" i="1" l="1"/>
  <c r="GG87" i="1"/>
  <c r="FY86" i="1"/>
  <c r="FM86" i="1"/>
  <c r="FO12" i="1"/>
  <c r="FO13" i="1"/>
  <c r="FO14" i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37" i="1"/>
  <c r="FO38" i="1"/>
  <c r="FO39" i="1"/>
  <c r="FO40" i="1"/>
  <c r="FO41" i="1"/>
  <c r="FO42" i="1"/>
  <c r="FO43" i="1"/>
  <c r="FO44" i="1"/>
  <c r="FO45" i="1"/>
  <c r="FO46" i="1"/>
  <c r="FO47" i="1"/>
  <c r="FO48" i="1"/>
  <c r="FO49" i="1"/>
  <c r="FO50" i="1"/>
  <c r="FO51" i="1"/>
  <c r="FO52" i="1"/>
  <c r="FO53" i="1"/>
  <c r="FO54" i="1"/>
  <c r="FO55" i="1"/>
  <c r="FO56" i="1"/>
  <c r="FO57" i="1"/>
  <c r="FO58" i="1"/>
  <c r="FO59" i="1"/>
  <c r="FO60" i="1"/>
  <c r="FO61" i="1"/>
  <c r="FO62" i="1"/>
  <c r="FO63" i="1"/>
  <c r="FO64" i="1"/>
  <c r="FO65" i="1"/>
  <c r="FO66" i="1"/>
  <c r="FO67" i="1"/>
  <c r="FO68" i="1"/>
  <c r="FO69" i="1"/>
  <c r="FO70" i="1"/>
  <c r="FO71" i="1"/>
  <c r="FO72" i="1"/>
  <c r="FO73" i="1"/>
  <c r="FO74" i="1"/>
  <c r="FO75" i="1"/>
  <c r="FO76" i="1"/>
  <c r="FO77" i="1"/>
  <c r="FO78" i="1"/>
  <c r="FO79" i="1"/>
  <c r="FO80" i="1"/>
  <c r="FO81" i="1"/>
  <c r="FO82" i="1"/>
  <c r="FO83" i="1"/>
  <c r="FO84" i="1"/>
  <c r="FO85" i="1"/>
  <c r="FO11" i="1"/>
  <c r="FN85" i="1"/>
  <c r="FN84" i="1"/>
  <c r="FN83" i="1"/>
  <c r="FN82" i="1"/>
  <c r="FN81" i="1"/>
  <c r="FN80" i="1"/>
  <c r="FN79" i="1"/>
  <c r="FN78" i="1"/>
  <c r="FN77" i="1"/>
  <c r="FN76" i="1"/>
  <c r="FN75" i="1"/>
  <c r="FN74" i="1"/>
  <c r="FN73" i="1"/>
  <c r="FN72" i="1"/>
  <c r="FN71" i="1"/>
  <c r="FN70" i="1"/>
  <c r="FN69" i="1"/>
  <c r="FN68" i="1"/>
  <c r="FN67" i="1"/>
  <c r="FN66" i="1"/>
  <c r="FN65" i="1"/>
  <c r="FN64" i="1"/>
  <c r="FN63" i="1"/>
  <c r="FN62" i="1"/>
  <c r="FN61" i="1"/>
  <c r="FN60" i="1"/>
  <c r="FN59" i="1"/>
  <c r="FN58" i="1"/>
  <c r="FN57" i="1"/>
  <c r="FN56" i="1"/>
  <c r="FN55" i="1"/>
  <c r="FN54" i="1"/>
  <c r="FN53" i="1"/>
  <c r="FN52" i="1"/>
  <c r="FN51" i="1"/>
  <c r="FN50" i="1"/>
  <c r="FN49" i="1"/>
  <c r="FN48" i="1"/>
  <c r="FN47" i="1"/>
  <c r="FN46" i="1"/>
  <c r="FN45" i="1"/>
  <c r="FN44" i="1"/>
  <c r="FN43" i="1"/>
  <c r="FN42" i="1"/>
  <c r="FN41" i="1"/>
  <c r="FN40" i="1"/>
  <c r="FN39" i="1"/>
  <c r="FN38" i="1"/>
  <c r="FN37" i="1"/>
  <c r="FN36" i="1"/>
  <c r="FN35" i="1"/>
  <c r="FN34" i="1"/>
  <c r="FN33" i="1"/>
  <c r="FN32" i="1"/>
  <c r="FN31" i="1"/>
  <c r="FN30" i="1"/>
  <c r="FN29" i="1"/>
  <c r="FN28" i="1"/>
  <c r="FN27" i="1"/>
  <c r="FN26" i="1"/>
  <c r="FN25" i="1"/>
  <c r="FN24" i="1"/>
  <c r="FN23" i="1"/>
  <c r="FN22" i="1"/>
  <c r="FN21" i="1"/>
  <c r="FN20" i="1"/>
  <c r="FN19" i="1"/>
  <c r="FN18" i="1"/>
  <c r="FN17" i="1"/>
  <c r="FN16" i="1"/>
  <c r="FN15" i="1"/>
  <c r="FN14" i="1"/>
  <c r="FN13" i="1"/>
  <c r="FN12" i="1"/>
  <c r="FN11" i="1"/>
  <c r="FN10" i="1"/>
  <c r="FN9" i="1"/>
  <c r="GG97" i="1" l="1"/>
  <c r="GG88" i="1"/>
  <c r="GG90" i="1" s="1"/>
  <c r="FM96" i="1"/>
  <c r="FW87" i="1"/>
  <c r="FX93" i="1"/>
  <c r="GG93" i="1"/>
  <c r="FO86" i="1"/>
  <c r="FN93" i="1" s="1"/>
  <c r="FW93" i="1" s="1"/>
  <c r="FC86" i="1"/>
  <c r="FD12" i="1"/>
  <c r="FE12" i="1"/>
  <c r="FP12" i="1" s="1"/>
  <c r="FE13" i="1"/>
  <c r="FP13" i="1" s="1"/>
  <c r="FE14" i="1"/>
  <c r="FP14" i="1" s="1"/>
  <c r="FE15" i="1"/>
  <c r="FP15" i="1" s="1"/>
  <c r="FE16" i="1"/>
  <c r="FP16" i="1" s="1"/>
  <c r="FE17" i="1"/>
  <c r="FP17" i="1" s="1"/>
  <c r="FE18" i="1"/>
  <c r="FP18" i="1" s="1"/>
  <c r="FE19" i="1"/>
  <c r="FP19" i="1" s="1"/>
  <c r="FE20" i="1"/>
  <c r="FP20" i="1" s="1"/>
  <c r="FE21" i="1"/>
  <c r="FP21" i="1" s="1"/>
  <c r="FE22" i="1"/>
  <c r="FP22" i="1" s="1"/>
  <c r="FE23" i="1"/>
  <c r="FP23" i="1" s="1"/>
  <c r="FE24" i="1"/>
  <c r="FP24" i="1" s="1"/>
  <c r="FE25" i="1"/>
  <c r="FP25" i="1" s="1"/>
  <c r="FE26" i="1"/>
  <c r="FP26" i="1" s="1"/>
  <c r="FE27" i="1"/>
  <c r="FP27" i="1" s="1"/>
  <c r="FE28" i="1"/>
  <c r="FP28" i="1" s="1"/>
  <c r="FE29" i="1"/>
  <c r="FP29" i="1" s="1"/>
  <c r="FE30" i="1"/>
  <c r="FP30" i="1" s="1"/>
  <c r="FE31" i="1"/>
  <c r="FP31" i="1" s="1"/>
  <c r="FE32" i="1"/>
  <c r="FP32" i="1" s="1"/>
  <c r="FE33" i="1"/>
  <c r="FP33" i="1" s="1"/>
  <c r="FE34" i="1"/>
  <c r="FP34" i="1" s="1"/>
  <c r="FE35" i="1"/>
  <c r="FP35" i="1" s="1"/>
  <c r="FE36" i="1"/>
  <c r="FP36" i="1" s="1"/>
  <c r="FE37" i="1"/>
  <c r="FP37" i="1" s="1"/>
  <c r="FE38" i="1"/>
  <c r="FP38" i="1" s="1"/>
  <c r="FE39" i="1"/>
  <c r="FP39" i="1" s="1"/>
  <c r="FE40" i="1"/>
  <c r="FP40" i="1" s="1"/>
  <c r="FE41" i="1"/>
  <c r="FP41" i="1" s="1"/>
  <c r="FE42" i="1"/>
  <c r="FP42" i="1" s="1"/>
  <c r="FE43" i="1"/>
  <c r="FP43" i="1" s="1"/>
  <c r="FE44" i="1"/>
  <c r="FP44" i="1" s="1"/>
  <c r="FE45" i="1"/>
  <c r="FP45" i="1" s="1"/>
  <c r="FE46" i="1"/>
  <c r="FP46" i="1" s="1"/>
  <c r="FE47" i="1"/>
  <c r="FP47" i="1" s="1"/>
  <c r="FE48" i="1"/>
  <c r="FP48" i="1" s="1"/>
  <c r="FE49" i="1"/>
  <c r="FP49" i="1" s="1"/>
  <c r="FE50" i="1"/>
  <c r="FP50" i="1" s="1"/>
  <c r="FE51" i="1"/>
  <c r="FP51" i="1" s="1"/>
  <c r="FE52" i="1"/>
  <c r="FP52" i="1" s="1"/>
  <c r="FE53" i="1"/>
  <c r="FP53" i="1" s="1"/>
  <c r="FE54" i="1"/>
  <c r="FP54" i="1" s="1"/>
  <c r="FE55" i="1"/>
  <c r="FP55" i="1" s="1"/>
  <c r="FE56" i="1"/>
  <c r="FP56" i="1" s="1"/>
  <c r="FE57" i="1"/>
  <c r="FP57" i="1" s="1"/>
  <c r="FE58" i="1"/>
  <c r="FP58" i="1" s="1"/>
  <c r="FE59" i="1"/>
  <c r="FP59" i="1" s="1"/>
  <c r="FE60" i="1"/>
  <c r="FP60" i="1" s="1"/>
  <c r="FE61" i="1"/>
  <c r="FP61" i="1" s="1"/>
  <c r="FE62" i="1"/>
  <c r="FP62" i="1" s="1"/>
  <c r="FE63" i="1"/>
  <c r="FP63" i="1" s="1"/>
  <c r="FE64" i="1"/>
  <c r="FP64" i="1" s="1"/>
  <c r="FE65" i="1"/>
  <c r="FP65" i="1" s="1"/>
  <c r="FE66" i="1"/>
  <c r="FP66" i="1" s="1"/>
  <c r="FE67" i="1"/>
  <c r="FP67" i="1" s="1"/>
  <c r="FE68" i="1"/>
  <c r="FP68" i="1" s="1"/>
  <c r="FE69" i="1"/>
  <c r="FP69" i="1" s="1"/>
  <c r="FE70" i="1"/>
  <c r="FP70" i="1" s="1"/>
  <c r="FE71" i="1"/>
  <c r="FP71" i="1" s="1"/>
  <c r="FE72" i="1"/>
  <c r="FP72" i="1" s="1"/>
  <c r="FE73" i="1"/>
  <c r="FP73" i="1" s="1"/>
  <c r="FE74" i="1"/>
  <c r="FP74" i="1" s="1"/>
  <c r="FE75" i="1"/>
  <c r="FP75" i="1" s="1"/>
  <c r="FE76" i="1"/>
  <c r="FP76" i="1" s="1"/>
  <c r="FE77" i="1"/>
  <c r="FP77" i="1" s="1"/>
  <c r="FE78" i="1"/>
  <c r="FP78" i="1" s="1"/>
  <c r="FE79" i="1"/>
  <c r="FP79" i="1" s="1"/>
  <c r="FE80" i="1"/>
  <c r="FP80" i="1" s="1"/>
  <c r="FE81" i="1"/>
  <c r="FP81" i="1" s="1"/>
  <c r="FE82" i="1"/>
  <c r="FE83" i="1"/>
  <c r="FE84" i="1"/>
  <c r="FE85" i="1"/>
  <c r="FE11" i="1"/>
  <c r="FD85" i="1"/>
  <c r="FD84" i="1"/>
  <c r="FD83" i="1"/>
  <c r="FD82" i="1"/>
  <c r="FD81" i="1"/>
  <c r="FD80" i="1"/>
  <c r="FD79" i="1"/>
  <c r="FD78" i="1"/>
  <c r="FD77" i="1"/>
  <c r="FD76" i="1"/>
  <c r="FD75" i="1"/>
  <c r="FD74" i="1"/>
  <c r="FD73" i="1"/>
  <c r="FD72" i="1"/>
  <c r="FD71" i="1"/>
  <c r="FD70" i="1"/>
  <c r="FD69" i="1"/>
  <c r="FD68" i="1"/>
  <c r="FD67" i="1"/>
  <c r="FD66" i="1"/>
  <c r="FD65" i="1"/>
  <c r="FD64" i="1"/>
  <c r="FD63" i="1"/>
  <c r="FD62" i="1"/>
  <c r="FD61" i="1"/>
  <c r="FD60" i="1"/>
  <c r="FD59" i="1"/>
  <c r="FD58" i="1"/>
  <c r="FD57" i="1"/>
  <c r="FD56" i="1"/>
  <c r="FD55" i="1"/>
  <c r="FD54" i="1"/>
  <c r="FD53" i="1"/>
  <c r="FD52" i="1"/>
  <c r="FD51" i="1"/>
  <c r="FD50" i="1"/>
  <c r="FD49" i="1"/>
  <c r="FD48" i="1"/>
  <c r="FD47" i="1"/>
  <c r="FD46" i="1"/>
  <c r="FD45" i="1"/>
  <c r="FD44" i="1"/>
  <c r="FD43" i="1"/>
  <c r="FD42" i="1"/>
  <c r="FD41" i="1"/>
  <c r="FD40" i="1"/>
  <c r="FD39" i="1"/>
  <c r="FD38" i="1"/>
  <c r="FD37" i="1"/>
  <c r="FD36" i="1"/>
  <c r="FD35" i="1"/>
  <c r="FD34" i="1"/>
  <c r="FD33" i="1"/>
  <c r="FD32" i="1"/>
  <c r="FD31" i="1"/>
  <c r="FD30" i="1"/>
  <c r="FD29" i="1"/>
  <c r="FD28" i="1"/>
  <c r="FD27" i="1"/>
  <c r="FD26" i="1"/>
  <c r="FD25" i="1"/>
  <c r="FD24" i="1"/>
  <c r="FD23" i="1"/>
  <c r="FD22" i="1"/>
  <c r="FD21" i="1"/>
  <c r="FD20" i="1"/>
  <c r="FD19" i="1"/>
  <c r="FD18" i="1"/>
  <c r="FD17" i="1"/>
  <c r="FD16" i="1"/>
  <c r="FD15" i="1"/>
  <c r="FD14" i="1"/>
  <c r="FD13" i="1"/>
  <c r="FD11" i="1"/>
  <c r="FD10" i="1"/>
  <c r="FD9" i="1"/>
  <c r="FW97" i="1" l="1"/>
  <c r="FW88" i="1"/>
  <c r="FW90" i="1" s="1"/>
  <c r="FP11" i="1"/>
  <c r="FC96" i="1"/>
  <c r="FM87" i="1"/>
  <c r="FE86" i="1"/>
  <c r="FD93" i="1" s="1"/>
  <c r="FM93" i="1" s="1"/>
  <c r="ES86" i="1"/>
  <c r="EI86" i="1"/>
  <c r="ES87" i="1" s="1"/>
  <c r="ES97" i="1" s="1"/>
  <c r="EU12" i="1"/>
  <c r="FG12" i="1" s="1"/>
  <c r="EU13" i="1"/>
  <c r="FG13" i="1" s="1"/>
  <c r="EU14" i="1"/>
  <c r="FG14" i="1" s="1"/>
  <c r="EU15" i="1"/>
  <c r="FG15" i="1" s="1"/>
  <c r="EU16" i="1"/>
  <c r="FG16" i="1" s="1"/>
  <c r="EU17" i="1"/>
  <c r="FG17" i="1" s="1"/>
  <c r="EU18" i="1"/>
  <c r="FG18" i="1" s="1"/>
  <c r="EU19" i="1"/>
  <c r="FG19" i="1" s="1"/>
  <c r="EU20" i="1"/>
  <c r="FG20" i="1" s="1"/>
  <c r="EU21" i="1"/>
  <c r="FG21" i="1" s="1"/>
  <c r="EU22" i="1"/>
  <c r="FG22" i="1" s="1"/>
  <c r="EU23" i="1"/>
  <c r="FG23" i="1" s="1"/>
  <c r="EU24" i="1"/>
  <c r="FG24" i="1" s="1"/>
  <c r="EU25" i="1"/>
  <c r="FG25" i="1" s="1"/>
  <c r="EU26" i="1"/>
  <c r="FG26" i="1" s="1"/>
  <c r="EU27" i="1"/>
  <c r="FG27" i="1" s="1"/>
  <c r="EU28" i="1"/>
  <c r="FG28" i="1" s="1"/>
  <c r="EU29" i="1"/>
  <c r="FG29" i="1" s="1"/>
  <c r="EU30" i="1"/>
  <c r="FG30" i="1" s="1"/>
  <c r="EU31" i="1"/>
  <c r="FG31" i="1" s="1"/>
  <c r="EU32" i="1"/>
  <c r="FG32" i="1" s="1"/>
  <c r="EU33" i="1"/>
  <c r="FG33" i="1" s="1"/>
  <c r="EU34" i="1"/>
  <c r="FG34" i="1" s="1"/>
  <c r="EU35" i="1"/>
  <c r="FG35" i="1" s="1"/>
  <c r="EU36" i="1"/>
  <c r="FG36" i="1" s="1"/>
  <c r="EU37" i="1"/>
  <c r="FG37" i="1" s="1"/>
  <c r="EU38" i="1"/>
  <c r="FG38" i="1" s="1"/>
  <c r="EU39" i="1"/>
  <c r="FG39" i="1" s="1"/>
  <c r="EU40" i="1"/>
  <c r="FG40" i="1" s="1"/>
  <c r="EU41" i="1"/>
  <c r="FG41" i="1" s="1"/>
  <c r="EU42" i="1"/>
  <c r="FG42" i="1" s="1"/>
  <c r="EU43" i="1"/>
  <c r="FG43" i="1" s="1"/>
  <c r="EU44" i="1"/>
  <c r="FG44" i="1" s="1"/>
  <c r="EU45" i="1"/>
  <c r="FG45" i="1" s="1"/>
  <c r="EU46" i="1"/>
  <c r="FG46" i="1" s="1"/>
  <c r="EU47" i="1"/>
  <c r="FG47" i="1" s="1"/>
  <c r="EU48" i="1"/>
  <c r="FG48" i="1" s="1"/>
  <c r="EU49" i="1"/>
  <c r="FG49" i="1" s="1"/>
  <c r="EU50" i="1"/>
  <c r="FG50" i="1" s="1"/>
  <c r="EU51" i="1"/>
  <c r="FG51" i="1" s="1"/>
  <c r="EU52" i="1"/>
  <c r="FG52" i="1" s="1"/>
  <c r="EU53" i="1"/>
  <c r="FG53" i="1" s="1"/>
  <c r="EU54" i="1"/>
  <c r="FG54" i="1" s="1"/>
  <c r="EU55" i="1"/>
  <c r="FG55" i="1" s="1"/>
  <c r="EU56" i="1"/>
  <c r="FG56" i="1" s="1"/>
  <c r="EU57" i="1"/>
  <c r="FG57" i="1" s="1"/>
  <c r="EU58" i="1"/>
  <c r="FG58" i="1" s="1"/>
  <c r="EU59" i="1"/>
  <c r="FG59" i="1" s="1"/>
  <c r="EU60" i="1"/>
  <c r="FG60" i="1" s="1"/>
  <c r="EU61" i="1"/>
  <c r="FG61" i="1" s="1"/>
  <c r="EU62" i="1"/>
  <c r="FG62" i="1" s="1"/>
  <c r="EU63" i="1"/>
  <c r="FG63" i="1" s="1"/>
  <c r="EU64" i="1"/>
  <c r="FG64" i="1" s="1"/>
  <c r="EU65" i="1"/>
  <c r="FG65" i="1" s="1"/>
  <c r="EU66" i="1"/>
  <c r="FG66" i="1" s="1"/>
  <c r="EU67" i="1"/>
  <c r="FG67" i="1" s="1"/>
  <c r="EU68" i="1"/>
  <c r="FG68" i="1" s="1"/>
  <c r="EU69" i="1"/>
  <c r="FG69" i="1" s="1"/>
  <c r="EU70" i="1"/>
  <c r="FG70" i="1" s="1"/>
  <c r="EU71" i="1"/>
  <c r="FG71" i="1" s="1"/>
  <c r="EU72" i="1"/>
  <c r="FG72" i="1" s="1"/>
  <c r="EU73" i="1"/>
  <c r="FG73" i="1" s="1"/>
  <c r="EU74" i="1"/>
  <c r="FG74" i="1" s="1"/>
  <c r="EU75" i="1"/>
  <c r="FG75" i="1" s="1"/>
  <c r="EU76" i="1"/>
  <c r="FG76" i="1" s="1"/>
  <c r="EU77" i="1"/>
  <c r="FG77" i="1" s="1"/>
  <c r="EU78" i="1"/>
  <c r="FG78" i="1" s="1"/>
  <c r="EU79" i="1"/>
  <c r="FG79" i="1" s="1"/>
  <c r="EU80" i="1"/>
  <c r="FG80" i="1" s="1"/>
  <c r="EU81" i="1"/>
  <c r="FG81" i="1" s="1"/>
  <c r="EU82" i="1"/>
  <c r="EU83" i="1"/>
  <c r="EU84" i="1"/>
  <c r="EU85" i="1"/>
  <c r="EU11" i="1"/>
  <c r="FG11" i="1" s="1"/>
  <c r="EA11" i="1"/>
  <c r="EK11" i="1"/>
  <c r="ET10" i="1"/>
  <c r="ET11" i="1"/>
  <c r="ET12" i="1"/>
  <c r="ET13" i="1"/>
  <c r="ET14" i="1"/>
  <c r="ET15" i="1"/>
  <c r="ET16" i="1"/>
  <c r="ET17" i="1"/>
  <c r="ET18" i="1"/>
  <c r="ET19" i="1"/>
  <c r="ET20" i="1"/>
  <c r="ET21" i="1"/>
  <c r="ET22" i="1"/>
  <c r="ET23" i="1"/>
  <c r="ET24" i="1"/>
  <c r="ET25" i="1"/>
  <c r="ET26" i="1"/>
  <c r="ET27" i="1"/>
  <c r="ET28" i="1"/>
  <c r="ET29" i="1"/>
  <c r="ET30" i="1"/>
  <c r="ET31" i="1"/>
  <c r="ET32" i="1"/>
  <c r="ET33" i="1"/>
  <c r="ET34" i="1"/>
  <c r="ET35" i="1"/>
  <c r="ET36" i="1"/>
  <c r="ET37" i="1"/>
  <c r="ET38" i="1"/>
  <c r="ET39" i="1"/>
  <c r="ET40" i="1"/>
  <c r="ET41" i="1"/>
  <c r="ET42" i="1"/>
  <c r="ET43" i="1"/>
  <c r="ET44" i="1"/>
  <c r="ET45" i="1"/>
  <c r="ET46" i="1"/>
  <c r="ET47" i="1"/>
  <c r="ET48" i="1"/>
  <c r="ET49" i="1"/>
  <c r="ET50" i="1"/>
  <c r="ET51" i="1"/>
  <c r="ET52" i="1"/>
  <c r="ET53" i="1"/>
  <c r="ET54" i="1"/>
  <c r="ET55" i="1"/>
  <c r="ET56" i="1"/>
  <c r="ET57" i="1"/>
  <c r="ET58" i="1"/>
  <c r="ET59" i="1"/>
  <c r="ET60" i="1"/>
  <c r="ET61" i="1"/>
  <c r="ET62" i="1"/>
  <c r="ET63" i="1"/>
  <c r="ET64" i="1"/>
  <c r="ET65" i="1"/>
  <c r="ET66" i="1"/>
  <c r="ET67" i="1"/>
  <c r="ET68" i="1"/>
  <c r="ET69" i="1"/>
  <c r="ET70" i="1"/>
  <c r="ET71" i="1"/>
  <c r="ET72" i="1"/>
  <c r="ET73" i="1"/>
  <c r="ET74" i="1"/>
  <c r="ET75" i="1"/>
  <c r="ET76" i="1"/>
  <c r="ET77" i="1"/>
  <c r="ET78" i="1"/>
  <c r="ET79" i="1"/>
  <c r="ET80" i="1"/>
  <c r="ET81" i="1"/>
  <c r="ET82" i="1"/>
  <c r="ET83" i="1"/>
  <c r="ET84" i="1"/>
  <c r="ET85" i="1"/>
  <c r="ET9" i="1"/>
  <c r="EJ12" i="1"/>
  <c r="EJ9" i="1"/>
  <c r="EJ81" i="1"/>
  <c r="EK81" i="1"/>
  <c r="EK12" i="1"/>
  <c r="EK13" i="1"/>
  <c r="EK14" i="1"/>
  <c r="EK15" i="1"/>
  <c r="EK16" i="1"/>
  <c r="EK17" i="1"/>
  <c r="EK18" i="1"/>
  <c r="EK19" i="1"/>
  <c r="EK20" i="1"/>
  <c r="EK21" i="1"/>
  <c r="EK22" i="1"/>
  <c r="EK23" i="1"/>
  <c r="EK24" i="1"/>
  <c r="EK25" i="1"/>
  <c r="EK26" i="1"/>
  <c r="EK27" i="1"/>
  <c r="EK28" i="1"/>
  <c r="EK29" i="1"/>
  <c r="EK30" i="1"/>
  <c r="EK31" i="1"/>
  <c r="EK32" i="1"/>
  <c r="EK33" i="1"/>
  <c r="EK34" i="1"/>
  <c r="EK35" i="1"/>
  <c r="EK36" i="1"/>
  <c r="EK37" i="1"/>
  <c r="EK38" i="1"/>
  <c r="EK39" i="1"/>
  <c r="EK40" i="1"/>
  <c r="EK41" i="1"/>
  <c r="EK42" i="1"/>
  <c r="EK43" i="1"/>
  <c r="EK44" i="1"/>
  <c r="EK45" i="1"/>
  <c r="EK46" i="1"/>
  <c r="EK47" i="1"/>
  <c r="EK48" i="1"/>
  <c r="EK49" i="1"/>
  <c r="EK50" i="1"/>
  <c r="EK51" i="1"/>
  <c r="EK52" i="1"/>
  <c r="EK53" i="1"/>
  <c r="EK54" i="1"/>
  <c r="EK55" i="1"/>
  <c r="EK56" i="1"/>
  <c r="EK57" i="1"/>
  <c r="EK58" i="1"/>
  <c r="EK59" i="1"/>
  <c r="EK60" i="1"/>
  <c r="EK61" i="1"/>
  <c r="EK62" i="1"/>
  <c r="EK63" i="1"/>
  <c r="EK64" i="1"/>
  <c r="EK65" i="1"/>
  <c r="EK66" i="1"/>
  <c r="EK67" i="1"/>
  <c r="EK68" i="1"/>
  <c r="EK69" i="1"/>
  <c r="EK70" i="1"/>
  <c r="EK71" i="1"/>
  <c r="EK72" i="1"/>
  <c r="EK73" i="1"/>
  <c r="EK74" i="1"/>
  <c r="EK75" i="1"/>
  <c r="EK76" i="1"/>
  <c r="EK77" i="1"/>
  <c r="EK78" i="1"/>
  <c r="EK79" i="1"/>
  <c r="EK80" i="1"/>
  <c r="EK82" i="1"/>
  <c r="EK83" i="1"/>
  <c r="EK84" i="1"/>
  <c r="EK85" i="1"/>
  <c r="EJ85" i="1"/>
  <c r="EJ82" i="1"/>
  <c r="EJ80" i="1"/>
  <c r="EJ79" i="1"/>
  <c r="EJ78" i="1"/>
  <c r="EJ77" i="1"/>
  <c r="EJ76" i="1"/>
  <c r="EJ75" i="1"/>
  <c r="EJ74" i="1"/>
  <c r="EJ73" i="1"/>
  <c r="EJ72" i="1"/>
  <c r="EJ71" i="1"/>
  <c r="EJ70" i="1"/>
  <c r="EJ69" i="1"/>
  <c r="EJ68" i="1"/>
  <c r="EJ67" i="1"/>
  <c r="EJ66" i="1"/>
  <c r="EJ65" i="1"/>
  <c r="EJ64" i="1"/>
  <c r="EJ63" i="1"/>
  <c r="EJ62" i="1"/>
  <c r="EJ61" i="1"/>
  <c r="EJ60" i="1"/>
  <c r="EJ59" i="1"/>
  <c r="EJ58" i="1"/>
  <c r="EJ57" i="1"/>
  <c r="EJ56" i="1"/>
  <c r="EJ55" i="1"/>
  <c r="EJ54" i="1"/>
  <c r="EJ53" i="1"/>
  <c r="EJ52" i="1"/>
  <c r="EJ51" i="1"/>
  <c r="EJ50" i="1"/>
  <c r="EJ49" i="1"/>
  <c r="EJ48" i="1"/>
  <c r="EJ47" i="1"/>
  <c r="EJ46" i="1"/>
  <c r="EJ45" i="1"/>
  <c r="EJ44" i="1"/>
  <c r="EJ42" i="1"/>
  <c r="EJ41" i="1"/>
  <c r="EJ40" i="1"/>
  <c r="EJ39" i="1"/>
  <c r="EJ38" i="1"/>
  <c r="EJ37" i="1"/>
  <c r="EJ36" i="1"/>
  <c r="EJ35" i="1"/>
  <c r="EJ34" i="1"/>
  <c r="EJ33" i="1"/>
  <c r="EJ32" i="1"/>
  <c r="EJ31" i="1"/>
  <c r="EJ30" i="1"/>
  <c r="EJ29" i="1"/>
  <c r="EJ28" i="1"/>
  <c r="EJ27" i="1"/>
  <c r="EJ26" i="1"/>
  <c r="EJ25" i="1"/>
  <c r="EJ24" i="1"/>
  <c r="EJ23" i="1"/>
  <c r="EJ22" i="1"/>
  <c r="EJ21" i="1"/>
  <c r="EJ20" i="1"/>
  <c r="EJ19" i="1"/>
  <c r="EJ18" i="1"/>
  <c r="EJ17" i="1"/>
  <c r="EJ16" i="1"/>
  <c r="EJ15" i="1"/>
  <c r="EJ14" i="1"/>
  <c r="EJ13" i="1"/>
  <c r="EJ11" i="1"/>
  <c r="EJ10" i="1"/>
  <c r="FM97" i="1" l="1"/>
  <c r="FM88" i="1"/>
  <c r="FM90" i="1" s="1"/>
  <c r="EI96" i="1"/>
  <c r="EK86" i="1"/>
  <c r="EJ93" i="1" s="1"/>
  <c r="ES93" i="1" s="1"/>
  <c r="EM11" i="1"/>
  <c r="EU86" i="1"/>
  <c r="ET93" i="1" s="1"/>
  <c r="FC93" i="1" s="1"/>
  <c r="ES88" i="1"/>
  <c r="ES90" i="1" s="1"/>
  <c r="FC87" i="1"/>
  <c r="ES96" i="1"/>
  <c r="FC97" i="1" l="1"/>
  <c r="FC88" i="1"/>
  <c r="FC90" i="1" s="1"/>
  <c r="DX81" i="1"/>
  <c r="DY81" i="1"/>
  <c r="EA81" i="1" s="1"/>
  <c r="EM81" i="1" s="1"/>
  <c r="DP22" i="1"/>
  <c r="DZ22" i="1"/>
  <c r="DX58" i="1"/>
  <c r="DY58" i="1"/>
  <c r="EA58" i="1" s="1"/>
  <c r="EM58" i="1" s="1"/>
  <c r="DW58" i="1"/>
  <c r="DZ58" i="1" s="1"/>
  <c r="DS11" i="1"/>
  <c r="DW81" i="1"/>
  <c r="DZ81" i="1" s="1"/>
  <c r="DX80" i="1"/>
  <c r="DY80" i="1"/>
  <c r="DW80" i="1"/>
  <c r="DZ80" i="1" s="1"/>
  <c r="DX79" i="1"/>
  <c r="DY79" i="1"/>
  <c r="EA79" i="1" s="1"/>
  <c r="EM79" i="1" s="1"/>
  <c r="DW79" i="1"/>
  <c r="DZ79" i="1" s="1"/>
  <c r="DX78" i="1"/>
  <c r="DY78" i="1"/>
  <c r="EA78" i="1" s="1"/>
  <c r="EM78" i="1" s="1"/>
  <c r="DW78" i="1"/>
  <c r="DZ78" i="1" s="1"/>
  <c r="DX77" i="1"/>
  <c r="DY77" i="1"/>
  <c r="EA77" i="1" s="1"/>
  <c r="EM77" i="1" s="1"/>
  <c r="DW77" i="1"/>
  <c r="DZ77" i="1" s="1"/>
  <c r="DX76" i="1"/>
  <c r="DY76" i="1"/>
  <c r="EA76" i="1" s="1"/>
  <c r="EM76" i="1" s="1"/>
  <c r="DW76" i="1"/>
  <c r="DZ76" i="1" s="1"/>
  <c r="DX75" i="1"/>
  <c r="DY75" i="1"/>
  <c r="EA75" i="1" s="1"/>
  <c r="EM75" i="1" s="1"/>
  <c r="DW75" i="1"/>
  <c r="DX74" i="1"/>
  <c r="DY74" i="1"/>
  <c r="EA74" i="1" s="1"/>
  <c r="EM74" i="1" s="1"/>
  <c r="DW74" i="1"/>
  <c r="DZ74" i="1" s="1"/>
  <c r="DY73" i="1"/>
  <c r="EA73" i="1" s="1"/>
  <c r="EM73" i="1" s="1"/>
  <c r="DX73" i="1"/>
  <c r="DW73" i="1"/>
  <c r="DZ73" i="1" s="1"/>
  <c r="DX72" i="1"/>
  <c r="DY72" i="1"/>
  <c r="DW72" i="1"/>
  <c r="DZ72" i="1" s="1"/>
  <c r="DX71" i="1"/>
  <c r="DY71" i="1"/>
  <c r="EA71" i="1" s="1"/>
  <c r="EM71" i="1" s="1"/>
  <c r="DW71" i="1"/>
  <c r="DZ71" i="1" s="1"/>
  <c r="DX70" i="1"/>
  <c r="DY70" i="1"/>
  <c r="EA70" i="1" s="1"/>
  <c r="EM70" i="1" s="1"/>
  <c r="DW70" i="1"/>
  <c r="DZ70" i="1" s="1"/>
  <c r="DX69" i="1"/>
  <c r="DY69" i="1"/>
  <c r="EA69" i="1" s="1"/>
  <c r="EM69" i="1" s="1"/>
  <c r="DW69" i="1"/>
  <c r="DZ69" i="1" s="1"/>
  <c r="DX68" i="1"/>
  <c r="DY68" i="1"/>
  <c r="EA68" i="1" s="1"/>
  <c r="EM68" i="1" s="1"/>
  <c r="DW68" i="1"/>
  <c r="DZ68" i="1" s="1"/>
  <c r="DX67" i="1"/>
  <c r="DY67" i="1"/>
  <c r="EA67" i="1" s="1"/>
  <c r="EM67" i="1" s="1"/>
  <c r="DW67" i="1"/>
  <c r="DZ67" i="1" s="1"/>
  <c r="DX66" i="1"/>
  <c r="DY66" i="1"/>
  <c r="EA66" i="1" s="1"/>
  <c r="EM66" i="1" s="1"/>
  <c r="DX65" i="1"/>
  <c r="DY65" i="1"/>
  <c r="EA65" i="1" s="1"/>
  <c r="EM65" i="1" s="1"/>
  <c r="DW66" i="1"/>
  <c r="DZ66" i="1" s="1"/>
  <c r="DW65" i="1"/>
  <c r="DZ65" i="1" s="1"/>
  <c r="DX64" i="1"/>
  <c r="DY64" i="1"/>
  <c r="EA64" i="1" s="1"/>
  <c r="EM64" i="1" s="1"/>
  <c r="DW64" i="1"/>
  <c r="DZ64" i="1" s="1"/>
  <c r="DX63" i="1"/>
  <c r="DY63" i="1"/>
  <c r="EA63" i="1" s="1"/>
  <c r="EM63" i="1" s="1"/>
  <c r="DW63" i="1"/>
  <c r="DZ63" i="1" s="1"/>
  <c r="DX62" i="1"/>
  <c r="DY62" i="1"/>
  <c r="EA62" i="1" s="1"/>
  <c r="EM62" i="1" s="1"/>
  <c r="DW62" i="1"/>
  <c r="DZ62" i="1" s="1"/>
  <c r="DX61" i="1"/>
  <c r="DY61" i="1"/>
  <c r="EA61" i="1" s="1"/>
  <c r="EM61" i="1" s="1"/>
  <c r="DW61" i="1"/>
  <c r="DZ61" i="1" s="1"/>
  <c r="DX60" i="1"/>
  <c r="DY60" i="1"/>
  <c r="EA60" i="1" s="1"/>
  <c r="EM60" i="1" s="1"/>
  <c r="DW60" i="1"/>
  <c r="DZ60" i="1" s="1"/>
  <c r="DX59" i="1"/>
  <c r="DY59" i="1"/>
  <c r="EA59" i="1" s="1"/>
  <c r="EM59" i="1" s="1"/>
  <c r="DW59" i="1"/>
  <c r="DX57" i="1"/>
  <c r="DY57" i="1"/>
  <c r="EA57" i="1" s="1"/>
  <c r="EM57" i="1" s="1"/>
  <c r="DW57" i="1"/>
  <c r="DZ57" i="1" s="1"/>
  <c r="DX56" i="1"/>
  <c r="DY56" i="1"/>
  <c r="EA56" i="1" s="1"/>
  <c r="EM56" i="1" s="1"/>
  <c r="DX55" i="1"/>
  <c r="DY55" i="1"/>
  <c r="EA55" i="1" s="1"/>
  <c r="EM55" i="1" s="1"/>
  <c r="DW56" i="1"/>
  <c r="DZ56" i="1" s="1"/>
  <c r="DW55" i="1"/>
  <c r="DZ55" i="1" s="1"/>
  <c r="DX54" i="1"/>
  <c r="DY54" i="1"/>
  <c r="EA54" i="1" s="1"/>
  <c r="EM54" i="1" s="1"/>
  <c r="DW54" i="1"/>
  <c r="DZ54" i="1" s="1"/>
  <c r="DX53" i="1"/>
  <c r="DY53" i="1"/>
  <c r="EA53" i="1" s="1"/>
  <c r="EM53" i="1" s="1"/>
  <c r="DW53" i="1"/>
  <c r="DZ53" i="1" s="1"/>
  <c r="DX52" i="1"/>
  <c r="DY52" i="1"/>
  <c r="EA52" i="1" s="1"/>
  <c r="EM52" i="1" s="1"/>
  <c r="DW52" i="1"/>
  <c r="DZ52" i="1" s="1"/>
  <c r="DX51" i="1"/>
  <c r="DY51" i="1"/>
  <c r="EA51" i="1" s="1"/>
  <c r="EM51" i="1" s="1"/>
  <c r="DW51" i="1"/>
  <c r="DZ51" i="1" s="1"/>
  <c r="DX50" i="1"/>
  <c r="DY50" i="1"/>
  <c r="EA50" i="1" s="1"/>
  <c r="EM50" i="1" s="1"/>
  <c r="DW50" i="1"/>
  <c r="DZ50" i="1" s="1"/>
  <c r="DX49" i="1"/>
  <c r="DY49" i="1"/>
  <c r="EA49" i="1" s="1"/>
  <c r="EM49" i="1" s="1"/>
  <c r="DW49" i="1"/>
  <c r="DZ49" i="1" s="1"/>
  <c r="DX48" i="1"/>
  <c r="DY48" i="1"/>
  <c r="EA48" i="1" s="1"/>
  <c r="EM48" i="1" s="1"/>
  <c r="DW48" i="1"/>
  <c r="DZ48" i="1" s="1"/>
  <c r="DX47" i="1"/>
  <c r="DY47" i="1"/>
  <c r="EA47" i="1" s="1"/>
  <c r="EM47" i="1" s="1"/>
  <c r="DW47" i="1"/>
  <c r="DZ47" i="1" s="1"/>
  <c r="DX46" i="1"/>
  <c r="DY46" i="1"/>
  <c r="EA46" i="1" s="1"/>
  <c r="EM46" i="1" s="1"/>
  <c r="DW46" i="1"/>
  <c r="DX45" i="1"/>
  <c r="DY45" i="1"/>
  <c r="EA45" i="1" s="1"/>
  <c r="EM45" i="1" s="1"/>
  <c r="DW45" i="1"/>
  <c r="DZ45" i="1" s="1"/>
  <c r="DX44" i="1"/>
  <c r="DY44" i="1"/>
  <c r="EA44" i="1" s="1"/>
  <c r="EM44" i="1" s="1"/>
  <c r="DW44" i="1"/>
  <c r="DZ44" i="1" s="1"/>
  <c r="DX43" i="1"/>
  <c r="DY43" i="1"/>
  <c r="DW43" i="1"/>
  <c r="DZ43" i="1" s="1"/>
  <c r="DX42" i="1"/>
  <c r="DY42" i="1"/>
  <c r="EA42" i="1" s="1"/>
  <c r="EM42" i="1" s="1"/>
  <c r="DW42" i="1"/>
  <c r="DZ42" i="1" s="1"/>
  <c r="DX41" i="1"/>
  <c r="DY41" i="1"/>
  <c r="DW41" i="1"/>
  <c r="DZ41" i="1" s="1"/>
  <c r="EA13" i="1"/>
  <c r="EM13" i="1" s="1"/>
  <c r="EA14" i="1"/>
  <c r="EM14" i="1" s="1"/>
  <c r="EA15" i="1"/>
  <c r="EM15" i="1" s="1"/>
  <c r="EA16" i="1"/>
  <c r="EM16" i="1" s="1"/>
  <c r="EA17" i="1"/>
  <c r="EM17" i="1" s="1"/>
  <c r="EA18" i="1"/>
  <c r="EM18" i="1" s="1"/>
  <c r="EA19" i="1"/>
  <c r="EM19" i="1" s="1"/>
  <c r="EA20" i="1"/>
  <c r="EM20" i="1" s="1"/>
  <c r="EA21" i="1"/>
  <c r="EM21" i="1" s="1"/>
  <c r="EA22" i="1"/>
  <c r="EM22" i="1" s="1"/>
  <c r="EA23" i="1"/>
  <c r="EM23" i="1" s="1"/>
  <c r="EA24" i="1"/>
  <c r="EM24" i="1" s="1"/>
  <c r="EA25" i="1"/>
  <c r="EM25" i="1" s="1"/>
  <c r="EA26" i="1"/>
  <c r="EM26" i="1" s="1"/>
  <c r="EA27" i="1"/>
  <c r="EM27" i="1" s="1"/>
  <c r="EA28" i="1"/>
  <c r="EM28" i="1" s="1"/>
  <c r="EA29" i="1"/>
  <c r="EM29" i="1" s="1"/>
  <c r="EA30" i="1"/>
  <c r="EM30" i="1" s="1"/>
  <c r="EA31" i="1"/>
  <c r="EM31" i="1" s="1"/>
  <c r="EA32" i="1"/>
  <c r="EM32" i="1" s="1"/>
  <c r="EA33" i="1"/>
  <c r="EM33" i="1" s="1"/>
  <c r="EA34" i="1"/>
  <c r="EM34" i="1" s="1"/>
  <c r="EA35" i="1"/>
  <c r="EM35" i="1" s="1"/>
  <c r="EA36" i="1"/>
  <c r="EM36" i="1" s="1"/>
  <c r="EA37" i="1"/>
  <c r="EM37" i="1" s="1"/>
  <c r="EA38" i="1"/>
  <c r="EM38" i="1" s="1"/>
  <c r="EA39" i="1"/>
  <c r="EM39" i="1" s="1"/>
  <c r="EA40" i="1"/>
  <c r="EM40" i="1" s="1"/>
  <c r="EA43" i="1"/>
  <c r="EM43" i="1" s="1"/>
  <c r="EA72" i="1"/>
  <c r="EM72" i="1" s="1"/>
  <c r="EA80" i="1"/>
  <c r="EM80" i="1" s="1"/>
  <c r="EA82" i="1"/>
  <c r="EA83" i="1"/>
  <c r="EA84" i="1"/>
  <c r="EA85" i="1"/>
  <c r="EA12" i="1"/>
  <c r="EM12" i="1" s="1"/>
  <c r="DZ85" i="1"/>
  <c r="DZ82" i="1"/>
  <c r="DZ75" i="1"/>
  <c r="DZ59" i="1"/>
  <c r="DZ46" i="1"/>
  <c r="DZ40" i="1"/>
  <c r="DZ39" i="1"/>
  <c r="DZ38" i="1"/>
  <c r="DZ37" i="1"/>
  <c r="DZ36" i="1"/>
  <c r="DZ35" i="1"/>
  <c r="DZ34" i="1"/>
  <c r="DZ33" i="1"/>
  <c r="DZ32" i="1"/>
  <c r="DZ31" i="1"/>
  <c r="DZ30" i="1"/>
  <c r="DZ29" i="1"/>
  <c r="DZ28" i="1"/>
  <c r="DZ27" i="1"/>
  <c r="DZ26" i="1"/>
  <c r="DZ25" i="1"/>
  <c r="DZ24" i="1"/>
  <c r="DZ23" i="1"/>
  <c r="DZ21" i="1"/>
  <c r="DZ20" i="1"/>
  <c r="DZ19" i="1"/>
  <c r="DZ18" i="1"/>
  <c r="DZ17" i="1"/>
  <c r="DZ16" i="1"/>
  <c r="DZ15" i="1"/>
  <c r="DZ14" i="1"/>
  <c r="DZ13" i="1"/>
  <c r="DZ12" i="1"/>
  <c r="DZ11" i="1"/>
  <c r="DZ10" i="1"/>
  <c r="DZ9" i="1"/>
  <c r="EA41" i="1" l="1"/>
  <c r="EM41" i="1" s="1"/>
  <c r="DY86" i="1"/>
  <c r="DY96" i="1" s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O86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11" i="1"/>
  <c r="DP85" i="1"/>
  <c r="DP82" i="1"/>
  <c r="DP81" i="1"/>
  <c r="DP80" i="1"/>
  <c r="DP79" i="1"/>
  <c r="DP78" i="1"/>
  <c r="DP77" i="1"/>
  <c r="DP76" i="1"/>
  <c r="DP75" i="1"/>
  <c r="DP74" i="1"/>
  <c r="DP73" i="1"/>
  <c r="DP72" i="1"/>
  <c r="DP71" i="1"/>
  <c r="DP70" i="1"/>
  <c r="DP69" i="1"/>
  <c r="DP68" i="1"/>
  <c r="DP67" i="1"/>
  <c r="DP66" i="1"/>
  <c r="DP65" i="1"/>
  <c r="DP64" i="1"/>
  <c r="DP63" i="1"/>
  <c r="DP62" i="1"/>
  <c r="DP61" i="1"/>
  <c r="DP60" i="1"/>
  <c r="DP59" i="1"/>
  <c r="DP58" i="1"/>
  <c r="DP57" i="1"/>
  <c r="DP56" i="1"/>
  <c r="DP55" i="1"/>
  <c r="DP54" i="1"/>
  <c r="DP53" i="1"/>
  <c r="DP52" i="1"/>
  <c r="DP51" i="1"/>
  <c r="DP50" i="1"/>
  <c r="DP49" i="1"/>
  <c r="DP48" i="1"/>
  <c r="DP47" i="1"/>
  <c r="DP46" i="1"/>
  <c r="DP45" i="1"/>
  <c r="DP44" i="1"/>
  <c r="DP43" i="1"/>
  <c r="DP42" i="1"/>
  <c r="DP41" i="1"/>
  <c r="DP40" i="1"/>
  <c r="DP39" i="1"/>
  <c r="DP38" i="1"/>
  <c r="DP37" i="1"/>
  <c r="DP36" i="1"/>
  <c r="DP35" i="1"/>
  <c r="DP34" i="1"/>
  <c r="DP33" i="1"/>
  <c r="DP32" i="1"/>
  <c r="DP31" i="1"/>
  <c r="DP30" i="1"/>
  <c r="DP29" i="1"/>
  <c r="DP28" i="1"/>
  <c r="DP27" i="1"/>
  <c r="DP26" i="1"/>
  <c r="DP25" i="1"/>
  <c r="DP24" i="1"/>
  <c r="DP23" i="1"/>
  <c r="DP21" i="1"/>
  <c r="DP20" i="1"/>
  <c r="DP19" i="1"/>
  <c r="DP18" i="1"/>
  <c r="DP17" i="1"/>
  <c r="DP16" i="1"/>
  <c r="DP15" i="1"/>
  <c r="DP14" i="1"/>
  <c r="DP13" i="1"/>
  <c r="DP12" i="1"/>
  <c r="DP11" i="1"/>
  <c r="DP10" i="1"/>
  <c r="DP9" i="1"/>
  <c r="DY87" i="1" l="1"/>
  <c r="DY97" i="1" s="1"/>
  <c r="DO96" i="1"/>
  <c r="EA86" i="1"/>
  <c r="DZ93" i="1" s="1"/>
  <c r="EI93" i="1" s="1"/>
  <c r="EI87" i="1"/>
  <c r="DQ86" i="1"/>
  <c r="DP93" i="1" s="1"/>
  <c r="DY93" i="1" s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E86" i="1"/>
  <c r="DE96" i="1" s="1"/>
  <c r="DF85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Y88" i="1" l="1"/>
  <c r="DY90" i="1" s="1"/>
  <c r="EI88" i="1"/>
  <c r="EI90" i="1" s="1"/>
  <c r="EI97" i="1"/>
  <c r="DO87" i="1"/>
  <c r="DG86" i="1"/>
  <c r="DF93" i="1" s="1"/>
  <c r="DO93" i="1" s="1"/>
  <c r="CW85" i="1"/>
  <c r="CW82" i="1"/>
  <c r="CW83" i="1"/>
  <c r="CW84" i="1"/>
  <c r="CW80" i="1"/>
  <c r="CW81" i="1"/>
  <c r="CW70" i="1"/>
  <c r="CW71" i="1"/>
  <c r="CW72" i="1"/>
  <c r="CW73" i="1"/>
  <c r="CW74" i="1"/>
  <c r="CW75" i="1"/>
  <c r="CW76" i="1"/>
  <c r="CW77" i="1"/>
  <c r="CW78" i="1"/>
  <c r="CW79" i="1"/>
  <c r="CW67" i="1"/>
  <c r="CW68" i="1"/>
  <c r="CW69" i="1"/>
  <c r="CW62" i="1"/>
  <c r="CW63" i="1"/>
  <c r="CW64" i="1"/>
  <c r="CW65" i="1"/>
  <c r="CW66" i="1"/>
  <c r="CW56" i="1"/>
  <c r="CW57" i="1"/>
  <c r="CW58" i="1"/>
  <c r="CW59" i="1"/>
  <c r="CW60" i="1"/>
  <c r="CW61" i="1"/>
  <c r="CW48" i="1"/>
  <c r="CW49" i="1"/>
  <c r="CW50" i="1"/>
  <c r="CW51" i="1"/>
  <c r="CW52" i="1"/>
  <c r="CW53" i="1"/>
  <c r="CW54" i="1"/>
  <c r="CW55" i="1"/>
  <c r="CW42" i="1"/>
  <c r="CW43" i="1"/>
  <c r="CW44" i="1"/>
  <c r="CW45" i="1"/>
  <c r="CW46" i="1"/>
  <c r="CW47" i="1"/>
  <c r="CW38" i="1"/>
  <c r="CW39" i="1"/>
  <c r="CW40" i="1"/>
  <c r="CW41" i="1"/>
  <c r="CW34" i="1"/>
  <c r="CW35" i="1"/>
  <c r="CW36" i="1"/>
  <c r="CW37" i="1"/>
  <c r="CW31" i="1"/>
  <c r="CW32" i="1"/>
  <c r="CW33" i="1"/>
  <c r="CW28" i="1"/>
  <c r="CW29" i="1"/>
  <c r="CW30" i="1"/>
  <c r="CW27" i="1"/>
  <c r="CW24" i="1"/>
  <c r="CW25" i="1"/>
  <c r="CW26" i="1"/>
  <c r="CW22" i="1"/>
  <c r="CW23" i="1"/>
  <c r="CW20" i="1"/>
  <c r="CW21" i="1"/>
  <c r="CW17" i="1"/>
  <c r="CW18" i="1"/>
  <c r="CW19" i="1"/>
  <c r="CW14" i="1"/>
  <c r="CW15" i="1"/>
  <c r="CW16" i="1"/>
  <c r="CW13" i="1"/>
  <c r="CV13" i="1"/>
  <c r="CW12" i="1"/>
  <c r="CW11" i="1"/>
  <c r="CU86" i="1"/>
  <c r="CV85" i="1"/>
  <c r="CV82" i="1"/>
  <c r="CV81" i="1"/>
  <c r="CV80" i="1"/>
  <c r="CV79" i="1"/>
  <c r="CV78" i="1"/>
  <c r="CV77" i="1"/>
  <c r="CV76" i="1"/>
  <c r="CV75" i="1"/>
  <c r="CV74" i="1"/>
  <c r="CV73" i="1"/>
  <c r="CV72" i="1"/>
  <c r="CV71" i="1"/>
  <c r="CV70" i="1"/>
  <c r="CV69" i="1"/>
  <c r="CV68" i="1"/>
  <c r="CV67" i="1"/>
  <c r="CV66" i="1"/>
  <c r="CV65" i="1"/>
  <c r="CV64" i="1"/>
  <c r="CV63" i="1"/>
  <c r="CV62" i="1"/>
  <c r="CV61" i="1"/>
  <c r="CV60" i="1"/>
  <c r="CV59" i="1"/>
  <c r="CV58" i="1"/>
  <c r="CV57" i="1"/>
  <c r="CV56" i="1"/>
  <c r="CV55" i="1"/>
  <c r="CV54" i="1"/>
  <c r="CV53" i="1"/>
  <c r="CV52" i="1"/>
  <c r="CV51" i="1"/>
  <c r="CV50" i="1"/>
  <c r="CV49" i="1"/>
  <c r="CV48" i="1"/>
  <c r="CV47" i="1"/>
  <c r="CV46" i="1"/>
  <c r="CV45" i="1"/>
  <c r="CV44" i="1"/>
  <c r="CV43" i="1"/>
  <c r="CV42" i="1"/>
  <c r="CV41" i="1"/>
  <c r="CV40" i="1"/>
  <c r="CV39" i="1"/>
  <c r="CV38" i="1"/>
  <c r="CV37" i="1"/>
  <c r="CV36" i="1"/>
  <c r="CV35" i="1"/>
  <c r="CV34" i="1"/>
  <c r="CV33" i="1"/>
  <c r="CV32" i="1"/>
  <c r="CV31" i="1"/>
  <c r="CV30" i="1"/>
  <c r="CV29" i="1"/>
  <c r="CV28" i="1"/>
  <c r="CV27" i="1"/>
  <c r="CV26" i="1"/>
  <c r="CV25" i="1"/>
  <c r="CV24" i="1"/>
  <c r="CV23" i="1"/>
  <c r="CV21" i="1"/>
  <c r="CV20" i="1"/>
  <c r="CV19" i="1"/>
  <c r="CV18" i="1"/>
  <c r="CV17" i="1"/>
  <c r="CV16" i="1"/>
  <c r="CV15" i="1"/>
  <c r="CV14" i="1"/>
  <c r="CV12" i="1"/>
  <c r="CV11" i="1"/>
  <c r="CV10" i="1"/>
  <c r="CV9" i="1"/>
  <c r="DO88" i="1" l="1"/>
  <c r="DO90" i="1" s="1"/>
  <c r="DO97" i="1"/>
  <c r="DE87" i="1"/>
  <c r="CU96" i="1"/>
  <c r="CW86" i="1"/>
  <c r="CV93" i="1" s="1"/>
  <c r="DE93" i="1" s="1"/>
  <c r="CA86" i="1"/>
  <c r="CK87" i="1" s="1"/>
  <c r="CK97" i="1" s="1"/>
  <c r="CK86" i="1"/>
  <c r="CK96" i="1" s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11" i="1"/>
  <c r="CC11" i="1"/>
  <c r="CC12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5" i="1"/>
  <c r="CL9" i="1"/>
  <c r="CB9" i="1"/>
  <c r="CB82" i="1"/>
  <c r="DE88" i="1" l="1"/>
  <c r="DE90" i="1" s="1"/>
  <c r="DE97" i="1"/>
  <c r="CM86" i="1"/>
  <c r="CL93" i="1" s="1"/>
  <c r="CU93" i="1" s="1"/>
  <c r="CU87" i="1"/>
  <c r="CA96" i="1"/>
  <c r="CK88" i="1"/>
  <c r="CK90" i="1" s="1"/>
  <c r="CU88" i="1" l="1"/>
  <c r="CU90" i="1" s="1"/>
  <c r="CU97" i="1"/>
  <c r="AZ11" i="1"/>
  <c r="CC13" i="1" l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B85" i="1"/>
  <c r="CB81" i="1"/>
  <c r="CB80" i="1"/>
  <c r="CB79" i="1"/>
  <c r="CB78" i="1"/>
  <c r="CB77" i="1"/>
  <c r="CB76" i="1"/>
  <c r="CB75" i="1"/>
  <c r="CB74" i="1"/>
  <c r="CB73" i="1"/>
  <c r="CB72" i="1"/>
  <c r="CB71" i="1"/>
  <c r="CB70" i="1"/>
  <c r="CB69" i="1"/>
  <c r="CB68" i="1"/>
  <c r="CB67" i="1"/>
  <c r="CB66" i="1"/>
  <c r="CB65" i="1"/>
  <c r="CB64" i="1"/>
  <c r="CB63" i="1"/>
  <c r="CB62" i="1"/>
  <c r="CB61" i="1"/>
  <c r="CB60" i="1"/>
  <c r="CB59" i="1"/>
  <c r="CB58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3" i="1"/>
  <c r="CB42" i="1"/>
  <c r="CB41" i="1"/>
  <c r="CB40" i="1"/>
  <c r="CB39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C86" i="1" l="1"/>
  <c r="CB93" i="1" s="1"/>
  <c r="CK93" i="1" s="1"/>
  <c r="BQ86" i="1"/>
  <c r="CA87" i="1" s="1"/>
  <c r="BS82" i="1"/>
  <c r="BS85" i="1"/>
  <c r="BR85" i="1"/>
  <c r="BR82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11" i="1"/>
  <c r="BR10" i="1"/>
  <c r="BR9" i="1"/>
  <c r="CA97" i="1" l="1"/>
  <c r="CA88" i="1"/>
  <c r="CA90" i="1" s="1"/>
  <c r="BS86" i="1"/>
  <c r="BR93" i="1" s="1"/>
  <c r="CA93" i="1" s="1"/>
  <c r="BQ96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5" i="1"/>
  <c r="BI11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5" i="1"/>
  <c r="AZ13" i="1"/>
  <c r="AZ14" i="1"/>
  <c r="AZ15" i="1"/>
  <c r="AZ12" i="1"/>
  <c r="AQ85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12" i="1"/>
  <c r="AQ11" i="1"/>
  <c r="AP80" i="1"/>
  <c r="AE77" i="1"/>
  <c r="BA13" i="1" l="1"/>
  <c r="BA11" i="1"/>
  <c r="BA12" i="1"/>
  <c r="BG86" i="1"/>
  <c r="BH85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AX86" i="1"/>
  <c r="BG87" i="1" s="1"/>
  <c r="BG97" i="1" s="1"/>
  <c r="AO86" i="1"/>
  <c r="AX87" i="1" s="1"/>
  <c r="AX97" i="1" s="1"/>
  <c r="AY85" i="1"/>
  <c r="AY82" i="1"/>
  <c r="AP85" i="1"/>
  <c r="AP82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11" i="1"/>
  <c r="AP11" i="1"/>
  <c r="AY10" i="1"/>
  <c r="AY9" i="1"/>
  <c r="BG96" i="1" l="1"/>
  <c r="BQ87" i="1"/>
  <c r="AX96" i="1"/>
  <c r="BI86" i="1"/>
  <c r="BH93" i="1" s="1"/>
  <c r="BQ93" i="1" s="1"/>
  <c r="BG88" i="1"/>
  <c r="BG90" i="1" s="1"/>
  <c r="AX88" i="1"/>
  <c r="AX90" i="1" s="1"/>
  <c r="AO96" i="1"/>
  <c r="BQ97" i="1" l="1"/>
  <c r="BQ88" i="1"/>
  <c r="BQ90" i="1" s="1"/>
  <c r="AP10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1" i="1"/>
  <c r="AP9" i="1"/>
  <c r="AC86" i="1"/>
  <c r="M86" i="1"/>
  <c r="U87" i="1" s="1"/>
  <c r="U97" i="1" s="1"/>
  <c r="M87" i="1"/>
  <c r="AE80" i="1"/>
  <c r="AE82" i="1"/>
  <c r="AE81" i="1"/>
  <c r="AD82" i="1"/>
  <c r="AD80" i="1"/>
  <c r="AD81" i="1"/>
  <c r="AD79" i="1"/>
  <c r="U86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8" i="1"/>
  <c r="AE79" i="1"/>
  <c r="AE85" i="1"/>
  <c r="AE11" i="1"/>
  <c r="W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11" i="1"/>
  <c r="AD85" i="1"/>
  <c r="V11" i="1"/>
  <c r="AC87" i="1" l="1"/>
  <c r="AC97" i="1" s="1"/>
  <c r="U96" i="1"/>
  <c r="AQ86" i="1"/>
  <c r="AP93" i="1" s="1"/>
  <c r="AX93" i="1" s="1"/>
  <c r="AE86" i="1"/>
  <c r="AD93" i="1" s="1"/>
  <c r="AO93" i="1" s="1"/>
  <c r="AO87" i="1"/>
  <c r="AC96" i="1"/>
  <c r="U88" i="1"/>
  <c r="U90" i="1" s="1"/>
  <c r="M93" i="1"/>
  <c r="M97" i="1"/>
  <c r="W82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5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2" i="1"/>
  <c r="V85" i="1"/>
  <c r="AC88" i="1" l="1"/>
  <c r="AC90" i="1" s="1"/>
  <c r="AO88" i="1"/>
  <c r="AO90" i="1" s="1"/>
  <c r="AO97" i="1"/>
  <c r="W86" i="1"/>
  <c r="V93" i="1" s="1"/>
  <c r="AC93" i="1" s="1"/>
  <c r="M88" i="1"/>
  <c r="M90" i="1" s="1"/>
  <c r="M96" i="1"/>
  <c r="O85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2" i="1"/>
  <c r="O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2" i="1"/>
  <c r="N85" i="1"/>
  <c r="N11" i="1"/>
  <c r="O86" i="1" l="1"/>
  <c r="N93" i="1" s="1"/>
  <c r="U93" i="1" s="1"/>
  <c r="AZ86" i="1"/>
  <c r="AY93" i="1" s="1"/>
  <c r="BG93" i="1" s="1"/>
</calcChain>
</file>

<file path=xl/connections.xml><?xml version="1.0" encoding="utf-8"?>
<connections xmlns="http://schemas.openxmlformats.org/spreadsheetml/2006/main">
  <connection id="1" name="bu42019" type="6" refreshedVersion="6" background="1" saveData="1">
    <textPr codePage="932" sourceFile="C:\Users\Zulfikar\Downloads\bu42019." delimited="0">
      <textFields count="11">
        <textField/>
        <textField position="9"/>
        <textField position="11"/>
        <textField position="16"/>
        <textField position="20"/>
        <textField position="28"/>
        <textField position="30"/>
        <textField position="39"/>
        <textField position="42"/>
        <textField position="52"/>
        <textField position="54"/>
      </textFields>
    </textPr>
  </connection>
  <connection id="2" name="BU42025" type="6" refreshedVersion="4" background="1" saveData="1">
    <textPr codePage="932" sourceFile="F:\TRIGAP\2025\Trigap 4 2025\BU42025." delimited="0">
      <textFields count="11">
        <textField/>
        <textField position="8"/>
        <textField position="11"/>
        <textField position="15"/>
        <textField position="18"/>
        <textField position="28"/>
        <textField position="30"/>
        <textField position="39"/>
        <textField position="42"/>
        <textField position="52"/>
        <textField position="54"/>
      </textFields>
    </textPr>
  </connection>
  <connection id="3" name="BUpDes2018" type="6" refreshedVersion="6" background="1" saveData="1">
    <textPr codePage="932" sourceFile="D:\Word Document\BATAN\2018\Bahan Bakar\Triwulan 4\Trigap Triwulan 4 2018\BUpDes2018." delimited="0">
      <textFields count="11">
        <textField/>
        <textField position="9"/>
        <textField position="11"/>
        <textField position="16"/>
        <textField position="19"/>
        <textField position="28"/>
        <textField position="30"/>
        <textField position="39"/>
        <textField position="41"/>
        <textField position="52"/>
        <textField position="54"/>
      </textFields>
    </textPr>
  </connection>
</connections>
</file>

<file path=xl/sharedStrings.xml><?xml version="1.0" encoding="utf-8"?>
<sst xmlns="http://schemas.openxmlformats.org/spreadsheetml/2006/main" count="1280" uniqueCount="287">
  <si>
    <t>A</t>
  </si>
  <si>
    <t>B</t>
  </si>
  <si>
    <t>CR</t>
  </si>
  <si>
    <t>MWH</t>
  </si>
  <si>
    <t>SUSUT BAKAR</t>
  </si>
  <si>
    <t>MWD</t>
  </si>
  <si>
    <t>Sisa (gram)</t>
  </si>
  <si>
    <t xml:space="preserve">% U-235  </t>
  </si>
  <si>
    <t>(g) U-235</t>
  </si>
  <si>
    <t>awal -</t>
  </si>
  <si>
    <t>akhir</t>
  </si>
  <si>
    <t>perubahan U235 dalam teras =</t>
  </si>
  <si>
    <t>Burn up Kumulatif</t>
  </si>
  <si>
    <t>awal</t>
  </si>
  <si>
    <t>No</t>
  </si>
  <si>
    <t>No/ Kode</t>
  </si>
  <si>
    <t>Elemen Bakar</t>
  </si>
  <si>
    <t>Posisi Di teras</t>
  </si>
  <si>
    <t>Burn up/ Fraksi Bakar</t>
  </si>
  <si>
    <t>Berat U235</t>
  </si>
  <si>
    <t>yang masih ada (g)</t>
  </si>
  <si>
    <t>Keterangan</t>
  </si>
  <si>
    <t>%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</si>
  <si>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</si>
  <si>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</si>
  <si>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</si>
  <si>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</si>
  <si>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</si>
  <si>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</si>
  <si>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</si>
  <si>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</si>
  <si>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</si>
  <si>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</si>
  <si>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C6</t>
  </si>
  <si>
    <t>C7</t>
  </si>
  <si>
    <t>C8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</si>
  <si>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</si>
  <si>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</si>
  <si>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</si>
  <si>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</si>
  <si>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</si>
  <si>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</si>
  <si>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</si>
  <si>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</si>
  <si>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</si>
  <si>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</si>
  <si>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</si>
  <si>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</si>
  <si>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</si>
  <si>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</si>
  <si>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</si>
  <si>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</si>
  <si>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</si>
  <si>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</si>
  <si>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</si>
  <si>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</si>
  <si>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</si>
  <si>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</si>
  <si>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</si>
  <si>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</si>
  <si>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</si>
  <si>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</si>
  <si>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</si>
  <si>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</si>
  <si>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</si>
  <si>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</si>
  <si>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</si>
  <si>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</si>
  <si>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</si>
  <si>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</si>
  <si>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</si>
  <si>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</si>
  <si>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</si>
  <si>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</si>
  <si>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</si>
  <si>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</si>
  <si>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</si>
  <si>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</si>
  <si>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</si>
  <si>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</si>
  <si>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</si>
  <si>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</si>
  <si>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</si>
  <si>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F5</t>
  </si>
  <si>
    <t>F10</t>
  </si>
  <si>
    <t>F11</t>
  </si>
  <si>
    <t>F13</t>
  </si>
  <si>
    <t>F18</t>
  </si>
  <si>
    <t>F23</t>
  </si>
  <si>
    <t>F25</t>
  </si>
  <si>
    <t>F29</t>
  </si>
  <si>
    <t>C</t>
  </si>
  <si>
    <t>rata rata</t>
  </si>
  <si>
    <t>Burn up kumulatif sampai 31 Desember 2014 =</t>
  </si>
  <si>
    <t>Burn up kumulatif sampai 30 September 2014 =</t>
  </si>
  <si>
    <t>TRIWULAN IV 2015</t>
  </si>
  <si>
    <t>Burn up kumulatif sampai 30 September 2015 =</t>
  </si>
  <si>
    <t>Burn up kumulatif sampai 31 Desember 2015 =</t>
  </si>
  <si>
    <t>TRIWULAN I 2016</t>
  </si>
  <si>
    <t>Burn up kumulatif sampai 31 Maret 2016 =</t>
  </si>
  <si>
    <t>TRIWULAN II 2016</t>
  </si>
  <si>
    <t>Burn up kumulatif sampai 30 Juni 2016 =</t>
  </si>
  <si>
    <t>Burn up kumulatif sampai31  Maret 2016 =</t>
  </si>
  <si>
    <t>Burn up kumulatif sampai 30 september 2016 =</t>
  </si>
  <si>
    <t>TRIWULAN III 2016</t>
  </si>
  <si>
    <t>TRIWULAN IV 2016</t>
  </si>
  <si>
    <t>Burn up kumulatif sampai 31 Desember 2016 =</t>
  </si>
  <si>
    <t>Burn up kumulatif sampai 30 Juni   2016 =</t>
  </si>
  <si>
    <t>Burn up kumulatif sampai 30 September   2016 =</t>
  </si>
  <si>
    <t>TRIWULAN I 2017</t>
  </si>
  <si>
    <t>Burn up kumulatif sampai 31 Maret 2017 =</t>
  </si>
  <si>
    <t>Burn up kumulatif sampai 31 Desember   2016 =</t>
  </si>
  <si>
    <t>TRIWULAN II 2017</t>
  </si>
  <si>
    <t>Burn up kumulatif sampai 30 Juni 2017 =</t>
  </si>
  <si>
    <t>Burn up kumulatif sampai 31 Maret   2017 =</t>
  </si>
  <si>
    <t>TRIWULAN III 2017</t>
  </si>
  <si>
    <t>Burn up kumulatif sampai 30 September 2017 =</t>
  </si>
  <si>
    <t>Burn up kumulatif sampai 30 Juni   2017 =</t>
  </si>
  <si>
    <t>TRIWULAN IV 2017</t>
  </si>
  <si>
    <t>Burn up kumulatif sampai 30 September   2017 =</t>
  </si>
  <si>
    <t>Burn up kumulatif sampai 31 Desember 2017 =</t>
  </si>
  <si>
    <t>No Elemen</t>
  </si>
  <si>
    <t>TRIWULAN I 2018</t>
  </si>
  <si>
    <t>Burn up kumulatif sampai 31 Maret 2018 =</t>
  </si>
  <si>
    <t>F20</t>
  </si>
  <si>
    <t>F21</t>
  </si>
  <si>
    <t>F30</t>
  </si>
  <si>
    <t>TRIWULAN 2 2018</t>
  </si>
  <si>
    <t>Burn up kumulatif sampai 30 Juni 2018 =</t>
  </si>
  <si>
    <t>TRIWULAN 3 2018</t>
  </si>
  <si>
    <t>Burn up kumulatif sampai 30 September 2018 =</t>
  </si>
  <si>
    <t>TRIWULAN 4 2018</t>
  </si>
  <si>
    <t>PROGRAM KONVERSI MWH KE GRAM U-235</t>
  </si>
  <si>
    <t>DARI FILE DATA ELEM-DAT PADA TRIGAP</t>
  </si>
  <si>
    <t>NO. BATCH</t>
  </si>
  <si>
    <t>% U-235</t>
  </si>
  <si>
    <t>(g) U TOTAL</t>
  </si>
  <si>
    <t>JUMLAH</t>
  </si>
  <si>
    <t>32.1650 g</t>
  </si>
  <si>
    <t>TRIWULAN 1 2019</t>
  </si>
  <si>
    <t>Burn up kumulatif sampai 31 Desember 2018 =</t>
  </si>
  <si>
    <t>Burn up kumulatif sampai 31 Maret 2019 =</t>
  </si>
  <si>
    <t>Sisa (g)</t>
  </si>
  <si>
    <t>Triwulan 2 2019</t>
  </si>
  <si>
    <t>Burn up kumulatif sampai 30 Juni 2019 =</t>
  </si>
  <si>
    <t>Burn up kumulatif sampai 30 September 2019 =</t>
  </si>
  <si>
    <t>Rata rata Burn Up</t>
  </si>
  <si>
    <t>33.3462 g</t>
  </si>
  <si>
    <t>Nama file DATA: Desember2019</t>
  </si>
  <si>
    <t>Nama file DATA: September 2019</t>
  </si>
  <si>
    <t>Triwulan 3 2019</t>
  </si>
  <si>
    <t>Triwulan 4 2019</t>
  </si>
  <si>
    <t>Burn up kumulatif sampai 31 Desember 2019 =</t>
  </si>
  <si>
    <t>Program Konversi MWH ke Gram U-235</t>
  </si>
  <si>
    <t>Dari File Elem.Dat Pada Trigap</t>
  </si>
  <si>
    <t>Nama file DATA: Maret 2020</t>
  </si>
  <si>
    <t>Jumlah</t>
  </si>
  <si>
    <t>Triwulan 1 2020</t>
  </si>
  <si>
    <t>Burn up kumulatif sampai 31 Maret 2020=</t>
  </si>
  <si>
    <t>38.5232g</t>
  </si>
  <si>
    <t>33.4049g</t>
  </si>
  <si>
    <t>Nama file DATA: Juni 2020</t>
  </si>
  <si>
    <t>38.6906g</t>
  </si>
  <si>
    <t>33.5501g</t>
  </si>
  <si>
    <t>Triwulan 2 2020</t>
  </si>
  <si>
    <t>Nama file DATA: September 2020</t>
  </si>
  <si>
    <t>33.8575 g</t>
  </si>
  <si>
    <t>Triwulan 3 2020</t>
  </si>
  <si>
    <t>Burn up kumulatif sampai 30 Juni 2020 =</t>
  </si>
  <si>
    <t>Burn up kumulatif sampai 30 September 2020=</t>
  </si>
  <si>
    <t>Triwulan 4 2020</t>
  </si>
  <si>
    <t>Nama file DATA: Desember 2020</t>
  </si>
  <si>
    <t>Burn up kumulatif sampai 31 Desember 2020=</t>
  </si>
  <si>
    <t>Burn up kumulatif sampai 30 September 2020 =</t>
  </si>
  <si>
    <t>Triwulan 1 2021</t>
  </si>
  <si>
    <t>Nama File DATA : Maret 2021</t>
  </si>
  <si>
    <t>Jumlah U235 dalam teras</t>
  </si>
  <si>
    <t>Fraksi Bakar rata-rata</t>
  </si>
  <si>
    <t>34.2469 g</t>
  </si>
  <si>
    <t>34.4047 g</t>
  </si>
  <si>
    <t>Burn up kumulatif sampai 31 Maret 2021=</t>
  </si>
  <si>
    <t>Burn up kumulatif sampai 31 Desember 2020 =</t>
  </si>
  <si>
    <t>RAM KONVER</t>
  </si>
  <si>
    <t>MWH ke G</t>
  </si>
  <si>
    <t>FILE DATA</t>
  </si>
  <si>
    <t>LEM.DAT P</t>
  </si>
  <si>
    <t>nama file</t>
  </si>
  <si>
    <t>ata :</t>
  </si>
  <si>
    <t>ﾍﾍﾍﾍﾍﾍﾍﾍﾍ</t>
  </si>
  <si>
    <t>ﾍﾍﾍﾍﾍﾍﾍﾍﾍﾍ</t>
  </si>
  <si>
    <t xml:space="preserve"> </t>
  </si>
  <si>
    <t>Burn up kumulatif sampai 30 Juni 2021=</t>
  </si>
  <si>
    <t>Burn up kumulatif sampai 31 Maret 2021 =</t>
  </si>
  <si>
    <t>Nama File DATA : Juni 2021</t>
  </si>
  <si>
    <t>Triwulan 2 2021</t>
  </si>
  <si>
    <t>Nama File DATA : September 2021</t>
  </si>
  <si>
    <t>34.5524 g</t>
  </si>
  <si>
    <t>34.508 g</t>
  </si>
  <si>
    <t>Triwulan 3 2021</t>
  </si>
  <si>
    <t>Burn up kumulatif sampai 30 September 2021=</t>
  </si>
  <si>
    <t>Burn up kumulatif sampai 30 Juni 2021 =</t>
  </si>
  <si>
    <t>Nama File DATA : Desember 2021</t>
  </si>
  <si>
    <t>Triwulan 4 2021</t>
  </si>
  <si>
    <t>Burn up kumulatif sampai 31 Desember 2021=</t>
  </si>
  <si>
    <t>Burn up kumulatif sampai 30 September 2021 =</t>
  </si>
  <si>
    <t>34.7863 g</t>
  </si>
  <si>
    <t>35.1021 g</t>
  </si>
  <si>
    <t>Nama File DATA : Maret 2022</t>
  </si>
  <si>
    <t>Triwulan 1 2022</t>
  </si>
  <si>
    <t>Burn up kumulatif sampai 31 Maret 2022=</t>
  </si>
  <si>
    <t>Burn up kumulatif sampai 31 Desember 2021 =</t>
  </si>
  <si>
    <t>35.2024 g</t>
  </si>
  <si>
    <t>Nama File DATA : Juni 2022</t>
  </si>
  <si>
    <t>Triwulan 2 2022</t>
  </si>
  <si>
    <t>Burn up kumulatif sampai 30 Juni 2022=</t>
  </si>
  <si>
    <t>Burn up kumulatif sampai 31 Maret 2022 =</t>
  </si>
  <si>
    <t>35.2831 g</t>
  </si>
  <si>
    <t>Nama File DATA : September 2022</t>
  </si>
  <si>
    <t>Triwulan 3 2022</t>
  </si>
  <si>
    <t>Burn up kumulatif sampai 30 September 2022=</t>
  </si>
  <si>
    <t>Burn up kumulatif sampai 30 Juni 2022 =</t>
  </si>
  <si>
    <t>Nama File DATA : Desember 2022</t>
  </si>
  <si>
    <t>Triwulan 4 2022</t>
  </si>
  <si>
    <t>Burn up kumulatif sampai 31 Desember 2022=</t>
  </si>
  <si>
    <t>Burn up kumulatif sampai 30 September 2022 =</t>
  </si>
  <si>
    <t>35.4723 g</t>
  </si>
  <si>
    <t>Nama File DATA : Maret 2023</t>
  </si>
  <si>
    <t>Triwulan 1 2023</t>
  </si>
  <si>
    <t>Burn up kumulatif sampai 31 Maret 2023 =</t>
  </si>
  <si>
    <t>Burn up kumulatif sampai 31 Desember 2022 =</t>
  </si>
  <si>
    <t>ﾍﾍﾍﾍﾍﾍﾍﾍﾍﾍﾍﾍﾍﾍ</t>
  </si>
  <si>
    <t>Nama File DATA : Juni 2023</t>
  </si>
  <si>
    <t>Triwulan 2 2023</t>
  </si>
  <si>
    <t>Burn up kumulatif sampai 30 Juni 2023 =</t>
  </si>
  <si>
    <t>Nama File DATA : September 2023</t>
  </si>
  <si>
    <t>Triwulan 3 2023</t>
  </si>
  <si>
    <t>Burn up kumulatif sampai 30 September 2023 =</t>
  </si>
  <si>
    <t>35.7355 g</t>
  </si>
  <si>
    <t>Nama File DATA : Desember 2023</t>
  </si>
  <si>
    <t>35.5353 g</t>
  </si>
  <si>
    <t>35.6018 g</t>
  </si>
  <si>
    <t>35.6574 g</t>
  </si>
  <si>
    <t>Triwulan 4 2023</t>
  </si>
  <si>
    <t>Burn up kumulatif sampai 31 Desember 2023 =</t>
  </si>
  <si>
    <t>Nama File DATA : Maret 2024</t>
  </si>
  <si>
    <t>35.8231 g</t>
  </si>
  <si>
    <t>Triwulan 1 2024</t>
  </si>
  <si>
    <t>Burn up kumulatif sampai 31 Maret 2024 =</t>
  </si>
  <si>
    <t>35.9094 g</t>
  </si>
  <si>
    <t>Nama File DATA : Juni 2024</t>
  </si>
  <si>
    <t>Triwulan 2 2024</t>
  </si>
  <si>
    <t>Burn up kumulatif sampai 31 Juni 2024 =</t>
  </si>
  <si>
    <t>36.0742 g</t>
  </si>
  <si>
    <t>Triwulan 3 2024</t>
  </si>
  <si>
    <t>Burn up kumulatif sampai 30 September 2024 =</t>
  </si>
  <si>
    <t>Nama File DATA : September 2024</t>
  </si>
  <si>
    <t>SUSUT BAKA</t>
  </si>
  <si>
    <t>36.2426 g</t>
  </si>
  <si>
    <t>Triwulan 4 2024</t>
  </si>
  <si>
    <t>Burn up kumulatif sampai 31 Desember 2024 =</t>
  </si>
  <si>
    <t>Burn up kumulatif sampai 31 September 2024 =</t>
  </si>
  <si>
    <t>36.2922 g</t>
  </si>
  <si>
    <t>Triwulan 1 2025</t>
  </si>
  <si>
    <t>Burn up kumulatif sampai 31 Maret 2025 =</t>
  </si>
  <si>
    <t>Nama File DATA : Desember 2024</t>
  </si>
  <si>
    <t>Nama File DATA : Maret 2025</t>
  </si>
  <si>
    <t>36.3707 g</t>
  </si>
  <si>
    <t>Triwulan 2 2025</t>
  </si>
  <si>
    <t>Nama File DATA : Juni 2025</t>
  </si>
  <si>
    <t>Burn up kumulatif sampai 30 Juni 2025 =</t>
  </si>
  <si>
    <t>36.4102 g</t>
  </si>
  <si>
    <t>Triwulan 3 2025</t>
  </si>
  <si>
    <t>Burn up kumulatif sampai 30 September 2025 =</t>
  </si>
  <si>
    <t>Nama File DATA : September 2025</t>
  </si>
  <si>
    <t>P</t>
  </si>
  <si>
    <t>U-235</t>
  </si>
  <si>
    <t>D</t>
  </si>
  <si>
    <t>TRIGAP</t>
  </si>
  <si>
    <t>NO BATC</t>
  </si>
  <si>
    <t>KOD</t>
  </si>
  <si>
    <t>ELEM</t>
  </si>
  <si>
    <t>ﾍﾍﾍﾍﾍﾍﾍﾍ</t>
  </si>
  <si>
    <t>ﾍﾍﾍﾍ</t>
  </si>
  <si>
    <t>36.5006 g</t>
  </si>
  <si>
    <t>Triwulan 4 2025</t>
  </si>
  <si>
    <t>Burn up kumulatif sampai 31 Desember 2025 =</t>
  </si>
  <si>
    <t>Nama File DATA :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</si>
</sst>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#,##0.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94">
    <xf numFmtId="0" fontId="0" fillId="0" borderId="0" xfId="0"/>
    <xf numFmtId="0" fontId="2" fillId="0" borderId="1" xfId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2" fontId="2" fillId="0" borderId="0" xfId="1" applyNumberFormat="1" applyFont="1" applyBorder="1" applyAlignment="1">
      <alignment horizontal="center" vertical="center"/>
    </xf>
    <xf numFmtId="0" fontId="0" fillId="0" borderId="1" xfId="0" applyBorder="1"/>
    <xf numFmtId="164" fontId="4" fillId="0" borderId="1" xfId="1" applyNumberFormat="1" applyFont="1" applyBorder="1" applyAlignment="1">
      <alignment horizontal="center" vertical="center"/>
    </xf>
    <xf numFmtId="0" fontId="0" fillId="2" borderId="1" xfId="0" applyFill="1" applyBorder="1"/>
    <xf numFmtId="164" fontId="4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0" fillId="2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/>
    <xf numFmtId="16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/>
    <xf numFmtId="164" fontId="5" fillId="2" borderId="1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/>
    </xf>
    <xf numFmtId="164" fontId="0" fillId="2" borderId="1" xfId="0" applyNumberFormat="1" applyFont="1" applyFill="1" applyBorder="1"/>
    <xf numFmtId="164" fontId="0" fillId="0" borderId="0" xfId="0" applyNumberFormat="1" applyFont="1"/>
    <xf numFmtId="164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0" fontId="0" fillId="3" borderId="0" xfId="0" applyFill="1"/>
    <xf numFmtId="0" fontId="2" fillId="3" borderId="1" xfId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2" fontId="2" fillId="3" borderId="0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5" fillId="3" borderId="0" xfId="0" applyFont="1" applyFill="1"/>
    <xf numFmtId="164" fontId="0" fillId="3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/>
    <xf numFmtId="164" fontId="0" fillId="4" borderId="1" xfId="1" applyNumberFormat="1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164" fontId="0" fillId="4" borderId="0" xfId="1" applyNumberFormat="1" applyFont="1" applyFill="1" applyBorder="1" applyAlignment="1">
      <alignment horizontal="center" vertical="center"/>
    </xf>
    <xf numFmtId="164" fontId="4" fillId="2" borderId="0" xfId="1" applyNumberFormat="1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/>
    </xf>
    <xf numFmtId="164" fontId="0" fillId="3" borderId="0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/>
    </xf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Border="1"/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6" fontId="0" fillId="4" borderId="0" xfId="0" applyNumberFormat="1" applyFill="1" applyAlignment="1">
      <alignment horizontal="center" vertical="center"/>
    </xf>
    <xf numFmtId="166" fontId="0" fillId="4" borderId="0" xfId="0" applyNumberForma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166" fontId="0" fillId="0" borderId="1" xfId="0" applyNumberForma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/>
    <xf numFmtId="164" fontId="0" fillId="7" borderId="1" xfId="0" applyNumberFormat="1" applyFill="1" applyBorder="1"/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0" borderId="0" xfId="0" applyFill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7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164" fontId="0" fillId="0" borderId="1" xfId="0" applyNumberFormat="1" applyFill="1" applyBorder="1"/>
    <xf numFmtId="1" fontId="0" fillId="0" borderId="1" xfId="0" applyNumberFormat="1" applyBorder="1"/>
    <xf numFmtId="164" fontId="0" fillId="5" borderId="1" xfId="0" applyNumberFormat="1" applyFill="1" applyBorder="1"/>
    <xf numFmtId="164" fontId="0" fillId="5" borderId="1" xfId="0" applyNumberFormat="1" applyFill="1" applyBorder="1" applyAlignment="1">
      <alignment horizontal="center" vertical="center"/>
    </xf>
    <xf numFmtId="164" fontId="0" fillId="0" borderId="0" xfId="0" applyNumberFormat="1" applyFill="1" applyBorder="1"/>
    <xf numFmtId="164" fontId="0" fillId="0" borderId="0" xfId="0" applyNumberFormat="1" applyFill="1" applyBorder="1" applyAlignment="1">
      <alignment horizontal="center" vertical="center"/>
    </xf>
    <xf numFmtId="164" fontId="0" fillId="5" borderId="2" xfId="0" applyNumberFormat="1" applyFill="1" applyBorder="1"/>
    <xf numFmtId="166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3" fillId="0" borderId="0" xfId="0" applyFont="1" applyFill="1" applyBorder="1" applyAlignment="1">
      <alignment horizontal="center"/>
    </xf>
    <xf numFmtId="166" fontId="0" fillId="0" borderId="0" xfId="0" applyNumberForma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/>
    <xf numFmtId="166" fontId="8" fillId="0" borderId="0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0" xfId="0"/>
    <xf numFmtId="164" fontId="0" fillId="0" borderId="7" xfId="0" applyNumberFormat="1" applyFill="1" applyBorder="1"/>
    <xf numFmtId="0" fontId="0" fillId="0" borderId="4" xfId="0" applyBorder="1" applyAlignment="1">
      <alignment horizontal="center" vertical="center"/>
    </xf>
    <xf numFmtId="0" fontId="0" fillId="0" borderId="12" xfId="0" applyBorder="1"/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0" fontId="0" fillId="0" borderId="0" xfId="0"/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/>
    <xf numFmtId="164" fontId="0" fillId="0" borderId="0" xfId="0" applyNumberFormat="1"/>
    <xf numFmtId="164" fontId="0" fillId="7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/>
    <xf numFmtId="164" fontId="3" fillId="0" borderId="0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6" xfId="0" applyFont="1" applyBorder="1" applyAlignment="1">
      <alignment horizontal="center" wrapText="1"/>
    </xf>
    <xf numFmtId="164" fontId="0" fillId="0" borderId="2" xfId="0" applyNumberFormat="1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2" xfId="0" applyFill="1" applyBorder="1" applyAlignment="1">
      <alignment horizontal="center" wrapText="1"/>
    </xf>
    <xf numFmtId="0" fontId="0" fillId="8" borderId="6" xfId="0" applyFill="1" applyBorder="1" applyAlignment="1">
      <alignment horizontal="center" wrapText="1"/>
    </xf>
    <xf numFmtId="0" fontId="0" fillId="8" borderId="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7" xfId="0" applyBorder="1"/>
    <xf numFmtId="166" fontId="8" fillId="0" borderId="7" xfId="0" applyNumberFormat="1" applyFont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bu42019.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BUpDes2018.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BU42025.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W102"/>
  <sheetViews>
    <sheetView topLeftCell="OG3" zoomScale="90" zoomScaleNormal="90" workbookViewId="0">
      <pane ySplit="6" topLeftCell="A60" activePane="bottomLeft" state="frozen"/>
      <selection activeCell="CL3" sqref="CL3"/>
      <selection pane="bottomLeft" activeCell="OO90" sqref="OO90"/>
    </sheetView>
  </sheetViews>
  <sheetFormatPr defaultRowHeight="15" x14ac:dyDescent="0.25"/>
  <cols>
    <col min="1" max="3" width="0" hidden="1" customWidth="1"/>
    <col min="4" max="4" width="18.5703125" hidden="1" customWidth="1"/>
    <col min="5" max="6" width="12.85546875" hidden="1" customWidth="1"/>
    <col min="7" max="9" width="0" hidden="1" customWidth="1"/>
    <col min="10" max="12" width="0" style="5" hidden="1" customWidth="1"/>
    <col min="13" max="14" width="9.7109375" style="5" hidden="1" customWidth="1"/>
    <col min="15" max="15" width="12.140625" style="5" hidden="1" customWidth="1"/>
    <col min="16" max="20" width="0" hidden="1" customWidth="1"/>
    <col min="21" max="22" width="10.5703125" hidden="1" customWidth="1"/>
    <col min="23" max="23" width="11.42578125" hidden="1" customWidth="1"/>
    <col min="24" max="24" width="0" hidden="1" customWidth="1"/>
    <col min="25" max="25" width="9.140625" hidden="1" customWidth="1"/>
    <col min="26" max="27" width="0" hidden="1" customWidth="1"/>
    <col min="28" max="28" width="9.28515625" hidden="1" customWidth="1"/>
    <col min="29" max="30" width="10.5703125" hidden="1" customWidth="1"/>
    <col min="31" max="32" width="11.7109375" hidden="1" customWidth="1"/>
    <col min="33" max="33" width="3" bestFit="1" customWidth="1"/>
    <col min="34" max="35" width="11.7109375" customWidth="1"/>
    <col min="38" max="39" width="0" hidden="1" customWidth="1"/>
    <col min="40" max="40" width="17.7109375" hidden="1" customWidth="1"/>
    <col min="41" max="42" width="11.28515625" hidden="1" customWidth="1"/>
    <col min="43" max="43" width="10.7109375" style="3" hidden="1" customWidth="1"/>
    <col min="44" max="48" width="0" hidden="1" customWidth="1"/>
    <col min="49" max="49" width="17.7109375" hidden="1" customWidth="1"/>
    <col min="50" max="51" width="11.28515625" hidden="1" customWidth="1"/>
    <col min="52" max="52" width="10.7109375" style="3" hidden="1" customWidth="1"/>
    <col min="53" max="56" width="0" hidden="1" customWidth="1"/>
    <col min="57" max="57" width="0" style="3" hidden="1" customWidth="1"/>
    <col min="58" max="58" width="9" style="3" hidden="1" customWidth="1"/>
    <col min="59" max="60" width="10.5703125" style="3" hidden="1" customWidth="1"/>
    <col min="61" max="64" width="11.85546875" style="3" hidden="1" customWidth="1"/>
    <col min="65" max="65" width="0" hidden="1" customWidth="1"/>
    <col min="66" max="66" width="6.7109375" hidden="1" customWidth="1"/>
    <col min="67" max="67" width="8.28515625" hidden="1" customWidth="1"/>
    <col min="68" max="68" width="9.5703125" hidden="1" customWidth="1"/>
    <col min="69" max="70" width="10.7109375" hidden="1" customWidth="1"/>
    <col min="71" max="71" width="10.85546875" hidden="1" customWidth="1"/>
    <col min="72" max="75" width="0" hidden="1" customWidth="1"/>
    <col min="76" max="76" width="0" style="5" hidden="1" customWidth="1"/>
    <col min="77" max="78" width="0" hidden="1" customWidth="1"/>
    <col min="79" max="79" width="10.5703125" hidden="1" customWidth="1"/>
    <col min="80" max="80" width="10.5703125" style="5" hidden="1" customWidth="1"/>
    <col min="81" max="81" width="10.7109375" hidden="1" customWidth="1"/>
    <col min="82" max="85" width="0" hidden="1" customWidth="1"/>
    <col min="86" max="87" width="0" style="5" hidden="1" customWidth="1"/>
    <col min="88" max="88" width="0" hidden="1" customWidth="1"/>
    <col min="89" max="90" width="9.5703125" hidden="1" customWidth="1"/>
    <col min="91" max="91" width="10.7109375" hidden="1" customWidth="1"/>
    <col min="92" max="98" width="0" hidden="1" customWidth="1"/>
    <col min="99" max="100" width="9.42578125" hidden="1" customWidth="1"/>
    <col min="101" max="101" width="10.7109375" hidden="1" customWidth="1"/>
    <col min="102" max="108" width="0" hidden="1" customWidth="1"/>
    <col min="109" max="110" width="9.42578125" hidden="1" customWidth="1"/>
    <col min="111" max="111" width="10.85546875" hidden="1" customWidth="1"/>
    <col min="112" max="118" width="0" hidden="1" customWidth="1"/>
    <col min="119" max="120" width="9.42578125" hidden="1" customWidth="1"/>
    <col min="121" max="121" width="11.5703125" hidden="1" customWidth="1"/>
    <col min="122" max="128" width="0" hidden="1" customWidth="1"/>
    <col min="129" max="130" width="9.42578125" hidden="1" customWidth="1"/>
    <col min="131" max="131" width="12.7109375" hidden="1" customWidth="1"/>
    <col min="132" max="132" width="0" hidden="1" customWidth="1"/>
    <col min="133" max="133" width="12.140625" hidden="1" customWidth="1"/>
    <col min="134" max="134" width="10" hidden="1" customWidth="1"/>
    <col min="135" max="138" width="0" hidden="1" customWidth="1"/>
    <col min="139" max="139" width="11.28515625" hidden="1" customWidth="1"/>
    <col min="140" max="140" width="11.5703125" hidden="1" customWidth="1"/>
    <col min="141" max="141" width="11.42578125" hidden="1" customWidth="1"/>
    <col min="142" max="148" width="0" hidden="1" customWidth="1"/>
    <col min="149" max="149" width="11" hidden="1" customWidth="1"/>
    <col min="150" max="150" width="10.85546875" style="124" hidden="1" customWidth="1"/>
    <col min="151" max="151" width="11" style="123" hidden="1" customWidth="1"/>
    <col min="152" max="158" width="0" hidden="1" customWidth="1"/>
    <col min="159" max="159" width="10.7109375" hidden="1" customWidth="1"/>
    <col min="160" max="160" width="11.140625" hidden="1" customWidth="1"/>
    <col min="161" max="161" width="12.140625" hidden="1" customWidth="1"/>
    <col min="162" max="168" width="0" hidden="1" customWidth="1"/>
    <col min="169" max="170" width="10.42578125" hidden="1" customWidth="1"/>
    <col min="171" max="171" width="11" hidden="1" customWidth="1"/>
    <col min="172" max="174" width="0" hidden="1" customWidth="1"/>
    <col min="175" max="175" width="3" bestFit="1" customWidth="1"/>
    <col min="179" max="180" width="10.42578125" bestFit="1" customWidth="1"/>
    <col min="181" max="181" width="11" bestFit="1" customWidth="1"/>
    <col min="189" max="189" width="10.42578125" customWidth="1"/>
    <col min="190" max="190" width="10.42578125" bestFit="1" customWidth="1"/>
    <col min="191" max="191" width="11" bestFit="1" customWidth="1"/>
    <col min="195" max="195" width="3" bestFit="1" customWidth="1"/>
    <col min="198" max="198" width="8.28515625" bestFit="1" customWidth="1"/>
    <col min="199" max="200" width="9.5703125" bestFit="1" customWidth="1"/>
    <col min="201" max="201" width="10" bestFit="1" customWidth="1"/>
    <col min="205" max="205" width="4" bestFit="1" customWidth="1"/>
    <col min="206" max="206" width="10.7109375" bestFit="1" customWidth="1"/>
    <col min="209" max="210" width="9.5703125" bestFit="1" customWidth="1"/>
    <col min="211" max="211" width="11.5703125" bestFit="1" customWidth="1"/>
    <col min="212" max="213" width="9.140625" customWidth="1"/>
    <col min="216" max="216" width="4" bestFit="1" customWidth="1"/>
    <col min="220" max="220" width="9.5703125" bestFit="1" customWidth="1"/>
    <col min="221" max="221" width="9.5703125" customWidth="1"/>
    <col min="222" max="222" width="12" bestFit="1" customWidth="1"/>
    <col min="223" max="224" width="9.140625" customWidth="1"/>
    <col min="230" max="232" width="9.5703125" bestFit="1" customWidth="1"/>
    <col min="239" max="239" width="10" customWidth="1"/>
    <col min="240" max="241" width="10.28515625" bestFit="1" customWidth="1"/>
    <col min="242" max="242" width="10.28515625" customWidth="1"/>
    <col min="246" max="248" width="9.140625" style="199"/>
    <col min="249" max="249" width="8.7109375" style="199" bestFit="1" customWidth="1"/>
    <col min="250" max="252" width="10.28515625" style="199" bestFit="1" customWidth="1"/>
    <col min="253" max="253" width="9.140625" style="199"/>
    <col min="260" max="262" width="10.28515625" bestFit="1" customWidth="1"/>
    <col min="270" max="272" width="10.28515625" bestFit="1" customWidth="1"/>
    <col min="276" max="279" width="9.140625" style="209"/>
    <col min="280" max="282" width="10.28515625" style="209" bestFit="1" customWidth="1"/>
    <col min="283" max="283" width="9.140625" style="209"/>
    <col min="290" max="292" width="10.28515625" bestFit="1" customWidth="1"/>
    <col min="300" max="302" width="10.28515625" bestFit="1" customWidth="1"/>
    <col min="304" max="309" width="9.140625" style="223"/>
    <col min="310" max="312" width="10.28515625" style="223" bestFit="1" customWidth="1"/>
    <col min="313" max="313" width="9.140625" style="223"/>
    <col min="315" max="318" width="9.140625" style="228"/>
    <col min="319" max="319" width="9.5703125" style="228" customWidth="1"/>
    <col min="320" max="322" width="10.28515625" style="228" bestFit="1" customWidth="1"/>
    <col min="323" max="323" width="9.140625" style="228"/>
    <col min="329" max="329" width="8.7109375" bestFit="1" customWidth="1"/>
    <col min="330" max="332" width="10.28515625" bestFit="1" customWidth="1"/>
    <col min="340" max="340" width="10.42578125" bestFit="1" customWidth="1"/>
    <col min="341" max="342" width="10.28515625" bestFit="1" customWidth="1"/>
    <col min="350" max="352" width="10.42578125" bestFit="1" customWidth="1"/>
    <col min="360" max="362" width="10.42578125" bestFit="1" customWidth="1"/>
    <col min="370" max="372" width="10.42578125" bestFit="1" customWidth="1"/>
    <col min="373" max="373" width="9.140625" style="232"/>
    <col min="380" max="382" width="10.42578125" bestFit="1" customWidth="1"/>
    <col min="390" max="392" width="10.42578125" bestFit="1" customWidth="1"/>
    <col min="400" max="402" width="10.42578125" bestFit="1" customWidth="1"/>
    <col min="405" max="409" width="9.140625" style="250"/>
    <col min="410" max="412" width="10.42578125" style="250" bestFit="1" customWidth="1"/>
    <col min="413" max="413" width="9.140625" style="250"/>
  </cols>
  <sheetData>
    <row r="3" spans="1:413" hidden="1" x14ac:dyDescent="0.25"/>
    <row r="4" spans="1:413" hidden="1" x14ac:dyDescent="0.25"/>
    <row r="5" spans="1:413" hidden="1" x14ac:dyDescent="0.25"/>
    <row r="6" spans="1:413" x14ac:dyDescent="0.25">
      <c r="J6" s="255" t="s">
        <v>95</v>
      </c>
      <c r="K6" s="255"/>
      <c r="L6" s="255"/>
      <c r="M6" s="255"/>
      <c r="N6" s="255"/>
      <c r="O6" s="255"/>
      <c r="P6" s="17"/>
      <c r="R6" s="255" t="s">
        <v>98</v>
      </c>
      <c r="S6" s="255"/>
      <c r="T6" s="255"/>
      <c r="U6" s="255"/>
      <c r="V6" s="255"/>
      <c r="W6" s="255"/>
      <c r="X6" s="17"/>
      <c r="Z6" s="255" t="s">
        <v>100</v>
      </c>
      <c r="AA6" s="255"/>
      <c r="AB6" s="255"/>
      <c r="AC6" s="255"/>
      <c r="AD6" s="255"/>
      <c r="AE6" s="255"/>
      <c r="AF6" s="17"/>
      <c r="AL6" s="255" t="s">
        <v>104</v>
      </c>
      <c r="AM6" s="255"/>
      <c r="AN6" s="255"/>
      <c r="AO6" s="255"/>
      <c r="AP6" s="255"/>
      <c r="AQ6" s="255"/>
      <c r="AT6" s="39"/>
      <c r="AU6" s="265" t="s">
        <v>105</v>
      </c>
      <c r="AV6" s="265"/>
      <c r="AW6" s="265"/>
      <c r="AX6" s="265"/>
      <c r="AY6" s="265"/>
      <c r="AZ6" s="265"/>
      <c r="BD6" s="265" t="s">
        <v>109</v>
      </c>
      <c r="BE6" s="265"/>
      <c r="BF6" s="265"/>
      <c r="BG6" s="265"/>
      <c r="BH6" s="265"/>
      <c r="BI6" s="265"/>
      <c r="BJ6" s="89"/>
      <c r="BK6" s="89"/>
      <c r="BL6" s="89"/>
      <c r="BN6" s="265" t="s">
        <v>112</v>
      </c>
      <c r="BO6" s="265"/>
      <c r="BP6" s="265"/>
      <c r="BQ6" s="265"/>
      <c r="BR6" s="265"/>
      <c r="BS6" s="265"/>
      <c r="BV6" s="89"/>
      <c r="BX6" s="266" t="s">
        <v>115</v>
      </c>
      <c r="BY6" s="267"/>
      <c r="BZ6" s="267"/>
      <c r="CA6" s="267"/>
      <c r="CB6" s="267"/>
      <c r="CC6" s="268"/>
      <c r="CH6" s="266" t="s">
        <v>118</v>
      </c>
      <c r="CI6" s="267"/>
      <c r="CJ6" s="267"/>
      <c r="CK6" s="267"/>
      <c r="CL6" s="267"/>
      <c r="CM6" s="268"/>
      <c r="CR6" s="266" t="s">
        <v>122</v>
      </c>
      <c r="CS6" s="267"/>
      <c r="CT6" s="267"/>
      <c r="CU6" s="267"/>
      <c r="CV6" s="267"/>
      <c r="CW6" s="268"/>
      <c r="DB6" s="266" t="s">
        <v>127</v>
      </c>
      <c r="DC6" s="267"/>
      <c r="DD6" s="267"/>
      <c r="DE6" s="267"/>
      <c r="DF6" s="267"/>
      <c r="DG6" s="268"/>
      <c r="DL6" s="266" t="s">
        <v>129</v>
      </c>
      <c r="DM6" s="267"/>
      <c r="DN6" s="267"/>
      <c r="DO6" s="267"/>
      <c r="DP6" s="267"/>
      <c r="DQ6" s="268"/>
      <c r="DV6" s="266" t="s">
        <v>131</v>
      </c>
      <c r="DW6" s="267"/>
      <c r="DX6" s="267"/>
      <c r="DY6" s="267"/>
      <c r="DZ6" s="267"/>
      <c r="EA6" s="268"/>
      <c r="EF6" s="277" t="s">
        <v>139</v>
      </c>
      <c r="EG6" s="267"/>
      <c r="EH6" s="267"/>
      <c r="EI6" s="267"/>
      <c r="EJ6" s="267"/>
      <c r="EK6" s="268"/>
      <c r="EP6" s="255" t="s">
        <v>143</v>
      </c>
      <c r="EQ6" s="255"/>
      <c r="ER6" s="255"/>
      <c r="ES6" s="255"/>
      <c r="ET6" s="255"/>
      <c r="EU6" s="255"/>
      <c r="EZ6" s="255" t="s">
        <v>150</v>
      </c>
      <c r="FA6" s="255"/>
      <c r="FB6" s="255"/>
      <c r="FC6" s="255"/>
      <c r="FD6" s="255"/>
      <c r="FE6" s="255"/>
      <c r="FJ6" s="255" t="s">
        <v>151</v>
      </c>
      <c r="FK6" s="255"/>
      <c r="FL6" s="255"/>
      <c r="FM6" s="255"/>
      <c r="FN6" s="255"/>
      <c r="FO6" s="255"/>
      <c r="FT6" s="255" t="s">
        <v>157</v>
      </c>
      <c r="FU6" s="255"/>
      <c r="FV6" s="255"/>
      <c r="FW6" s="255"/>
      <c r="FX6" s="255"/>
      <c r="FY6" s="255"/>
      <c r="GD6" s="255" t="s">
        <v>164</v>
      </c>
      <c r="GE6" s="255"/>
      <c r="GF6" s="255"/>
      <c r="GG6" s="255"/>
      <c r="GH6" s="255"/>
      <c r="GI6" s="255"/>
      <c r="GN6" s="255" t="s">
        <v>167</v>
      </c>
      <c r="GO6" s="255"/>
      <c r="GP6" s="255"/>
      <c r="GQ6" s="255"/>
      <c r="GR6" s="255"/>
      <c r="GS6" s="255"/>
      <c r="GX6" s="255" t="s">
        <v>170</v>
      </c>
      <c r="GY6" s="255"/>
      <c r="GZ6" s="255"/>
      <c r="HA6" s="255"/>
      <c r="HB6" s="255"/>
      <c r="HC6" s="255"/>
      <c r="HG6" s="159"/>
      <c r="HH6" s="159"/>
      <c r="HI6" s="255" t="s">
        <v>174</v>
      </c>
      <c r="HJ6" s="255"/>
      <c r="HK6" s="255"/>
      <c r="HL6" s="255"/>
      <c r="HM6" s="255"/>
      <c r="HN6" s="255"/>
      <c r="HQ6" s="183"/>
      <c r="HR6" s="183"/>
      <c r="HS6" s="255" t="s">
        <v>194</v>
      </c>
      <c r="HT6" s="255"/>
      <c r="HU6" s="255"/>
      <c r="HV6" s="255"/>
      <c r="HW6" s="255"/>
      <c r="HX6" s="255"/>
      <c r="HY6" s="183"/>
      <c r="IA6" s="194"/>
      <c r="IB6" s="194"/>
      <c r="IC6" s="255" t="s">
        <v>198</v>
      </c>
      <c r="ID6" s="255"/>
      <c r="IE6" s="255"/>
      <c r="IF6" s="255"/>
      <c r="IG6" s="255"/>
      <c r="IH6" s="255"/>
      <c r="II6" s="194"/>
      <c r="IM6" s="255" t="s">
        <v>202</v>
      </c>
      <c r="IN6" s="255"/>
      <c r="IO6" s="255"/>
      <c r="IP6" s="255"/>
      <c r="IQ6" s="255"/>
      <c r="IR6" s="255"/>
      <c r="IU6" s="202"/>
      <c r="IV6" s="202"/>
      <c r="IW6" s="255" t="s">
        <v>208</v>
      </c>
      <c r="IX6" s="255"/>
      <c r="IY6" s="255"/>
      <c r="IZ6" s="255"/>
      <c r="JA6" s="255"/>
      <c r="JB6" s="255"/>
      <c r="JC6" s="202"/>
      <c r="JE6" s="204"/>
      <c r="JF6" s="204"/>
      <c r="JG6" s="255" t="s">
        <v>213</v>
      </c>
      <c r="JH6" s="255"/>
      <c r="JI6" s="255"/>
      <c r="JJ6" s="255"/>
      <c r="JK6" s="255"/>
      <c r="JL6" s="255"/>
      <c r="JM6" s="204"/>
      <c r="JN6" s="204"/>
      <c r="JQ6" s="255" t="s">
        <v>218</v>
      </c>
      <c r="JR6" s="255"/>
      <c r="JS6" s="255"/>
      <c r="JT6" s="255"/>
      <c r="JU6" s="255"/>
      <c r="JV6" s="255"/>
      <c r="JX6" s="213"/>
      <c r="JY6" s="213"/>
      <c r="JZ6" s="213"/>
      <c r="KA6" s="255" t="s">
        <v>222</v>
      </c>
      <c r="KB6" s="255"/>
      <c r="KC6" s="255"/>
      <c r="KD6" s="255"/>
      <c r="KE6" s="255"/>
      <c r="KF6" s="255"/>
      <c r="KG6" s="213"/>
      <c r="KI6" s="219"/>
      <c r="KJ6" s="219"/>
      <c r="KK6" s="255" t="s">
        <v>227</v>
      </c>
      <c r="KL6" s="255"/>
      <c r="KM6" s="255"/>
      <c r="KN6" s="255"/>
      <c r="KO6" s="255"/>
      <c r="KP6" s="255"/>
      <c r="KQ6" s="219"/>
      <c r="KU6" s="255" t="s">
        <v>232</v>
      </c>
      <c r="KV6" s="255"/>
      <c r="KW6" s="255"/>
      <c r="KX6" s="255"/>
      <c r="KY6" s="255"/>
      <c r="KZ6" s="255"/>
      <c r="LE6" s="255" t="s">
        <v>235</v>
      </c>
      <c r="LF6" s="255"/>
      <c r="LG6" s="255"/>
      <c r="LH6" s="255"/>
      <c r="LI6" s="255"/>
      <c r="LJ6" s="255"/>
      <c r="LL6" s="231"/>
      <c r="LM6" s="231"/>
      <c r="LN6" s="231"/>
      <c r="LO6" s="255" t="s">
        <v>242</v>
      </c>
      <c r="LP6" s="255"/>
      <c r="LQ6" s="255"/>
      <c r="LR6" s="255"/>
      <c r="LS6" s="255"/>
      <c r="LT6" s="255"/>
      <c r="LU6" s="231"/>
      <c r="LW6" s="231"/>
      <c r="LX6" s="231"/>
      <c r="LY6" s="255" t="s">
        <v>246</v>
      </c>
      <c r="LZ6" s="255"/>
      <c r="MA6" s="255"/>
      <c r="MB6" s="255"/>
      <c r="MC6" s="255"/>
      <c r="MD6" s="255"/>
      <c r="ME6" s="231"/>
      <c r="MF6" s="231"/>
      <c r="MG6" s="231"/>
      <c r="MH6" s="231"/>
      <c r="MI6" s="255" t="s">
        <v>250</v>
      </c>
      <c r="MJ6" s="255"/>
      <c r="MK6" s="255"/>
      <c r="ML6" s="255"/>
      <c r="MM6" s="255"/>
      <c r="MN6" s="255"/>
      <c r="MO6" s="231"/>
      <c r="MP6" s="231"/>
      <c r="MQ6" s="231"/>
      <c r="MR6" s="231"/>
      <c r="MS6" s="255" t="s">
        <v>253</v>
      </c>
      <c r="MT6" s="255"/>
      <c r="MU6" s="255"/>
      <c r="MV6" s="255"/>
      <c r="MW6" s="255"/>
      <c r="MX6" s="255"/>
      <c r="MY6" s="231"/>
      <c r="MZ6" s="246"/>
      <c r="NA6" s="246"/>
      <c r="NB6" s="246"/>
      <c r="NC6" s="255" t="s">
        <v>258</v>
      </c>
      <c r="ND6" s="255"/>
      <c r="NE6" s="255"/>
      <c r="NF6" s="255"/>
      <c r="NG6" s="255"/>
      <c r="NH6" s="255"/>
      <c r="NK6" s="250"/>
      <c r="NL6" s="250"/>
      <c r="NM6" s="255" t="s">
        <v>262</v>
      </c>
      <c r="NN6" s="255"/>
      <c r="NO6" s="255"/>
      <c r="NP6" s="255"/>
      <c r="NQ6" s="255"/>
      <c r="NR6" s="255"/>
      <c r="NS6" s="232"/>
      <c r="NU6" s="250"/>
      <c r="NV6" s="250"/>
      <c r="NW6" s="255" t="s">
        <v>267</v>
      </c>
      <c r="NX6" s="255"/>
      <c r="NY6" s="255"/>
      <c r="NZ6" s="255"/>
      <c r="OA6" s="255"/>
      <c r="OB6" s="255"/>
      <c r="OC6" s="232"/>
      <c r="OE6" s="250"/>
      <c r="OF6" s="250"/>
      <c r="OG6" s="255" t="s">
        <v>271</v>
      </c>
      <c r="OH6" s="255"/>
      <c r="OI6" s="255"/>
      <c r="OJ6" s="255"/>
      <c r="OK6" s="255"/>
      <c r="OL6" s="255"/>
      <c r="OM6" s="232"/>
      <c r="OQ6" s="255" t="s">
        <v>284</v>
      </c>
      <c r="OR6" s="255"/>
      <c r="OS6" s="255"/>
      <c r="OT6" s="255"/>
      <c r="OU6" s="255"/>
      <c r="OV6" s="255"/>
      <c r="OW6" s="232"/>
    </row>
    <row r="7" spans="1:413" ht="15" customHeight="1" x14ac:dyDescent="0.25">
      <c r="J7" s="15"/>
      <c r="K7" s="257" t="s">
        <v>3</v>
      </c>
      <c r="L7" s="257" t="s">
        <v>4</v>
      </c>
      <c r="M7" s="257"/>
      <c r="N7" s="6" t="s">
        <v>5</v>
      </c>
      <c r="O7" s="6" t="s">
        <v>6</v>
      </c>
      <c r="P7" s="18"/>
      <c r="R7" s="20"/>
      <c r="S7" s="257" t="s">
        <v>3</v>
      </c>
      <c r="T7" s="257" t="s">
        <v>4</v>
      </c>
      <c r="U7" s="257"/>
      <c r="V7" s="6" t="s">
        <v>5</v>
      </c>
      <c r="W7" s="6" t="s">
        <v>6</v>
      </c>
      <c r="X7" s="18"/>
      <c r="Z7" s="27"/>
      <c r="AA7" s="257" t="s">
        <v>3</v>
      </c>
      <c r="AB7" s="257" t="s">
        <v>4</v>
      </c>
      <c r="AC7" s="257"/>
      <c r="AD7" s="6" t="s">
        <v>5</v>
      </c>
      <c r="AE7" s="6" t="s">
        <v>6</v>
      </c>
      <c r="AF7" s="78"/>
      <c r="AL7" s="32"/>
      <c r="AM7" s="257" t="s">
        <v>3</v>
      </c>
      <c r="AN7" s="257" t="s">
        <v>4</v>
      </c>
      <c r="AO7" s="257"/>
      <c r="AP7" s="6" t="s">
        <v>5</v>
      </c>
      <c r="AQ7" s="6" t="s">
        <v>6</v>
      </c>
      <c r="AT7" s="39"/>
      <c r="AU7" s="44"/>
      <c r="AV7" s="275" t="s">
        <v>3</v>
      </c>
      <c r="AW7" s="275" t="s">
        <v>4</v>
      </c>
      <c r="AX7" s="275"/>
      <c r="AY7" s="45" t="s">
        <v>5</v>
      </c>
      <c r="AZ7" s="45" t="s">
        <v>6</v>
      </c>
      <c r="BD7" s="55"/>
      <c r="BE7" s="276" t="s">
        <v>3</v>
      </c>
      <c r="BF7" s="276" t="s">
        <v>4</v>
      </c>
      <c r="BG7" s="276"/>
      <c r="BH7" s="45" t="s">
        <v>5</v>
      </c>
      <c r="BI7" s="45" t="s">
        <v>6</v>
      </c>
      <c r="BJ7" s="89"/>
      <c r="BK7" s="89"/>
      <c r="BL7" s="89"/>
      <c r="BN7" s="86"/>
      <c r="BO7" s="276" t="s">
        <v>3</v>
      </c>
      <c r="BP7" s="276" t="s">
        <v>4</v>
      </c>
      <c r="BQ7" s="276"/>
      <c r="BR7" s="87" t="s">
        <v>5</v>
      </c>
      <c r="BS7" s="87" t="s">
        <v>6</v>
      </c>
      <c r="BV7" s="89"/>
      <c r="BX7" s="94"/>
      <c r="BY7" s="271" t="s">
        <v>3</v>
      </c>
      <c r="BZ7" s="273" t="s">
        <v>4</v>
      </c>
      <c r="CA7" s="274"/>
      <c r="CB7" s="95" t="s">
        <v>5</v>
      </c>
      <c r="CC7" s="92" t="s">
        <v>6</v>
      </c>
      <c r="CH7" s="94"/>
      <c r="CI7" s="271" t="s">
        <v>3</v>
      </c>
      <c r="CJ7" s="273" t="s">
        <v>4</v>
      </c>
      <c r="CK7" s="274"/>
      <c r="CL7" s="95" t="s">
        <v>5</v>
      </c>
      <c r="CM7" s="95" t="s">
        <v>6</v>
      </c>
      <c r="CR7" s="269" t="s">
        <v>121</v>
      </c>
      <c r="CS7" s="271" t="s">
        <v>3</v>
      </c>
      <c r="CT7" s="273" t="s">
        <v>4</v>
      </c>
      <c r="CU7" s="274"/>
      <c r="CV7" s="100" t="s">
        <v>5</v>
      </c>
      <c r="CW7" s="100" t="s">
        <v>6</v>
      </c>
      <c r="DB7" s="269" t="s">
        <v>121</v>
      </c>
      <c r="DC7" s="271" t="s">
        <v>3</v>
      </c>
      <c r="DD7" s="273" t="s">
        <v>4</v>
      </c>
      <c r="DE7" s="274"/>
      <c r="DF7" s="108" t="s">
        <v>5</v>
      </c>
      <c r="DG7" s="108" t="s">
        <v>6</v>
      </c>
      <c r="DL7" s="269" t="s">
        <v>121</v>
      </c>
      <c r="DM7" s="271" t="s">
        <v>3</v>
      </c>
      <c r="DN7" s="273" t="s">
        <v>4</v>
      </c>
      <c r="DO7" s="274"/>
      <c r="DP7" s="109" t="s">
        <v>5</v>
      </c>
      <c r="DQ7" s="109" t="s">
        <v>6</v>
      </c>
      <c r="DV7" s="269" t="s">
        <v>121</v>
      </c>
      <c r="DW7" s="271" t="s">
        <v>3</v>
      </c>
      <c r="DX7" s="273" t="s">
        <v>4</v>
      </c>
      <c r="DY7" s="274"/>
      <c r="DZ7" s="114" t="s">
        <v>5</v>
      </c>
      <c r="EA7" s="114" t="s">
        <v>6</v>
      </c>
      <c r="EF7" s="269" t="s">
        <v>121</v>
      </c>
      <c r="EG7" s="271" t="s">
        <v>3</v>
      </c>
      <c r="EH7" s="273" t="s">
        <v>4</v>
      </c>
      <c r="EI7" s="274"/>
      <c r="EJ7" s="117" t="s">
        <v>5</v>
      </c>
      <c r="EK7" s="117" t="s">
        <v>6</v>
      </c>
      <c r="EP7" s="256" t="s">
        <v>121</v>
      </c>
      <c r="EQ7" s="257" t="s">
        <v>3</v>
      </c>
      <c r="ER7" s="255" t="s">
        <v>4</v>
      </c>
      <c r="ES7" s="255"/>
      <c r="ET7" s="258" t="s">
        <v>5</v>
      </c>
      <c r="EU7" s="259" t="s">
        <v>142</v>
      </c>
      <c r="EZ7" s="256" t="s">
        <v>121</v>
      </c>
      <c r="FA7" s="257" t="s">
        <v>3</v>
      </c>
      <c r="FB7" s="255" t="s">
        <v>4</v>
      </c>
      <c r="FC7" s="255"/>
      <c r="FD7" s="258" t="s">
        <v>5</v>
      </c>
      <c r="FE7" s="259" t="s">
        <v>142</v>
      </c>
      <c r="FJ7" s="256" t="s">
        <v>121</v>
      </c>
      <c r="FK7" s="257" t="s">
        <v>3</v>
      </c>
      <c r="FL7" s="255" t="s">
        <v>4</v>
      </c>
      <c r="FM7" s="255"/>
      <c r="FN7" s="258" t="s">
        <v>5</v>
      </c>
      <c r="FO7" s="259" t="s">
        <v>142</v>
      </c>
      <c r="FT7" s="256" t="s">
        <v>121</v>
      </c>
      <c r="FU7" s="257" t="s">
        <v>3</v>
      </c>
      <c r="FV7" s="255" t="s">
        <v>4</v>
      </c>
      <c r="FW7" s="255"/>
      <c r="FX7" s="258" t="s">
        <v>5</v>
      </c>
      <c r="FY7" s="259" t="s">
        <v>142</v>
      </c>
      <c r="GD7" s="256" t="s">
        <v>121</v>
      </c>
      <c r="GE7" s="257" t="s">
        <v>3</v>
      </c>
      <c r="GF7" s="255" t="s">
        <v>4</v>
      </c>
      <c r="GG7" s="255"/>
      <c r="GH7" s="258" t="s">
        <v>5</v>
      </c>
      <c r="GI7" s="259" t="s">
        <v>142</v>
      </c>
      <c r="GN7" s="256" t="s">
        <v>121</v>
      </c>
      <c r="GO7" s="257" t="s">
        <v>3</v>
      </c>
      <c r="GP7" s="255" t="s">
        <v>4</v>
      </c>
      <c r="GQ7" s="255"/>
      <c r="GR7" s="258" t="s">
        <v>5</v>
      </c>
      <c r="GS7" s="259" t="s">
        <v>142</v>
      </c>
      <c r="GX7" s="256" t="s">
        <v>121</v>
      </c>
      <c r="GY7" s="257" t="s">
        <v>3</v>
      </c>
      <c r="GZ7" s="255" t="s">
        <v>4</v>
      </c>
      <c r="HA7" s="255"/>
      <c r="HB7" s="258" t="s">
        <v>5</v>
      </c>
      <c r="HC7" s="259" t="s">
        <v>142</v>
      </c>
      <c r="HG7" s="159"/>
      <c r="HH7" s="159"/>
      <c r="HI7" s="256" t="s">
        <v>121</v>
      </c>
      <c r="HJ7" s="257" t="s">
        <v>3</v>
      </c>
      <c r="HK7" s="255" t="s">
        <v>4</v>
      </c>
      <c r="HL7" s="255"/>
      <c r="HM7" s="258" t="s">
        <v>5</v>
      </c>
      <c r="HN7" s="259" t="s">
        <v>142</v>
      </c>
      <c r="HQ7" s="183"/>
      <c r="HR7" s="183"/>
      <c r="HS7" s="256" t="s">
        <v>121</v>
      </c>
      <c r="HT7" s="257" t="s">
        <v>3</v>
      </c>
      <c r="HU7" s="255" t="s">
        <v>4</v>
      </c>
      <c r="HV7" s="255"/>
      <c r="HW7" s="258" t="s">
        <v>5</v>
      </c>
      <c r="HX7" s="259" t="s">
        <v>142</v>
      </c>
      <c r="HY7" s="183"/>
      <c r="IA7" s="194"/>
      <c r="IB7" s="194"/>
      <c r="IC7" s="256" t="s">
        <v>121</v>
      </c>
      <c r="ID7" s="257" t="s">
        <v>3</v>
      </c>
      <c r="IE7" s="255" t="s">
        <v>4</v>
      </c>
      <c r="IF7" s="255"/>
      <c r="IG7" s="258" t="s">
        <v>5</v>
      </c>
      <c r="IH7" s="259" t="s">
        <v>142</v>
      </c>
      <c r="II7" s="194"/>
      <c r="IM7" s="256" t="s">
        <v>121</v>
      </c>
      <c r="IN7" s="257" t="s">
        <v>3</v>
      </c>
      <c r="IO7" s="255" t="s">
        <v>4</v>
      </c>
      <c r="IP7" s="255"/>
      <c r="IQ7" s="258" t="s">
        <v>5</v>
      </c>
      <c r="IR7" s="259" t="s">
        <v>142</v>
      </c>
      <c r="IU7" s="202"/>
      <c r="IV7" s="202"/>
      <c r="IW7" s="256" t="s">
        <v>121</v>
      </c>
      <c r="IX7" s="257" t="s">
        <v>3</v>
      </c>
      <c r="IY7" s="255" t="s">
        <v>4</v>
      </c>
      <c r="IZ7" s="255"/>
      <c r="JA7" s="258" t="s">
        <v>5</v>
      </c>
      <c r="JB7" s="259" t="s">
        <v>142</v>
      </c>
      <c r="JC7" s="202"/>
      <c r="JE7" s="204"/>
      <c r="JF7" s="204"/>
      <c r="JG7" s="256" t="s">
        <v>121</v>
      </c>
      <c r="JH7" s="257" t="s">
        <v>3</v>
      </c>
      <c r="JI7" s="255" t="s">
        <v>4</v>
      </c>
      <c r="JJ7" s="255"/>
      <c r="JK7" s="258" t="s">
        <v>5</v>
      </c>
      <c r="JL7" s="259" t="s">
        <v>142</v>
      </c>
      <c r="JM7" s="204"/>
      <c r="JN7" s="204"/>
      <c r="JQ7" s="256" t="s">
        <v>121</v>
      </c>
      <c r="JR7" s="257" t="s">
        <v>3</v>
      </c>
      <c r="JS7" s="255" t="s">
        <v>4</v>
      </c>
      <c r="JT7" s="255"/>
      <c r="JU7" s="258" t="s">
        <v>5</v>
      </c>
      <c r="JV7" s="259" t="s">
        <v>142</v>
      </c>
      <c r="JX7" s="213"/>
      <c r="JY7" s="213"/>
      <c r="JZ7" s="213"/>
      <c r="KA7" s="256" t="s">
        <v>121</v>
      </c>
      <c r="KB7" s="257" t="s">
        <v>3</v>
      </c>
      <c r="KC7" s="255" t="s">
        <v>4</v>
      </c>
      <c r="KD7" s="255"/>
      <c r="KE7" s="258" t="s">
        <v>5</v>
      </c>
      <c r="KF7" s="259" t="s">
        <v>142</v>
      </c>
      <c r="KG7" s="213"/>
      <c r="KI7" s="219"/>
      <c r="KJ7" s="219"/>
      <c r="KK7" s="256" t="s">
        <v>121</v>
      </c>
      <c r="KL7" s="257" t="s">
        <v>3</v>
      </c>
      <c r="KM7" s="255" t="s">
        <v>4</v>
      </c>
      <c r="KN7" s="255"/>
      <c r="KO7" s="258" t="s">
        <v>5</v>
      </c>
      <c r="KP7" s="259" t="s">
        <v>142</v>
      </c>
      <c r="KQ7" s="219"/>
      <c r="KU7" s="256" t="s">
        <v>121</v>
      </c>
      <c r="KV7" s="257" t="s">
        <v>3</v>
      </c>
      <c r="KW7" s="255" t="s">
        <v>4</v>
      </c>
      <c r="KX7" s="255"/>
      <c r="KY7" s="258" t="s">
        <v>5</v>
      </c>
      <c r="KZ7" s="259" t="s">
        <v>142</v>
      </c>
      <c r="LE7" s="256" t="s">
        <v>121</v>
      </c>
      <c r="LF7" s="257" t="s">
        <v>3</v>
      </c>
      <c r="LG7" s="255" t="s">
        <v>4</v>
      </c>
      <c r="LH7" s="255"/>
      <c r="LI7" s="258" t="s">
        <v>5</v>
      </c>
      <c r="LJ7" s="259" t="s">
        <v>142</v>
      </c>
      <c r="LL7" s="231"/>
      <c r="LM7" s="231"/>
      <c r="LN7" s="231"/>
      <c r="LO7" s="256" t="s">
        <v>121</v>
      </c>
      <c r="LP7" s="257" t="s">
        <v>3</v>
      </c>
      <c r="LQ7" s="255" t="s">
        <v>4</v>
      </c>
      <c r="LR7" s="255"/>
      <c r="LS7" s="258" t="s">
        <v>5</v>
      </c>
      <c r="LT7" s="259" t="s">
        <v>142</v>
      </c>
      <c r="LU7" s="231"/>
      <c r="LW7" s="231"/>
      <c r="LX7" s="231"/>
      <c r="LY7" s="256" t="s">
        <v>121</v>
      </c>
      <c r="LZ7" s="257" t="s">
        <v>3</v>
      </c>
      <c r="MA7" s="255" t="s">
        <v>4</v>
      </c>
      <c r="MB7" s="255"/>
      <c r="MC7" s="258" t="s">
        <v>5</v>
      </c>
      <c r="MD7" s="259" t="s">
        <v>142</v>
      </c>
      <c r="ME7" s="231"/>
      <c r="MF7" s="231"/>
      <c r="MG7" s="231"/>
      <c r="MH7" s="231"/>
      <c r="MI7" s="256" t="s">
        <v>121</v>
      </c>
      <c r="MJ7" s="257" t="s">
        <v>3</v>
      </c>
      <c r="MK7" s="255" t="s">
        <v>4</v>
      </c>
      <c r="ML7" s="255"/>
      <c r="MM7" s="258" t="s">
        <v>5</v>
      </c>
      <c r="MN7" s="259" t="s">
        <v>142</v>
      </c>
      <c r="MO7" s="231"/>
      <c r="MP7" s="231"/>
      <c r="MQ7" s="231"/>
      <c r="MR7" s="231"/>
      <c r="MS7" s="256" t="s">
        <v>121</v>
      </c>
      <c r="MT7" s="257" t="s">
        <v>3</v>
      </c>
      <c r="MU7" s="255" t="s">
        <v>4</v>
      </c>
      <c r="MV7" s="255"/>
      <c r="MW7" s="258" t="s">
        <v>5</v>
      </c>
      <c r="MX7" s="259" t="s">
        <v>142</v>
      </c>
      <c r="MY7" s="231"/>
      <c r="MZ7" s="246"/>
      <c r="NA7" s="246"/>
      <c r="NB7" s="246"/>
      <c r="NC7" s="256" t="s">
        <v>121</v>
      </c>
      <c r="ND7" s="257" t="s">
        <v>3</v>
      </c>
      <c r="NE7" s="255" t="s">
        <v>4</v>
      </c>
      <c r="NF7" s="255"/>
      <c r="NG7" s="258" t="s">
        <v>5</v>
      </c>
      <c r="NH7" s="259" t="s">
        <v>142</v>
      </c>
      <c r="NK7" s="250"/>
      <c r="NL7" s="250"/>
      <c r="NM7" s="256" t="s">
        <v>121</v>
      </c>
      <c r="NN7" s="257" t="s">
        <v>3</v>
      </c>
      <c r="NO7" s="255" t="s">
        <v>4</v>
      </c>
      <c r="NP7" s="255"/>
      <c r="NQ7" s="258" t="s">
        <v>5</v>
      </c>
      <c r="NR7" s="259" t="s">
        <v>142</v>
      </c>
      <c r="NS7" s="232"/>
      <c r="NU7" s="250"/>
      <c r="NV7" s="250"/>
      <c r="NW7" s="256" t="s">
        <v>121</v>
      </c>
      <c r="NX7" s="257" t="s">
        <v>3</v>
      </c>
      <c r="NY7" s="255" t="s">
        <v>4</v>
      </c>
      <c r="NZ7" s="255"/>
      <c r="OA7" s="258" t="s">
        <v>5</v>
      </c>
      <c r="OB7" s="259" t="s">
        <v>142</v>
      </c>
      <c r="OC7" s="232"/>
      <c r="OE7" s="250"/>
      <c r="OF7" s="250"/>
      <c r="OG7" s="256" t="s">
        <v>121</v>
      </c>
      <c r="OH7" s="257" t="s">
        <v>3</v>
      </c>
      <c r="OI7" s="255" t="s">
        <v>4</v>
      </c>
      <c r="OJ7" s="255"/>
      <c r="OK7" s="258" t="s">
        <v>5</v>
      </c>
      <c r="OL7" s="259" t="s">
        <v>142</v>
      </c>
      <c r="OM7" s="232"/>
      <c r="OQ7" s="256" t="s">
        <v>121</v>
      </c>
      <c r="OR7" s="257" t="s">
        <v>3</v>
      </c>
      <c r="OS7" s="255" t="s">
        <v>4</v>
      </c>
      <c r="OT7" s="255"/>
      <c r="OU7" s="258" t="s">
        <v>5</v>
      </c>
      <c r="OV7" s="259" t="s">
        <v>142</v>
      </c>
      <c r="OW7" s="232"/>
    </row>
    <row r="8" spans="1:413" ht="15" customHeight="1" x14ac:dyDescent="0.25">
      <c r="J8" s="15"/>
      <c r="K8" s="257"/>
      <c r="L8" s="6" t="s">
        <v>7</v>
      </c>
      <c r="M8" s="16" t="s">
        <v>8</v>
      </c>
      <c r="N8" s="6"/>
      <c r="O8" s="6"/>
      <c r="P8" s="18"/>
      <c r="R8" s="20"/>
      <c r="S8" s="257"/>
      <c r="T8" s="6" t="s">
        <v>7</v>
      </c>
      <c r="U8" s="21" t="s">
        <v>8</v>
      </c>
      <c r="V8" s="6"/>
      <c r="W8" s="6"/>
      <c r="X8" s="18"/>
      <c r="Z8" s="27"/>
      <c r="AA8" s="257"/>
      <c r="AB8" s="6" t="s">
        <v>7</v>
      </c>
      <c r="AC8" s="28" t="s">
        <v>8</v>
      </c>
      <c r="AD8" s="6"/>
      <c r="AE8" s="6"/>
      <c r="AF8" s="78"/>
      <c r="AL8" s="32"/>
      <c r="AM8" s="257"/>
      <c r="AN8" s="6" t="s">
        <v>7</v>
      </c>
      <c r="AO8" s="33" t="s">
        <v>8</v>
      </c>
      <c r="AP8" s="6"/>
      <c r="AQ8" s="6"/>
      <c r="AT8" s="39"/>
      <c r="AU8" s="44"/>
      <c r="AV8" s="275"/>
      <c r="AW8" s="45" t="s">
        <v>7</v>
      </c>
      <c r="AX8" s="46" t="s">
        <v>8</v>
      </c>
      <c r="AY8" s="45"/>
      <c r="AZ8" s="45"/>
      <c r="BD8" s="55"/>
      <c r="BE8" s="276"/>
      <c r="BF8" s="45" t="s">
        <v>7</v>
      </c>
      <c r="BG8" s="45" t="s">
        <v>8</v>
      </c>
      <c r="BH8" s="45"/>
      <c r="BI8" s="45"/>
      <c r="BJ8" s="90"/>
      <c r="BK8" s="90"/>
      <c r="BL8" s="90"/>
      <c r="BN8" s="86"/>
      <c r="BO8" s="276"/>
      <c r="BP8" s="87" t="s">
        <v>7</v>
      </c>
      <c r="BQ8" s="87" t="s">
        <v>8</v>
      </c>
      <c r="BR8" s="87"/>
      <c r="BS8" s="87"/>
      <c r="BV8" s="90"/>
      <c r="BX8" s="94"/>
      <c r="BY8" s="272"/>
      <c r="BZ8" s="92" t="s">
        <v>7</v>
      </c>
      <c r="CA8" s="92" t="s">
        <v>8</v>
      </c>
      <c r="CB8" s="95"/>
      <c r="CC8" s="92"/>
      <c r="CH8" s="94"/>
      <c r="CI8" s="272"/>
      <c r="CJ8" s="95" t="s">
        <v>7</v>
      </c>
      <c r="CK8" s="95" t="s">
        <v>8</v>
      </c>
      <c r="CL8" s="95"/>
      <c r="CM8" s="95"/>
      <c r="CR8" s="270"/>
      <c r="CS8" s="272"/>
      <c r="CT8" s="100" t="s">
        <v>7</v>
      </c>
      <c r="CU8" s="100" t="s">
        <v>8</v>
      </c>
      <c r="CV8" s="100"/>
      <c r="CW8" s="100"/>
      <c r="DB8" s="270"/>
      <c r="DC8" s="272"/>
      <c r="DD8" s="108" t="s">
        <v>7</v>
      </c>
      <c r="DE8" s="108" t="s">
        <v>8</v>
      </c>
      <c r="DF8" s="108"/>
      <c r="DG8" s="108"/>
      <c r="DL8" s="270"/>
      <c r="DM8" s="272"/>
      <c r="DN8" s="109" t="s">
        <v>7</v>
      </c>
      <c r="DO8" s="109" t="s">
        <v>8</v>
      </c>
      <c r="DP8" s="109"/>
      <c r="DQ8" s="109"/>
      <c r="DV8" s="270"/>
      <c r="DW8" s="272"/>
      <c r="DX8" s="114" t="s">
        <v>7</v>
      </c>
      <c r="DY8" s="114" t="s">
        <v>8</v>
      </c>
      <c r="DZ8" s="114"/>
      <c r="EA8" s="114"/>
      <c r="EF8" s="270"/>
      <c r="EG8" s="272"/>
      <c r="EH8" s="117" t="s">
        <v>7</v>
      </c>
      <c r="EI8" s="117" t="s">
        <v>8</v>
      </c>
      <c r="EJ8" s="117"/>
      <c r="EK8" s="117"/>
      <c r="EP8" s="256"/>
      <c r="EQ8" s="257"/>
      <c r="ER8" s="9" t="s">
        <v>135</v>
      </c>
      <c r="ES8" s="9" t="s">
        <v>8</v>
      </c>
      <c r="ET8" s="258"/>
      <c r="EU8" s="259"/>
      <c r="EZ8" s="256"/>
      <c r="FA8" s="257"/>
      <c r="FB8" s="9" t="s">
        <v>135</v>
      </c>
      <c r="FC8" s="9" t="s">
        <v>8</v>
      </c>
      <c r="FD8" s="258"/>
      <c r="FE8" s="259"/>
      <c r="FJ8" s="256"/>
      <c r="FK8" s="257"/>
      <c r="FL8" s="9" t="s">
        <v>135</v>
      </c>
      <c r="FM8" s="9" t="s">
        <v>8</v>
      </c>
      <c r="FN8" s="258"/>
      <c r="FO8" s="259"/>
      <c r="FT8" s="256"/>
      <c r="FU8" s="257"/>
      <c r="FV8" s="9" t="s">
        <v>135</v>
      </c>
      <c r="FW8" s="9" t="s">
        <v>8</v>
      </c>
      <c r="FX8" s="258"/>
      <c r="FY8" s="259"/>
      <c r="GD8" s="256"/>
      <c r="GE8" s="257"/>
      <c r="GF8" s="9" t="s">
        <v>135</v>
      </c>
      <c r="GG8" s="9" t="s">
        <v>8</v>
      </c>
      <c r="GH8" s="258"/>
      <c r="GI8" s="259"/>
      <c r="GN8" s="256"/>
      <c r="GO8" s="257"/>
      <c r="GP8" s="9" t="s">
        <v>135</v>
      </c>
      <c r="GQ8" s="9" t="s">
        <v>8</v>
      </c>
      <c r="GR8" s="258"/>
      <c r="GS8" s="259"/>
      <c r="GX8" s="256"/>
      <c r="GY8" s="257"/>
      <c r="GZ8" s="9" t="s">
        <v>135</v>
      </c>
      <c r="HA8" s="9" t="s">
        <v>8</v>
      </c>
      <c r="HB8" s="258"/>
      <c r="HC8" s="259"/>
      <c r="HG8" s="159"/>
      <c r="HH8" s="159"/>
      <c r="HI8" s="256"/>
      <c r="HJ8" s="257"/>
      <c r="HK8" s="9" t="s">
        <v>135</v>
      </c>
      <c r="HL8" s="9" t="s">
        <v>8</v>
      </c>
      <c r="HM8" s="258"/>
      <c r="HN8" s="259"/>
      <c r="HQ8" s="183"/>
      <c r="HR8" s="183"/>
      <c r="HS8" s="256"/>
      <c r="HT8" s="257"/>
      <c r="HU8" s="9" t="s">
        <v>135</v>
      </c>
      <c r="HV8" s="9" t="s">
        <v>8</v>
      </c>
      <c r="HW8" s="258"/>
      <c r="HX8" s="259"/>
      <c r="HY8" s="183"/>
      <c r="IA8" s="194"/>
      <c r="IB8" s="194"/>
      <c r="IC8" s="256"/>
      <c r="ID8" s="257"/>
      <c r="IE8" s="9" t="s">
        <v>135</v>
      </c>
      <c r="IF8" s="9" t="s">
        <v>8</v>
      </c>
      <c r="IG8" s="258"/>
      <c r="IH8" s="259"/>
      <c r="II8" s="194"/>
      <c r="IM8" s="256"/>
      <c r="IN8" s="257"/>
      <c r="IO8" s="9" t="s">
        <v>135</v>
      </c>
      <c r="IP8" s="9" t="s">
        <v>8</v>
      </c>
      <c r="IQ8" s="258"/>
      <c r="IR8" s="259"/>
      <c r="IU8" s="202"/>
      <c r="IV8" s="202"/>
      <c r="IW8" s="256"/>
      <c r="IX8" s="257"/>
      <c r="IY8" s="9" t="s">
        <v>135</v>
      </c>
      <c r="IZ8" s="9" t="s">
        <v>8</v>
      </c>
      <c r="JA8" s="258"/>
      <c r="JB8" s="259"/>
      <c r="JC8" s="202"/>
      <c r="JE8" s="204"/>
      <c r="JF8" s="204"/>
      <c r="JG8" s="256"/>
      <c r="JH8" s="257"/>
      <c r="JI8" s="9" t="s">
        <v>135</v>
      </c>
      <c r="JJ8" s="9" t="s">
        <v>8</v>
      </c>
      <c r="JK8" s="258"/>
      <c r="JL8" s="259"/>
      <c r="JM8" s="204"/>
      <c r="JN8" s="204"/>
      <c r="JQ8" s="256"/>
      <c r="JR8" s="257"/>
      <c r="JS8" s="9" t="s">
        <v>135</v>
      </c>
      <c r="JT8" s="9" t="s">
        <v>8</v>
      </c>
      <c r="JU8" s="258"/>
      <c r="JV8" s="259"/>
      <c r="JX8" s="213"/>
      <c r="JY8" s="213"/>
      <c r="JZ8" s="213"/>
      <c r="KA8" s="256"/>
      <c r="KB8" s="257"/>
      <c r="KC8" s="9" t="s">
        <v>135</v>
      </c>
      <c r="KD8" s="9" t="s">
        <v>8</v>
      </c>
      <c r="KE8" s="258"/>
      <c r="KF8" s="259"/>
      <c r="KG8" s="213"/>
      <c r="KI8" s="219"/>
      <c r="KJ8" s="219"/>
      <c r="KK8" s="256"/>
      <c r="KL8" s="257"/>
      <c r="KM8" s="9" t="s">
        <v>135</v>
      </c>
      <c r="KN8" s="9" t="s">
        <v>8</v>
      </c>
      <c r="KO8" s="258"/>
      <c r="KP8" s="259"/>
      <c r="KQ8" s="219"/>
      <c r="KU8" s="256"/>
      <c r="KV8" s="257"/>
      <c r="KW8" s="9" t="s">
        <v>135</v>
      </c>
      <c r="KX8" s="9" t="s">
        <v>8</v>
      </c>
      <c r="KY8" s="258"/>
      <c r="KZ8" s="259"/>
      <c r="LE8" s="256"/>
      <c r="LF8" s="257"/>
      <c r="LG8" s="9" t="s">
        <v>135</v>
      </c>
      <c r="LH8" s="9" t="s">
        <v>8</v>
      </c>
      <c r="LI8" s="258"/>
      <c r="LJ8" s="259"/>
      <c r="LL8" s="231"/>
      <c r="LM8" s="231"/>
      <c r="LN8" s="231"/>
      <c r="LO8" s="256"/>
      <c r="LP8" s="257"/>
      <c r="LQ8" s="9" t="s">
        <v>135</v>
      </c>
      <c r="LR8" s="9" t="s">
        <v>8</v>
      </c>
      <c r="LS8" s="258"/>
      <c r="LT8" s="259"/>
      <c r="LU8" s="231"/>
      <c r="LW8" s="231"/>
      <c r="LX8" s="231"/>
      <c r="LY8" s="256"/>
      <c r="LZ8" s="257"/>
      <c r="MA8" s="9" t="s">
        <v>135</v>
      </c>
      <c r="MB8" s="9" t="s">
        <v>8</v>
      </c>
      <c r="MC8" s="258"/>
      <c r="MD8" s="259"/>
      <c r="ME8" s="231"/>
      <c r="MF8" s="231"/>
      <c r="MG8" s="231"/>
      <c r="MH8" s="231"/>
      <c r="MI8" s="256"/>
      <c r="MJ8" s="257"/>
      <c r="MK8" s="9" t="s">
        <v>135</v>
      </c>
      <c r="ML8" s="9" t="s">
        <v>8</v>
      </c>
      <c r="MM8" s="258"/>
      <c r="MN8" s="259"/>
      <c r="MO8" s="231"/>
      <c r="MP8" s="231"/>
      <c r="MQ8" s="231"/>
      <c r="MR8" s="231"/>
      <c r="MS8" s="256"/>
      <c r="MT8" s="257"/>
      <c r="MU8" s="9" t="s">
        <v>135</v>
      </c>
      <c r="MV8" s="9" t="s">
        <v>8</v>
      </c>
      <c r="MW8" s="258"/>
      <c r="MX8" s="259"/>
      <c r="MY8" s="231"/>
      <c r="MZ8" s="246"/>
      <c r="NA8" s="246"/>
      <c r="NB8" s="246"/>
      <c r="NC8" s="256"/>
      <c r="ND8" s="257"/>
      <c r="NE8" s="9" t="s">
        <v>135</v>
      </c>
      <c r="NF8" s="9" t="s">
        <v>8</v>
      </c>
      <c r="NG8" s="258"/>
      <c r="NH8" s="259"/>
      <c r="NK8" s="250"/>
      <c r="NL8" s="250"/>
      <c r="NM8" s="256"/>
      <c r="NN8" s="257"/>
      <c r="NO8" s="9" t="s">
        <v>135</v>
      </c>
      <c r="NP8" s="9" t="s">
        <v>8</v>
      </c>
      <c r="NQ8" s="258"/>
      <c r="NR8" s="259"/>
      <c r="NS8" s="232"/>
      <c r="NU8" s="250"/>
      <c r="NV8" s="250"/>
      <c r="NW8" s="256"/>
      <c r="NX8" s="257"/>
      <c r="NY8" s="9" t="s">
        <v>135</v>
      </c>
      <c r="NZ8" s="9" t="s">
        <v>8</v>
      </c>
      <c r="OA8" s="258"/>
      <c r="OB8" s="259"/>
      <c r="OC8" s="232"/>
      <c r="OE8" s="250"/>
      <c r="OF8" s="250"/>
      <c r="OG8" s="256"/>
      <c r="OH8" s="257"/>
      <c r="OI8" s="9" t="s">
        <v>135</v>
      </c>
      <c r="OJ8" s="9" t="s">
        <v>8</v>
      </c>
      <c r="OK8" s="258"/>
      <c r="OL8" s="259"/>
      <c r="OM8" s="232"/>
      <c r="OQ8" s="256"/>
      <c r="OR8" s="257"/>
      <c r="OS8" s="9" t="s">
        <v>135</v>
      </c>
      <c r="OT8" s="9" t="s">
        <v>8</v>
      </c>
      <c r="OU8" s="258"/>
      <c r="OV8" s="259"/>
      <c r="OW8" s="232"/>
    </row>
    <row r="9" spans="1:413" ht="15.75" customHeight="1" x14ac:dyDescent="0.25">
      <c r="A9">
        <v>1</v>
      </c>
      <c r="B9" s="13">
        <v>9884</v>
      </c>
      <c r="C9" s="13" t="s">
        <v>0</v>
      </c>
      <c r="D9" s="14">
        <v>37.409999999999997</v>
      </c>
      <c r="E9" s="8"/>
      <c r="F9" s="8"/>
      <c r="G9" s="8"/>
      <c r="H9" s="8"/>
      <c r="J9" s="23">
        <v>9884</v>
      </c>
      <c r="K9" s="23">
        <v>0</v>
      </c>
      <c r="L9" s="23">
        <v>0</v>
      </c>
      <c r="M9" s="23">
        <v>0</v>
      </c>
      <c r="N9" s="23">
        <v>0</v>
      </c>
      <c r="O9" s="26"/>
      <c r="P9" s="22"/>
      <c r="R9" s="23">
        <v>9884</v>
      </c>
      <c r="S9" s="23">
        <v>0</v>
      </c>
      <c r="T9" s="23">
        <v>0</v>
      </c>
      <c r="U9" s="23">
        <v>0</v>
      </c>
      <c r="V9" s="23">
        <v>0</v>
      </c>
      <c r="W9" s="26"/>
      <c r="X9" s="22"/>
      <c r="Z9" s="23">
        <v>9884</v>
      </c>
      <c r="AA9" s="23">
        <v>0</v>
      </c>
      <c r="AB9" s="23">
        <v>0</v>
      </c>
      <c r="AC9" s="23">
        <v>0</v>
      </c>
      <c r="AD9" s="23">
        <v>0</v>
      </c>
      <c r="AE9" s="26"/>
      <c r="AF9" s="82"/>
      <c r="AG9">
        <v>1</v>
      </c>
      <c r="AH9" s="13">
        <v>9884</v>
      </c>
      <c r="AI9" s="13" t="s">
        <v>0</v>
      </c>
      <c r="AJ9" s="14">
        <v>37.409999999999997</v>
      </c>
      <c r="AL9" s="23">
        <v>9884</v>
      </c>
      <c r="AM9" s="23">
        <v>0</v>
      </c>
      <c r="AN9" s="23">
        <v>0</v>
      </c>
      <c r="AO9" s="23">
        <v>0</v>
      </c>
      <c r="AP9" s="25">
        <f>AM9/24</f>
        <v>0</v>
      </c>
      <c r="AQ9" s="25"/>
      <c r="AT9" s="39"/>
      <c r="AU9" s="31">
        <v>9884</v>
      </c>
      <c r="AV9" s="31">
        <v>0</v>
      </c>
      <c r="AW9" s="31">
        <v>0</v>
      </c>
      <c r="AX9" s="31">
        <v>0</v>
      </c>
      <c r="AY9" s="30">
        <f>AV9/24</f>
        <v>0</v>
      </c>
      <c r="AZ9" s="40"/>
      <c r="BD9" s="31">
        <v>9884</v>
      </c>
      <c r="BE9" s="30">
        <v>0</v>
      </c>
      <c r="BF9" s="30">
        <v>0</v>
      </c>
      <c r="BG9" s="30">
        <v>0</v>
      </c>
      <c r="BH9" s="30">
        <f>BE9/24</f>
        <v>0</v>
      </c>
      <c r="BI9" s="40"/>
      <c r="BJ9" s="90"/>
      <c r="BK9" s="90"/>
      <c r="BL9" s="90"/>
      <c r="BN9" s="31">
        <v>9884</v>
      </c>
      <c r="BO9" s="30">
        <v>0</v>
      </c>
      <c r="BP9" s="30">
        <v>0</v>
      </c>
      <c r="BQ9" s="30">
        <v>0</v>
      </c>
      <c r="BR9" s="30">
        <f>BO9/24</f>
        <v>0</v>
      </c>
      <c r="BS9" s="40"/>
      <c r="BV9" s="90"/>
      <c r="BX9" s="31">
        <v>9884</v>
      </c>
      <c r="BY9" s="11">
        <v>0</v>
      </c>
      <c r="BZ9" s="11">
        <v>0</v>
      </c>
      <c r="CA9" s="11">
        <v>0</v>
      </c>
      <c r="CB9" s="30">
        <f>BY9/24</f>
        <v>0</v>
      </c>
      <c r="CC9" s="40"/>
      <c r="CH9" s="23">
        <v>9884</v>
      </c>
      <c r="CI9" s="23">
        <v>0</v>
      </c>
      <c r="CJ9" s="11">
        <v>0</v>
      </c>
      <c r="CK9" s="11">
        <v>0</v>
      </c>
      <c r="CL9" s="30">
        <f>CI9/24</f>
        <v>0</v>
      </c>
      <c r="CM9" s="40"/>
      <c r="CR9" s="23">
        <v>9884</v>
      </c>
      <c r="CS9" s="23">
        <v>0</v>
      </c>
      <c r="CT9" s="11">
        <v>0</v>
      </c>
      <c r="CU9" s="11">
        <v>0</v>
      </c>
      <c r="CV9" s="30">
        <f>CS9/24</f>
        <v>0</v>
      </c>
      <c r="CW9" s="40"/>
      <c r="DB9" s="23">
        <v>9884</v>
      </c>
      <c r="DC9" s="23">
        <v>0</v>
      </c>
      <c r="DD9" s="11">
        <v>0</v>
      </c>
      <c r="DE9" s="11">
        <v>0</v>
      </c>
      <c r="DF9" s="30">
        <f>DC9/24</f>
        <v>0</v>
      </c>
      <c r="DG9" s="40"/>
      <c r="DL9" s="23">
        <v>9884</v>
      </c>
      <c r="DM9" s="23">
        <v>0</v>
      </c>
      <c r="DN9" s="11">
        <v>0</v>
      </c>
      <c r="DO9" s="11">
        <v>0</v>
      </c>
      <c r="DP9" s="30">
        <f>DM9/24</f>
        <v>0</v>
      </c>
      <c r="DQ9" s="40"/>
      <c r="DV9" s="23">
        <v>9884</v>
      </c>
      <c r="DW9" s="23">
        <v>0</v>
      </c>
      <c r="DX9" s="11">
        <v>0</v>
      </c>
      <c r="DY9" s="11">
        <v>0</v>
      </c>
      <c r="DZ9" s="30">
        <f>DW9/24</f>
        <v>0</v>
      </c>
      <c r="EA9" s="40"/>
      <c r="EF9" s="23">
        <v>9884</v>
      </c>
      <c r="EG9" s="23">
        <v>0</v>
      </c>
      <c r="EH9" s="11">
        <v>0</v>
      </c>
      <c r="EI9" s="11">
        <v>0</v>
      </c>
      <c r="EJ9" s="30">
        <f>EG9/24</f>
        <v>0</v>
      </c>
      <c r="EK9" s="40"/>
      <c r="EP9" s="23">
        <v>9884</v>
      </c>
      <c r="EQ9" s="11">
        <v>0</v>
      </c>
      <c r="ER9" s="11">
        <v>0</v>
      </c>
      <c r="ES9" s="11">
        <v>0</v>
      </c>
      <c r="ET9" s="126">
        <f>EQ9/24</f>
        <v>0</v>
      </c>
      <c r="EU9" s="127"/>
      <c r="EZ9" s="23">
        <v>9884</v>
      </c>
      <c r="FA9" s="11">
        <v>0</v>
      </c>
      <c r="FB9" s="11">
        <v>0</v>
      </c>
      <c r="FC9" s="11">
        <v>0</v>
      </c>
      <c r="FD9" s="126">
        <f>FA9/24</f>
        <v>0</v>
      </c>
      <c r="FE9" s="127"/>
      <c r="FJ9" s="23">
        <v>9884</v>
      </c>
      <c r="FK9" s="11">
        <v>0</v>
      </c>
      <c r="FL9" s="11">
        <v>0</v>
      </c>
      <c r="FM9" s="11">
        <v>0</v>
      </c>
      <c r="FN9" s="126">
        <f>FK9/24</f>
        <v>0</v>
      </c>
      <c r="FO9" s="127"/>
      <c r="FT9" s="23">
        <v>9884</v>
      </c>
      <c r="FU9" s="11">
        <v>0</v>
      </c>
      <c r="FV9" s="11">
        <v>0</v>
      </c>
      <c r="FW9" s="11">
        <v>0</v>
      </c>
      <c r="FX9" s="126">
        <f>FU9/24</f>
        <v>0</v>
      </c>
      <c r="FY9" s="127"/>
      <c r="GD9" s="23">
        <v>9884</v>
      </c>
      <c r="GE9" s="11">
        <v>0</v>
      </c>
      <c r="GF9" s="11">
        <v>0</v>
      </c>
      <c r="GG9" s="11">
        <v>0</v>
      </c>
      <c r="GH9" s="126">
        <f>GE9/24</f>
        <v>0</v>
      </c>
      <c r="GI9" s="127"/>
      <c r="GN9" s="23">
        <v>9884</v>
      </c>
      <c r="GO9" s="11">
        <v>0</v>
      </c>
      <c r="GP9" s="11">
        <v>0</v>
      </c>
      <c r="GQ9" s="11">
        <v>0</v>
      </c>
      <c r="GR9" s="126">
        <f>GO9/24</f>
        <v>0</v>
      </c>
      <c r="GS9" s="127"/>
      <c r="GX9" s="23">
        <v>9884</v>
      </c>
      <c r="GY9" s="11">
        <f>VLOOKUP(GX9,Sheet3!$AJ$7:$AN$83,2,0)</f>
        <v>0</v>
      </c>
      <c r="GZ9" s="11">
        <f>VLOOKUP(GX9,Sheet3!$AJ$7:$AN$83,2,0)</f>
        <v>0</v>
      </c>
      <c r="HA9" s="11">
        <f>VLOOKUP(GX9,Sheet3!$AJ$7:$AN$83,4,0)</f>
        <v>0</v>
      </c>
      <c r="HB9" s="126">
        <f>GY9/24</f>
        <v>0</v>
      </c>
      <c r="HC9" s="127"/>
      <c r="HG9" s="159"/>
      <c r="HH9" s="159"/>
      <c r="HI9" s="23">
        <v>9884</v>
      </c>
      <c r="HJ9" s="11">
        <f>VLOOKUP(HI9,Sheet3!$AQ$7:$AU$83,2,0)</f>
        <v>0</v>
      </c>
      <c r="HK9" s="11">
        <f>VLOOKUP(HI9,Sheet3!$AQ$7:$AU$83,3,0)</f>
        <v>0</v>
      </c>
      <c r="HL9" s="11">
        <f>VLOOKUP(HI9,Sheet3!$AQ$7:$AV$83,4,0)</f>
        <v>0</v>
      </c>
      <c r="HM9" s="126">
        <f>HJ9/24</f>
        <v>0</v>
      </c>
      <c r="HN9" s="127"/>
      <c r="HQ9" s="183"/>
      <c r="HR9" s="183"/>
      <c r="HS9" s="23">
        <v>9884</v>
      </c>
      <c r="HT9" s="11">
        <v>0</v>
      </c>
      <c r="HU9" s="11">
        <v>0</v>
      </c>
      <c r="HV9" s="11">
        <v>0</v>
      </c>
      <c r="HW9" s="126">
        <f>HT9/24</f>
        <v>0</v>
      </c>
      <c r="HX9" s="127"/>
      <c r="HY9" s="183"/>
      <c r="IA9" s="194"/>
      <c r="IB9" s="194"/>
      <c r="IC9" s="23">
        <v>9884</v>
      </c>
      <c r="ID9" s="11">
        <v>0</v>
      </c>
      <c r="IE9" s="11">
        <v>0</v>
      </c>
      <c r="IF9" s="11">
        <v>0</v>
      </c>
      <c r="IG9" s="126">
        <f>ID9/24</f>
        <v>0</v>
      </c>
      <c r="IH9" s="127"/>
      <c r="II9" s="194"/>
      <c r="IM9" s="23">
        <v>9884</v>
      </c>
      <c r="IN9" s="11">
        <v>0</v>
      </c>
      <c r="IO9" s="11">
        <v>0</v>
      </c>
      <c r="IP9" s="11">
        <v>0</v>
      </c>
      <c r="IQ9" s="126">
        <f>IN9/24</f>
        <v>0</v>
      </c>
      <c r="IR9" s="127"/>
      <c r="IU9" s="202"/>
      <c r="IV9" s="202"/>
      <c r="IW9" s="23">
        <v>9884</v>
      </c>
      <c r="IX9" s="11">
        <v>0</v>
      </c>
      <c r="IY9" s="11">
        <v>0</v>
      </c>
      <c r="IZ9" s="11">
        <v>0</v>
      </c>
      <c r="JA9" s="126">
        <f>IX9/24</f>
        <v>0</v>
      </c>
      <c r="JB9" s="127"/>
      <c r="JC9" s="202"/>
      <c r="JE9" s="204"/>
      <c r="JF9" s="204"/>
      <c r="JG9" s="23">
        <v>9884</v>
      </c>
      <c r="JH9" s="11">
        <v>0</v>
      </c>
      <c r="JI9" s="11">
        <v>0</v>
      </c>
      <c r="JJ9" s="11">
        <v>0</v>
      </c>
      <c r="JK9" s="126">
        <f>JH9/24</f>
        <v>0</v>
      </c>
      <c r="JL9" s="127"/>
      <c r="JM9" s="204"/>
      <c r="JN9" s="204"/>
      <c r="JQ9" s="23">
        <v>9884</v>
      </c>
      <c r="JR9" s="11">
        <v>0</v>
      </c>
      <c r="JS9" s="11">
        <v>0</v>
      </c>
      <c r="JT9" s="11">
        <v>0</v>
      </c>
      <c r="JU9" s="126">
        <f>JR9/24</f>
        <v>0</v>
      </c>
      <c r="JV9" s="127"/>
      <c r="JX9" s="213"/>
      <c r="JY9" s="213"/>
      <c r="JZ9" s="213"/>
      <c r="KA9" s="23">
        <v>9884</v>
      </c>
      <c r="KB9" s="11">
        <v>0</v>
      </c>
      <c r="KC9" s="11">
        <v>0</v>
      </c>
      <c r="KD9" s="11">
        <v>0</v>
      </c>
      <c r="KE9" s="126">
        <f>KB9/24</f>
        <v>0</v>
      </c>
      <c r="KF9" s="127"/>
      <c r="KG9" s="213"/>
      <c r="KI9" s="219"/>
      <c r="KJ9" s="219"/>
      <c r="KK9" s="23">
        <v>9884</v>
      </c>
      <c r="KL9" s="11">
        <v>0</v>
      </c>
      <c r="KM9" s="11">
        <v>0</v>
      </c>
      <c r="KN9" s="11">
        <v>0</v>
      </c>
      <c r="KO9" s="126">
        <f>KL9/24</f>
        <v>0</v>
      </c>
      <c r="KP9" s="127"/>
      <c r="KQ9" s="219"/>
      <c r="KU9" s="23">
        <v>9884</v>
      </c>
      <c r="KV9" s="11">
        <v>0</v>
      </c>
      <c r="KW9" s="11">
        <v>0</v>
      </c>
      <c r="KX9" s="11">
        <v>0</v>
      </c>
      <c r="KY9" s="126">
        <f>KV9/24</f>
        <v>0</v>
      </c>
      <c r="KZ9" s="127"/>
      <c r="LE9" s="23">
        <v>9884</v>
      </c>
      <c r="LF9" s="11">
        <v>0</v>
      </c>
      <c r="LG9" s="11">
        <v>0</v>
      </c>
      <c r="LH9" s="11">
        <v>0</v>
      </c>
      <c r="LI9" s="126">
        <f>LF9/24</f>
        <v>0</v>
      </c>
      <c r="LJ9" s="127"/>
      <c r="LL9" s="231"/>
      <c r="LM9" s="231"/>
      <c r="LN9" s="231"/>
      <c r="LO9" s="23">
        <v>9884</v>
      </c>
      <c r="LP9" s="11">
        <v>0</v>
      </c>
      <c r="LQ9" s="11">
        <v>0</v>
      </c>
      <c r="LR9" s="11">
        <v>0</v>
      </c>
      <c r="LS9" s="126">
        <f>LP9/24</f>
        <v>0</v>
      </c>
      <c r="LT9" s="127"/>
      <c r="LU9" s="231"/>
      <c r="LW9" s="231"/>
      <c r="LX9" s="231"/>
      <c r="LY9" s="23">
        <v>9884</v>
      </c>
      <c r="LZ9" s="11">
        <v>0</v>
      </c>
      <c r="MA9" s="11">
        <v>0</v>
      </c>
      <c r="MB9" s="11">
        <v>0</v>
      </c>
      <c r="MC9" s="126">
        <f>LZ9/24</f>
        <v>0</v>
      </c>
      <c r="MD9" s="127"/>
      <c r="ME9" s="231"/>
      <c r="MF9" s="231"/>
      <c r="MG9" s="231"/>
      <c r="MH9" s="231"/>
      <c r="MI9" s="23">
        <v>9884</v>
      </c>
      <c r="MJ9" s="11">
        <v>0</v>
      </c>
      <c r="MK9" s="11">
        <v>0</v>
      </c>
      <c r="ML9" s="11">
        <v>0</v>
      </c>
      <c r="MM9" s="126">
        <f>MJ9/24</f>
        <v>0</v>
      </c>
      <c r="MN9" s="127"/>
      <c r="MO9" s="231"/>
      <c r="MP9" s="231"/>
      <c r="MQ9" s="231"/>
      <c r="MR9" s="231"/>
      <c r="MS9" s="23">
        <v>9884</v>
      </c>
      <c r="MT9" s="11">
        <v>0</v>
      </c>
      <c r="MU9" s="11">
        <v>0</v>
      </c>
      <c r="MV9" s="11">
        <v>0</v>
      </c>
      <c r="MW9" s="126">
        <f>MT9/24</f>
        <v>0</v>
      </c>
      <c r="MX9" s="127"/>
      <c r="MY9" s="231"/>
      <c r="MZ9" s="246"/>
      <c r="NA9" s="246"/>
      <c r="NB9" s="246"/>
      <c r="NC9" s="23">
        <v>9884</v>
      </c>
      <c r="ND9" s="11">
        <v>0</v>
      </c>
      <c r="NE9" s="11">
        <v>0</v>
      </c>
      <c r="NF9" s="11">
        <v>0</v>
      </c>
      <c r="NG9" s="126">
        <f>ND9/24</f>
        <v>0</v>
      </c>
      <c r="NH9" s="127"/>
      <c r="NK9" s="250"/>
      <c r="NL9" s="250"/>
      <c r="NM9" s="23">
        <v>9884</v>
      </c>
      <c r="NN9" s="11">
        <v>0</v>
      </c>
      <c r="NO9" s="11">
        <v>0</v>
      </c>
      <c r="NP9" s="11">
        <v>0</v>
      </c>
      <c r="NQ9" s="126">
        <f>NN9/24</f>
        <v>0</v>
      </c>
      <c r="NR9" s="127"/>
      <c r="NS9" s="232"/>
      <c r="NU9" s="250"/>
      <c r="NV9" s="250"/>
      <c r="NW9" s="23">
        <v>9884</v>
      </c>
      <c r="NX9" s="11">
        <v>0</v>
      </c>
      <c r="NY9" s="11">
        <v>0</v>
      </c>
      <c r="NZ9" s="11">
        <v>0</v>
      </c>
      <c r="OA9" s="126">
        <f>NX9/24</f>
        <v>0</v>
      </c>
      <c r="OB9" s="127"/>
      <c r="OC9" s="232"/>
      <c r="OE9" s="250"/>
      <c r="OF9" s="250"/>
      <c r="OG9" s="23">
        <v>9884</v>
      </c>
      <c r="OH9" s="11">
        <v>0</v>
      </c>
      <c r="OI9" s="11">
        <v>0</v>
      </c>
      <c r="OJ9" s="11">
        <v>0</v>
      </c>
      <c r="OK9" s="126">
        <f>OH9/24</f>
        <v>0</v>
      </c>
      <c r="OL9" s="127"/>
      <c r="OM9" s="232"/>
      <c r="OQ9" s="23">
        <v>9884</v>
      </c>
      <c r="OR9" s="11">
        <v>0</v>
      </c>
      <c r="OS9" s="11">
        <v>0</v>
      </c>
      <c r="OT9" s="11">
        <v>0</v>
      </c>
      <c r="OU9" s="126">
        <f>OR9/24</f>
        <v>0</v>
      </c>
      <c r="OV9" s="127"/>
      <c r="OW9" s="232"/>
    </row>
    <row r="10" spans="1:413" ht="15.75" x14ac:dyDescent="0.25">
      <c r="A10">
        <v>2</v>
      </c>
      <c r="B10" s="13">
        <v>10005</v>
      </c>
      <c r="C10" s="13" t="s">
        <v>0</v>
      </c>
      <c r="D10" s="14">
        <v>38.08</v>
      </c>
      <c r="E10" s="8"/>
      <c r="F10" s="8"/>
      <c r="G10" s="8"/>
      <c r="H10" s="8"/>
      <c r="J10" s="23">
        <v>10005</v>
      </c>
      <c r="K10" s="23">
        <v>0</v>
      </c>
      <c r="L10" s="23">
        <v>0</v>
      </c>
      <c r="M10" s="23">
        <v>0</v>
      </c>
      <c r="N10" s="23">
        <v>0</v>
      </c>
      <c r="O10" s="23"/>
      <c r="P10" s="22"/>
      <c r="R10" s="23">
        <v>10005</v>
      </c>
      <c r="S10" s="23">
        <v>0</v>
      </c>
      <c r="T10" s="23">
        <v>0</v>
      </c>
      <c r="U10" s="23">
        <v>0</v>
      </c>
      <c r="V10" s="23">
        <v>0</v>
      </c>
      <c r="W10" s="23"/>
      <c r="X10" s="22"/>
      <c r="Z10" s="23">
        <v>10005</v>
      </c>
      <c r="AA10" s="23">
        <v>0</v>
      </c>
      <c r="AB10" s="23">
        <v>0</v>
      </c>
      <c r="AC10" s="23">
        <v>0</v>
      </c>
      <c r="AD10" s="23">
        <v>0</v>
      </c>
      <c r="AE10" s="23"/>
      <c r="AF10" s="83"/>
      <c r="AG10">
        <v>2</v>
      </c>
      <c r="AH10" s="13">
        <v>10005</v>
      </c>
      <c r="AI10" s="13" t="s">
        <v>0</v>
      </c>
      <c r="AJ10" s="14">
        <v>38.08</v>
      </c>
      <c r="AL10" s="23">
        <v>10005</v>
      </c>
      <c r="AM10" s="23">
        <v>0</v>
      </c>
      <c r="AN10" s="23">
        <v>0</v>
      </c>
      <c r="AO10" s="23">
        <v>0</v>
      </c>
      <c r="AP10" s="25">
        <f t="shared" ref="AP10:AP73" si="0">AM10/24</f>
        <v>0</v>
      </c>
      <c r="AQ10" s="25"/>
      <c r="AT10" s="39"/>
      <c r="AU10" s="31">
        <v>10005</v>
      </c>
      <c r="AV10" s="31">
        <v>0</v>
      </c>
      <c r="AW10" s="31">
        <v>0</v>
      </c>
      <c r="AX10" s="31">
        <v>0</v>
      </c>
      <c r="AY10" s="30">
        <f t="shared" ref="AY10" si="1">AV10/24</f>
        <v>0</v>
      </c>
      <c r="AZ10" s="40"/>
      <c r="BD10" s="31">
        <v>10005</v>
      </c>
      <c r="BE10" s="30">
        <v>0</v>
      </c>
      <c r="BF10" s="30">
        <v>0</v>
      </c>
      <c r="BG10" s="30">
        <v>0</v>
      </c>
      <c r="BH10" s="30">
        <f t="shared" ref="BH10" si="2">BE10/24</f>
        <v>0</v>
      </c>
      <c r="BI10" s="40"/>
      <c r="BJ10" s="91"/>
      <c r="BK10" s="91"/>
      <c r="BL10" s="91"/>
      <c r="BN10" s="31">
        <v>10005</v>
      </c>
      <c r="BO10" s="30">
        <v>0</v>
      </c>
      <c r="BP10" s="30">
        <v>0</v>
      </c>
      <c r="BQ10" s="30">
        <v>0</v>
      </c>
      <c r="BR10" s="30">
        <f t="shared" ref="BR10" si="3">BO10/24</f>
        <v>0</v>
      </c>
      <c r="BS10" s="40"/>
      <c r="BV10" s="91"/>
      <c r="BX10" s="31">
        <v>10005</v>
      </c>
      <c r="BY10" s="11">
        <v>0</v>
      </c>
      <c r="BZ10" s="11">
        <v>0</v>
      </c>
      <c r="CA10" s="11">
        <v>0</v>
      </c>
      <c r="CB10" s="30">
        <f t="shared" ref="CB10" si="4">BY10/24</f>
        <v>0</v>
      </c>
      <c r="CC10" s="40"/>
      <c r="CH10" s="23">
        <v>10005</v>
      </c>
      <c r="CI10" s="23">
        <v>0</v>
      </c>
      <c r="CJ10" s="11">
        <v>0</v>
      </c>
      <c r="CK10" s="11">
        <v>0</v>
      </c>
      <c r="CL10" s="30">
        <f t="shared" ref="CL10:CL73" si="5">CI10/24</f>
        <v>0</v>
      </c>
      <c r="CM10" s="40"/>
      <c r="CR10" s="23">
        <v>10005</v>
      </c>
      <c r="CS10" s="23">
        <v>0</v>
      </c>
      <c r="CT10" s="11">
        <v>0</v>
      </c>
      <c r="CU10" s="11">
        <v>0</v>
      </c>
      <c r="CV10" s="30">
        <f t="shared" ref="CV10:CV73" si="6">CS10/24</f>
        <v>0</v>
      </c>
      <c r="CW10" s="40"/>
      <c r="DB10" s="23">
        <v>10005</v>
      </c>
      <c r="DC10" s="23">
        <v>0</v>
      </c>
      <c r="DD10" s="11">
        <v>0</v>
      </c>
      <c r="DE10" s="11">
        <v>0</v>
      </c>
      <c r="DF10" s="30">
        <f t="shared" ref="DF10:DF21" si="7">DC10/24</f>
        <v>0</v>
      </c>
      <c r="DG10" s="40"/>
      <c r="DL10" s="23">
        <v>10005</v>
      </c>
      <c r="DM10" s="23">
        <v>0</v>
      </c>
      <c r="DN10" s="11">
        <v>0</v>
      </c>
      <c r="DO10" s="11">
        <v>0</v>
      </c>
      <c r="DP10" s="30">
        <f t="shared" ref="DP10:DP22" si="8">DM10/24</f>
        <v>0</v>
      </c>
      <c r="DQ10" s="40"/>
      <c r="DV10" s="23">
        <v>10005</v>
      </c>
      <c r="DW10" s="23">
        <v>0</v>
      </c>
      <c r="DX10" s="11">
        <v>0</v>
      </c>
      <c r="DY10" s="11">
        <v>0</v>
      </c>
      <c r="DZ10" s="30">
        <f t="shared" ref="DZ10:DZ22" si="9">DW10/24</f>
        <v>0</v>
      </c>
      <c r="EA10" s="40"/>
      <c r="EB10" s="119"/>
      <c r="EF10" s="23">
        <v>10005</v>
      </c>
      <c r="EG10" s="23">
        <v>0</v>
      </c>
      <c r="EH10" s="11">
        <v>0</v>
      </c>
      <c r="EI10" s="11">
        <v>0</v>
      </c>
      <c r="EJ10" s="30">
        <f t="shared" ref="EJ10:EJ73" si="10">EG10/24</f>
        <v>0</v>
      </c>
      <c r="EK10" s="40"/>
      <c r="EP10" s="23">
        <v>10005</v>
      </c>
      <c r="EQ10" s="11">
        <v>0</v>
      </c>
      <c r="ER10" s="11">
        <v>0</v>
      </c>
      <c r="ES10" s="11">
        <v>0</v>
      </c>
      <c r="ET10" s="126">
        <f t="shared" ref="ET10:ET73" si="11">EQ10/24</f>
        <v>0</v>
      </c>
      <c r="EU10" s="127"/>
      <c r="EZ10" s="23">
        <v>10005</v>
      </c>
      <c r="FA10" s="11">
        <v>0</v>
      </c>
      <c r="FB10" s="11">
        <v>0</v>
      </c>
      <c r="FC10" s="11">
        <v>0</v>
      </c>
      <c r="FD10" s="126">
        <f t="shared" ref="FD10:FD73" si="12">FA10/24</f>
        <v>0</v>
      </c>
      <c r="FE10" s="127"/>
      <c r="FJ10" s="23">
        <v>10005</v>
      </c>
      <c r="FK10" s="11">
        <v>0</v>
      </c>
      <c r="FL10" s="11">
        <v>0</v>
      </c>
      <c r="FM10" s="11">
        <v>0</v>
      </c>
      <c r="FN10" s="126">
        <f t="shared" ref="FN10:FN11" si="13">FK10/24</f>
        <v>0</v>
      </c>
      <c r="FO10" s="127"/>
      <c r="FT10" s="23">
        <v>10005</v>
      </c>
      <c r="FU10" s="11">
        <v>0</v>
      </c>
      <c r="FV10" s="11">
        <v>0</v>
      </c>
      <c r="FW10" s="11">
        <v>0</v>
      </c>
      <c r="FX10" s="126">
        <f t="shared" ref="FX10" si="14">FU10/24</f>
        <v>0</v>
      </c>
      <c r="FY10" s="127"/>
      <c r="GD10" s="23">
        <v>10005</v>
      </c>
      <c r="GE10" s="11">
        <v>0</v>
      </c>
      <c r="GF10" s="11">
        <v>0</v>
      </c>
      <c r="GG10" s="11">
        <v>0</v>
      </c>
      <c r="GH10" s="126">
        <f t="shared" ref="GH10" si="15">GE10/24</f>
        <v>0</v>
      </c>
      <c r="GI10" s="127"/>
      <c r="GN10" s="23">
        <v>10005</v>
      </c>
      <c r="GO10" s="11">
        <v>0</v>
      </c>
      <c r="GP10" s="11">
        <v>0</v>
      </c>
      <c r="GQ10" s="11">
        <v>0</v>
      </c>
      <c r="GR10" s="126">
        <f t="shared" ref="GR10" si="16">GO10/24</f>
        <v>0</v>
      </c>
      <c r="GS10" s="127"/>
      <c r="GX10" s="23">
        <v>10005</v>
      </c>
      <c r="GY10" s="11">
        <f>VLOOKUP(GX10,Sheet3!$AJ$7:$AN$83,2,0)</f>
        <v>0</v>
      </c>
      <c r="GZ10" s="11">
        <f>VLOOKUP(GX10,Sheet3!$AJ$7:$AN$83,3,0)</f>
        <v>0</v>
      </c>
      <c r="HA10" s="11">
        <f>VLOOKUP(GX10,Sheet3!$AJ$7:$AN$83,4,0)</f>
        <v>0</v>
      </c>
      <c r="HB10" s="126">
        <f t="shared" ref="HB10:HB73" si="17">GY10/24</f>
        <v>0</v>
      </c>
      <c r="HC10" s="127"/>
      <c r="HG10" s="159"/>
      <c r="HH10" s="159"/>
      <c r="HI10" s="23">
        <v>10005</v>
      </c>
      <c r="HJ10" s="11">
        <f>VLOOKUP(HI10,Sheet3!$AQ$7:$AU$83,2,0)</f>
        <v>0</v>
      </c>
      <c r="HK10" s="11">
        <f>VLOOKUP(HI10,Sheet3!$AQ$7:$AU$83,3,0)</f>
        <v>0</v>
      </c>
      <c r="HL10" s="11">
        <f>VLOOKUP(HI10,Sheet3!$AQ$7:$AV$83,4,0)</f>
        <v>0</v>
      </c>
      <c r="HM10" s="126">
        <f t="shared" ref="HM10:HM73" si="18">HJ10/24</f>
        <v>0</v>
      </c>
      <c r="HN10" s="127"/>
      <c r="HQ10" s="183"/>
      <c r="HR10" s="183"/>
      <c r="HS10" s="23">
        <v>10005</v>
      </c>
      <c r="HT10" s="11">
        <v>0</v>
      </c>
      <c r="HU10" s="11">
        <v>0</v>
      </c>
      <c r="HV10" s="11">
        <v>0</v>
      </c>
      <c r="HW10" s="126">
        <f t="shared" ref="HW10:HW73" si="19">HT10/24</f>
        <v>0</v>
      </c>
      <c r="HX10" s="127"/>
      <c r="HY10" s="183"/>
      <c r="IA10" s="194"/>
      <c r="IB10" s="194"/>
      <c r="IC10" s="23">
        <v>10005</v>
      </c>
      <c r="ID10" s="11">
        <v>0</v>
      </c>
      <c r="IE10" s="11">
        <v>0</v>
      </c>
      <c r="IF10" s="11">
        <v>0</v>
      </c>
      <c r="IG10" s="126">
        <f t="shared" ref="IG10" si="20">ID10/24</f>
        <v>0</v>
      </c>
      <c r="IH10" s="127"/>
      <c r="II10" s="194"/>
      <c r="IM10" s="23">
        <v>10005</v>
      </c>
      <c r="IN10" s="11">
        <v>0</v>
      </c>
      <c r="IO10" s="11">
        <v>0</v>
      </c>
      <c r="IP10" s="11">
        <v>0</v>
      </c>
      <c r="IQ10" s="126">
        <f t="shared" ref="IQ10" si="21">IN10/24</f>
        <v>0</v>
      </c>
      <c r="IR10" s="127"/>
      <c r="IU10" s="202"/>
      <c r="IV10" s="202"/>
      <c r="IW10" s="23">
        <v>10005</v>
      </c>
      <c r="IX10" s="11">
        <v>0</v>
      </c>
      <c r="IY10" s="11">
        <v>0</v>
      </c>
      <c r="IZ10" s="11">
        <v>0</v>
      </c>
      <c r="JA10" s="126">
        <f t="shared" ref="JA10:JA73" si="22">IX10/24</f>
        <v>0</v>
      </c>
      <c r="JB10" s="127"/>
      <c r="JC10" s="202"/>
      <c r="JE10" s="204"/>
      <c r="JF10" s="204"/>
      <c r="JG10" s="23">
        <v>10005</v>
      </c>
      <c r="JH10" s="11">
        <v>0</v>
      </c>
      <c r="JI10" s="11">
        <v>0</v>
      </c>
      <c r="JJ10" s="11">
        <v>0</v>
      </c>
      <c r="JK10" s="126">
        <f t="shared" ref="JK10" si="23">JH10/24</f>
        <v>0</v>
      </c>
      <c r="JL10" s="127"/>
      <c r="JM10" s="204"/>
      <c r="JN10" s="204"/>
      <c r="JQ10" s="23">
        <v>10005</v>
      </c>
      <c r="JR10" s="11">
        <v>0</v>
      </c>
      <c r="JS10" s="11">
        <v>0</v>
      </c>
      <c r="JT10" s="11">
        <v>0</v>
      </c>
      <c r="JU10" s="126">
        <f>JR10/24</f>
        <v>0</v>
      </c>
      <c r="JV10" s="127"/>
      <c r="JX10" s="213"/>
      <c r="JY10" s="213"/>
      <c r="JZ10" s="213"/>
      <c r="KA10" s="23">
        <v>10005</v>
      </c>
      <c r="KB10" s="11">
        <v>0</v>
      </c>
      <c r="KC10" s="11">
        <v>0</v>
      </c>
      <c r="KD10" s="11">
        <v>0</v>
      </c>
      <c r="KE10" s="126">
        <f>KB10/24</f>
        <v>0</v>
      </c>
      <c r="KF10" s="127"/>
      <c r="KG10" s="213"/>
      <c r="KI10" s="219"/>
      <c r="KJ10" s="219"/>
      <c r="KK10" s="23">
        <v>10005</v>
      </c>
      <c r="KL10" s="11">
        <v>0</v>
      </c>
      <c r="KM10" s="11">
        <v>0</v>
      </c>
      <c r="KN10" s="11">
        <v>0</v>
      </c>
      <c r="KO10" s="126">
        <f t="shared" ref="KO10:KO73" si="24">KL10/24</f>
        <v>0</v>
      </c>
      <c r="KP10" s="127"/>
      <c r="KQ10" s="219"/>
      <c r="KU10" s="23">
        <v>10005</v>
      </c>
      <c r="KV10" s="11">
        <v>0</v>
      </c>
      <c r="KW10" s="11">
        <v>0</v>
      </c>
      <c r="KX10" s="11">
        <v>0</v>
      </c>
      <c r="KY10" s="126">
        <f t="shared" ref="KY10" si="25">KV10/24</f>
        <v>0</v>
      </c>
      <c r="KZ10" s="127"/>
      <c r="LE10" s="23">
        <v>10005</v>
      </c>
      <c r="LF10" s="11">
        <v>0</v>
      </c>
      <c r="LG10" s="11">
        <v>0</v>
      </c>
      <c r="LH10" s="11">
        <v>0</v>
      </c>
      <c r="LI10" s="126">
        <f t="shared" ref="LI10" si="26">LF10/24</f>
        <v>0</v>
      </c>
      <c r="LJ10" s="127"/>
      <c r="LL10" s="231"/>
      <c r="LM10" s="231"/>
      <c r="LN10" s="231"/>
      <c r="LO10" s="23">
        <v>10005</v>
      </c>
      <c r="LP10" s="11">
        <v>0</v>
      </c>
      <c r="LQ10" s="11">
        <v>0</v>
      </c>
      <c r="LR10" s="11">
        <v>0</v>
      </c>
      <c r="LS10" s="126">
        <f t="shared" ref="LS10" si="27">LP10/24</f>
        <v>0</v>
      </c>
      <c r="LT10" s="127"/>
      <c r="LU10" s="231"/>
      <c r="LW10" s="231"/>
      <c r="LX10" s="231"/>
      <c r="LY10" s="23">
        <v>10005</v>
      </c>
      <c r="LZ10" s="11">
        <v>0</v>
      </c>
      <c r="MA10" s="11">
        <v>0</v>
      </c>
      <c r="MB10" s="11">
        <v>0</v>
      </c>
      <c r="MC10" s="126">
        <f t="shared" ref="MC10" si="28">LZ10/24</f>
        <v>0</v>
      </c>
      <c r="MD10" s="127"/>
      <c r="ME10" s="231"/>
      <c r="MF10" s="231"/>
      <c r="MG10" s="231"/>
      <c r="MH10" s="231"/>
      <c r="MI10" s="23">
        <v>10005</v>
      </c>
      <c r="MJ10" s="11">
        <v>0</v>
      </c>
      <c r="MK10" s="11">
        <v>0</v>
      </c>
      <c r="ML10" s="11">
        <v>0</v>
      </c>
      <c r="MM10" s="126">
        <f t="shared" ref="MM10" si="29">MJ10/24</f>
        <v>0</v>
      </c>
      <c r="MN10" s="127"/>
      <c r="MO10" s="231"/>
      <c r="MP10" s="231"/>
      <c r="MQ10" s="231"/>
      <c r="MR10" s="231"/>
      <c r="MS10" s="23">
        <v>10005</v>
      </c>
      <c r="MT10" s="11">
        <v>0</v>
      </c>
      <c r="MU10" s="11">
        <v>0</v>
      </c>
      <c r="MV10" s="11">
        <v>0</v>
      </c>
      <c r="MW10" s="126">
        <f t="shared" ref="MW10" si="30">MT10/24</f>
        <v>0</v>
      </c>
      <c r="MX10" s="127"/>
      <c r="MY10" s="231"/>
      <c r="MZ10" s="246"/>
      <c r="NA10" s="246"/>
      <c r="NB10" s="246"/>
      <c r="NC10" s="23">
        <v>10005</v>
      </c>
      <c r="ND10" s="11">
        <v>0</v>
      </c>
      <c r="NE10" s="11">
        <v>0</v>
      </c>
      <c r="NF10" s="11">
        <v>0</v>
      </c>
      <c r="NG10" s="126">
        <f t="shared" ref="NG10" si="31">ND10/24</f>
        <v>0</v>
      </c>
      <c r="NH10" s="127"/>
      <c r="NK10" s="250"/>
      <c r="NL10" s="250"/>
      <c r="NM10" s="23">
        <v>10005</v>
      </c>
      <c r="NN10" s="11">
        <v>0</v>
      </c>
      <c r="NO10" s="11">
        <v>0</v>
      </c>
      <c r="NP10" s="11">
        <v>0</v>
      </c>
      <c r="NQ10" s="126">
        <f t="shared" ref="NQ10" si="32">NN10/24</f>
        <v>0</v>
      </c>
      <c r="NR10" s="127"/>
      <c r="NS10" s="232"/>
      <c r="NU10" s="250"/>
      <c r="NV10" s="250"/>
      <c r="NW10" s="23">
        <v>10005</v>
      </c>
      <c r="NX10" s="11">
        <v>0</v>
      </c>
      <c r="NY10" s="11">
        <v>0</v>
      </c>
      <c r="NZ10" s="11">
        <v>0</v>
      </c>
      <c r="OA10" s="126">
        <f t="shared" ref="OA10" si="33">NX10/24</f>
        <v>0</v>
      </c>
      <c r="OB10" s="127"/>
      <c r="OC10" s="232"/>
      <c r="OE10" s="250"/>
      <c r="OF10" s="250"/>
      <c r="OG10" s="23">
        <v>10005</v>
      </c>
      <c r="OH10" s="11">
        <v>0</v>
      </c>
      <c r="OI10" s="11">
        <v>0</v>
      </c>
      <c r="OJ10" s="11">
        <v>0</v>
      </c>
      <c r="OK10" s="126">
        <f t="shared" ref="OK10" si="34">OH10/24</f>
        <v>0</v>
      </c>
      <c r="OL10" s="127"/>
      <c r="OM10" s="232"/>
      <c r="OQ10" s="23">
        <v>10005</v>
      </c>
      <c r="OR10" s="11">
        <v>0</v>
      </c>
      <c r="OS10" s="11">
        <v>0</v>
      </c>
      <c r="OT10" s="11">
        <v>0</v>
      </c>
      <c r="OU10" s="126">
        <f t="shared" ref="OU10" si="35">OR10/24</f>
        <v>0</v>
      </c>
      <c r="OV10" s="127"/>
      <c r="OW10" s="232"/>
    </row>
    <row r="11" spans="1:413" ht="15.75" x14ac:dyDescent="0.25">
      <c r="A11">
        <v>3</v>
      </c>
      <c r="B11" s="1">
        <v>9883</v>
      </c>
      <c r="C11" s="1" t="s">
        <v>1</v>
      </c>
      <c r="D11" s="2">
        <v>37.46</v>
      </c>
      <c r="E11" s="8"/>
      <c r="F11" s="8"/>
      <c r="G11" s="8"/>
      <c r="H11" s="8"/>
      <c r="J11" s="15">
        <v>9883</v>
      </c>
      <c r="K11" s="15">
        <v>15.744300000000001</v>
      </c>
      <c r="L11" s="15">
        <v>2.1097999999999999</v>
      </c>
      <c r="M11" s="15">
        <v>0.80379999999999996</v>
      </c>
      <c r="N11" s="24">
        <f>K11/24</f>
        <v>0.6560125</v>
      </c>
      <c r="O11" s="10">
        <f t="shared" ref="O11:O42" si="36">D11-M11</f>
        <v>36.656199999999998</v>
      </c>
      <c r="P11" s="18"/>
      <c r="R11" s="20">
        <v>9883</v>
      </c>
      <c r="S11" s="9">
        <v>15.8393</v>
      </c>
      <c r="T11" s="9">
        <v>2.1225000000000001</v>
      </c>
      <c r="U11" s="9">
        <v>0.80869999999999997</v>
      </c>
      <c r="V11" s="24">
        <f>S11/24</f>
        <v>0.65997083333333328</v>
      </c>
      <c r="W11" s="10">
        <f>D11-U11</f>
        <v>36.651299999999999</v>
      </c>
      <c r="X11" s="18"/>
      <c r="Z11" s="27">
        <v>9883</v>
      </c>
      <c r="AA11" s="9">
        <v>16.073</v>
      </c>
      <c r="AB11" s="9">
        <v>2.1537999999999999</v>
      </c>
      <c r="AC11" s="9">
        <v>0.8206</v>
      </c>
      <c r="AD11" s="24">
        <f>AA11/24</f>
        <v>0.66970833333333335</v>
      </c>
      <c r="AE11" s="10">
        <f>D11-AC11</f>
        <v>36.639400000000002</v>
      </c>
      <c r="AF11" s="79"/>
      <c r="AG11">
        <v>3</v>
      </c>
      <c r="AH11" s="1">
        <v>9883</v>
      </c>
      <c r="AI11" s="1" t="s">
        <v>1</v>
      </c>
      <c r="AJ11" s="2">
        <v>37.46</v>
      </c>
      <c r="AL11" s="32">
        <v>9883</v>
      </c>
      <c r="AM11" s="9">
        <v>16.325399999999998</v>
      </c>
      <c r="AN11" s="9">
        <v>2.1877</v>
      </c>
      <c r="AO11" s="9">
        <v>0.83350000000000002</v>
      </c>
      <c r="AP11" s="37">
        <f>AM11/24</f>
        <v>0.68022499999999997</v>
      </c>
      <c r="AQ11" s="53">
        <f>AJ11-AO11</f>
        <v>36.6265</v>
      </c>
      <c r="AT11" s="39"/>
      <c r="AU11" s="38">
        <v>9883</v>
      </c>
      <c r="AV11" s="9">
        <v>16.432700000000001</v>
      </c>
      <c r="AW11" s="43">
        <v>2.202</v>
      </c>
      <c r="AX11" s="43">
        <v>0.83899999999999997</v>
      </c>
      <c r="AY11" s="47">
        <f>AV11/24</f>
        <v>0.68469583333333339</v>
      </c>
      <c r="AZ11" s="56">
        <f>AJ11-AX11</f>
        <v>36.621000000000002</v>
      </c>
      <c r="BA11" s="3">
        <f>AVERAGE(AZ11:AZ81)</f>
        <v>37.149207042253515</v>
      </c>
      <c r="BD11" s="54">
        <v>9883</v>
      </c>
      <c r="BE11" s="53">
        <v>16.444900000000001</v>
      </c>
      <c r="BF11" s="58">
        <v>2.2037</v>
      </c>
      <c r="BG11" s="58">
        <v>0.83960000000000001</v>
      </c>
      <c r="BH11" s="47">
        <f>BE11/24</f>
        <v>0.68520416666666673</v>
      </c>
      <c r="BI11" s="56">
        <f>AJ11-BG11</f>
        <v>36.620400000000004</v>
      </c>
      <c r="BJ11" s="91"/>
      <c r="BK11" s="91"/>
      <c r="BL11" s="91"/>
      <c r="BN11" s="9">
        <v>9883</v>
      </c>
      <c r="BO11" s="53">
        <v>16.490200000000002</v>
      </c>
      <c r="BP11" s="53">
        <v>2.2098</v>
      </c>
      <c r="BQ11" s="53">
        <v>0.84189999999999998</v>
      </c>
      <c r="BR11" s="53">
        <f>BO11/24</f>
        <v>0.68709166666666677</v>
      </c>
      <c r="BS11" s="53">
        <f>AJ11-BQ11</f>
        <v>36.618099999999998</v>
      </c>
      <c r="BV11" s="91"/>
      <c r="BX11" s="93">
        <v>9883</v>
      </c>
      <c r="BY11" s="9">
        <v>16.5794</v>
      </c>
      <c r="BZ11" s="9">
        <v>2.2216999999999998</v>
      </c>
      <c r="CA11" s="9">
        <v>0.84650000000000003</v>
      </c>
      <c r="CB11" s="58">
        <f>BY11/24</f>
        <v>0.69080833333333336</v>
      </c>
      <c r="CC11" s="53">
        <f>AJ11-CA11</f>
        <v>36.613500000000002</v>
      </c>
      <c r="CG11">
        <v>1</v>
      </c>
      <c r="CH11" s="93">
        <v>9883</v>
      </c>
      <c r="CI11" s="93">
        <v>16.656099999999999</v>
      </c>
      <c r="CJ11" s="9">
        <v>2.2320000000000002</v>
      </c>
      <c r="CK11" s="9">
        <v>0.85040000000000004</v>
      </c>
      <c r="CL11" s="47">
        <f t="shared" si="5"/>
        <v>0.69400416666666664</v>
      </c>
      <c r="CM11" s="53">
        <f>AJ11-CK11</f>
        <v>36.6096</v>
      </c>
      <c r="CQ11">
        <v>1</v>
      </c>
      <c r="CR11" s="98">
        <v>9883</v>
      </c>
      <c r="CS11" s="101">
        <v>16.752600000000001</v>
      </c>
      <c r="CT11" s="101">
        <v>2.2448999999999999</v>
      </c>
      <c r="CU11" s="101">
        <v>0.85529999999999995</v>
      </c>
      <c r="CV11" s="47">
        <f t="shared" si="6"/>
        <v>0.69802500000000001</v>
      </c>
      <c r="CW11" s="53">
        <f t="shared" ref="CW11:CW42" si="37">AJ11-CU11</f>
        <v>36.604700000000001</v>
      </c>
      <c r="DA11">
        <v>1</v>
      </c>
      <c r="DB11" s="106">
        <v>9883</v>
      </c>
      <c r="DC11" s="107">
        <v>16.7621</v>
      </c>
      <c r="DD11" s="107">
        <v>2.2462</v>
      </c>
      <c r="DE11" s="107">
        <v>0.85580000000000001</v>
      </c>
      <c r="DF11" s="47">
        <f t="shared" si="7"/>
        <v>0.69842083333333338</v>
      </c>
      <c r="DG11" s="53">
        <f>AJ11-DE11</f>
        <v>36.604199999999999</v>
      </c>
      <c r="DK11">
        <v>1</v>
      </c>
      <c r="DL11" s="110">
        <v>9883</v>
      </c>
      <c r="DM11" s="53">
        <v>16.872199999999999</v>
      </c>
      <c r="DN11" s="53">
        <v>2.2608999999999999</v>
      </c>
      <c r="DO11" s="53">
        <v>0.86140000000000005</v>
      </c>
      <c r="DP11" s="47">
        <f t="shared" si="8"/>
        <v>0.70300833333333335</v>
      </c>
      <c r="DQ11" s="53">
        <f>AJ11-DO11</f>
        <v>36.598599999999998</v>
      </c>
      <c r="DS11" s="3">
        <f>DM11-DC11</f>
        <v>0.1100999999999992</v>
      </c>
      <c r="DU11">
        <v>1</v>
      </c>
      <c r="DV11" s="115">
        <v>9883</v>
      </c>
      <c r="DW11" s="9">
        <v>16.940799999999999</v>
      </c>
      <c r="DX11" s="9">
        <v>2.2700999999999998</v>
      </c>
      <c r="DY11" s="9">
        <v>0.8649</v>
      </c>
      <c r="DZ11" s="47">
        <f t="shared" si="9"/>
        <v>0.70586666666666664</v>
      </c>
      <c r="EA11" s="53">
        <f>AJ11-DY11</f>
        <v>36.595100000000002</v>
      </c>
      <c r="EB11" s="3"/>
      <c r="EE11">
        <v>1</v>
      </c>
      <c r="EF11" s="118">
        <v>9883</v>
      </c>
      <c r="EG11" s="9">
        <v>17.047999999999998</v>
      </c>
      <c r="EH11" s="9">
        <v>2.2845</v>
      </c>
      <c r="EI11" s="9">
        <v>0.87039999999999995</v>
      </c>
      <c r="EJ11" s="47">
        <f t="shared" si="10"/>
        <v>0.71033333333333326</v>
      </c>
      <c r="EK11" s="53">
        <f>AJ11-EI11</f>
        <v>36.589600000000004</v>
      </c>
      <c r="EM11" s="3">
        <f>EK11-EA11</f>
        <v>-5.49999999999784E-3</v>
      </c>
      <c r="EN11" s="3"/>
      <c r="EO11">
        <v>1</v>
      </c>
      <c r="EP11" s="121">
        <v>9883</v>
      </c>
      <c r="EQ11" s="125">
        <v>17.261099999999999</v>
      </c>
      <c r="ER11" s="125">
        <v>2.3130999999999999</v>
      </c>
      <c r="ES11" s="128">
        <v>0.88129999999999997</v>
      </c>
      <c r="ET11" s="130">
        <f t="shared" si="11"/>
        <v>0.71921249999999992</v>
      </c>
      <c r="EU11" s="131">
        <f>AJ11-ES11</f>
        <v>36.578699999999998</v>
      </c>
      <c r="EX11" s="3"/>
      <c r="EY11">
        <v>1</v>
      </c>
      <c r="EZ11" s="135">
        <v>9883</v>
      </c>
      <c r="FA11" s="135">
        <v>17.361599999999999</v>
      </c>
      <c r="FB11" s="135">
        <v>2.3264999999999998</v>
      </c>
      <c r="FC11" s="135">
        <v>0.88639999999999997</v>
      </c>
      <c r="FD11" s="136">
        <f t="shared" si="12"/>
        <v>0.72339999999999993</v>
      </c>
      <c r="FE11" s="131">
        <f>AJ11-FC11</f>
        <v>36.573599999999999</v>
      </c>
      <c r="FG11" s="123">
        <f>FE11-EU11</f>
        <v>-5.0999999999987722E-3</v>
      </c>
      <c r="FH11" s="3"/>
      <c r="FI11">
        <v>1</v>
      </c>
      <c r="FJ11" s="145">
        <v>9883</v>
      </c>
      <c r="FK11" s="9">
        <v>17.4955</v>
      </c>
      <c r="FL11" s="9">
        <v>2.3445</v>
      </c>
      <c r="FM11" s="9">
        <v>0.89319999999999999</v>
      </c>
      <c r="FN11" s="146">
        <f t="shared" si="13"/>
        <v>0.72897916666666662</v>
      </c>
      <c r="FO11" s="131">
        <f>AJ11-FM11</f>
        <v>36.566800000000001</v>
      </c>
      <c r="FP11" s="123">
        <f>FO11-FE11</f>
        <v>-6.7999999999983629E-3</v>
      </c>
      <c r="FS11">
        <v>1</v>
      </c>
      <c r="FT11" s="147">
        <v>9883</v>
      </c>
      <c r="FU11" s="148">
        <v>17.523099999999999</v>
      </c>
      <c r="FV11" s="148">
        <v>2.3481999999999998</v>
      </c>
      <c r="FW11" s="148">
        <v>0.89470000000000005</v>
      </c>
      <c r="FX11" s="150">
        <f>FU11/24</f>
        <v>0.73012916666666661</v>
      </c>
      <c r="FY11" s="131">
        <f>AJ11-FW11</f>
        <v>36.565300000000001</v>
      </c>
      <c r="FZ11">
        <f>FU11-FK11</f>
        <v>2.7599999999999625E-2</v>
      </c>
      <c r="GC11">
        <v>1</v>
      </c>
      <c r="GD11" s="151">
        <v>9883</v>
      </c>
      <c r="GE11" s="151">
        <v>17.5913</v>
      </c>
      <c r="GF11" s="151">
        <v>2.3573</v>
      </c>
      <c r="GG11" s="151">
        <v>0.89810000000000001</v>
      </c>
      <c r="GH11" s="153">
        <f>GE11/24</f>
        <v>0.73297083333333335</v>
      </c>
      <c r="GI11" s="131">
        <f>$AJ11-GG11</f>
        <v>36.561900000000001</v>
      </c>
      <c r="GJ11">
        <f t="shared" ref="GJ11:GJ42" si="38">GE11-FU11</f>
        <v>6.8200000000000927E-2</v>
      </c>
      <c r="GM11">
        <v>1</v>
      </c>
      <c r="GN11" s="155">
        <v>9883</v>
      </c>
      <c r="GO11" s="155">
        <v>17.735700000000001</v>
      </c>
      <c r="GP11" s="155">
        <v>2.3767</v>
      </c>
      <c r="GQ11" s="155">
        <v>0.90549999999999997</v>
      </c>
      <c r="GR11" s="58">
        <f>GO11/24</f>
        <v>0.73898750000000002</v>
      </c>
      <c r="GS11" s="131">
        <f>$AJ11-GQ11</f>
        <v>36.554500000000004</v>
      </c>
      <c r="GT11">
        <f t="shared" ref="GT11:GT42" si="39">GO11-GE11</f>
        <v>0.14440000000000097</v>
      </c>
      <c r="GW11">
        <v>1</v>
      </c>
      <c r="GX11" s="157">
        <v>9883</v>
      </c>
      <c r="GY11" s="161">
        <f>VLOOKUP(GX11,Sheet3!$AJ$7:$AN$83,2,0)</f>
        <v>17.918900000000001</v>
      </c>
      <c r="GZ11" s="161">
        <f>VLOOKUP(GX11,Sheet3!$AJ$7:$AN$83,3,0)</f>
        <v>2.4011999999999998</v>
      </c>
      <c r="HA11" s="161">
        <f>VLOOKUP(GX11,Sheet3!$AJ$7:$AN$83,4,0)</f>
        <v>0.91490000000000005</v>
      </c>
      <c r="HB11" s="162">
        <f t="shared" si="17"/>
        <v>0.7466208333333334</v>
      </c>
      <c r="HC11" s="131">
        <f>$AJ11-HA11</f>
        <v>36.545099999999998</v>
      </c>
      <c r="HD11">
        <f t="shared" ref="HD11:HD42" si="40">GY11-GO11</f>
        <v>0.18319999999999936</v>
      </c>
      <c r="HE11">
        <f t="shared" ref="HE11:HE42" si="41">HA11-GQ11</f>
        <v>9.400000000000075E-3</v>
      </c>
      <c r="HG11" s="159"/>
      <c r="HH11" s="159">
        <v>1</v>
      </c>
      <c r="HI11" s="158">
        <v>9883</v>
      </c>
      <c r="HJ11" s="161">
        <v>17.992799999999999</v>
      </c>
      <c r="HK11" s="161">
        <v>2.4110999999999998</v>
      </c>
      <c r="HL11" s="161">
        <v>0.91859999999999997</v>
      </c>
      <c r="HM11" s="162">
        <f t="shared" si="18"/>
        <v>0.74969999999999992</v>
      </c>
      <c r="HN11" s="131">
        <f>$AJ11-HL11</f>
        <v>36.541400000000003</v>
      </c>
      <c r="HO11">
        <f>HJ11-GY11</f>
        <v>7.38999999999983E-2</v>
      </c>
      <c r="HQ11" s="183"/>
      <c r="HR11" s="183">
        <v>1</v>
      </c>
      <c r="HS11" s="178">
        <v>9883</v>
      </c>
      <c r="HT11" s="184">
        <v>18.041</v>
      </c>
      <c r="HU11" s="184">
        <v>2.4176000000000002</v>
      </c>
      <c r="HV11" s="184">
        <v>0.92110000000000003</v>
      </c>
      <c r="HW11" s="171">
        <f t="shared" si="19"/>
        <v>0.75170833333333331</v>
      </c>
      <c r="HX11" s="53">
        <f>$AJ11-HV11</f>
        <v>36.538899999999998</v>
      </c>
      <c r="HY11" s="183">
        <f>HT11-HJ11</f>
        <v>4.8200000000001353E-2</v>
      </c>
      <c r="IA11" s="194"/>
      <c r="IB11" s="194">
        <v>1</v>
      </c>
      <c r="IC11" s="193">
        <v>9883</v>
      </c>
      <c r="ID11" s="161">
        <v>18.061900000000001</v>
      </c>
      <c r="IE11" s="184">
        <v>2.4203999999999999</v>
      </c>
      <c r="IF11" s="184">
        <v>0.92220000000000002</v>
      </c>
      <c r="IG11" s="171">
        <f>ID11/24</f>
        <v>0.75257916666666669</v>
      </c>
      <c r="IH11" s="53">
        <f>$AJ11-IF11</f>
        <v>36.537800000000004</v>
      </c>
      <c r="II11" s="3">
        <f>ID11-HT11</f>
        <v>2.0900000000001029E-2</v>
      </c>
      <c r="IL11" s="199">
        <v>1</v>
      </c>
      <c r="IM11" s="197">
        <v>9883</v>
      </c>
      <c r="IN11" s="161">
        <v>18.171700000000001</v>
      </c>
      <c r="IO11" s="184">
        <v>2.4350999999999998</v>
      </c>
      <c r="IP11" s="184">
        <v>0.92779999999999996</v>
      </c>
      <c r="IQ11" s="171">
        <f>IN11/24</f>
        <v>0.75715416666666668</v>
      </c>
      <c r="IR11" s="53">
        <f>$AJ11-IP11</f>
        <v>36.532200000000003</v>
      </c>
      <c r="IS11" s="199">
        <f>IN11-ID11</f>
        <v>0.1097999999999999</v>
      </c>
      <c r="IU11" s="18"/>
      <c r="IV11" s="202">
        <v>1</v>
      </c>
      <c r="IW11" s="201">
        <v>9883</v>
      </c>
      <c r="IX11" s="184">
        <v>18.32</v>
      </c>
      <c r="IY11" s="184">
        <v>2.4550000000000001</v>
      </c>
      <c r="IZ11" s="184">
        <v>0.93530000000000002</v>
      </c>
      <c r="JA11" s="162">
        <f t="shared" si="22"/>
        <v>0.76333333333333331</v>
      </c>
      <c r="JB11" s="53">
        <f>$AJ11-IZ11</f>
        <v>36.524700000000003</v>
      </c>
      <c r="JC11" s="202">
        <f>IX11-IN11</f>
        <v>0.14829999999999899</v>
      </c>
      <c r="JE11" s="204"/>
      <c r="JF11" s="204">
        <v>1</v>
      </c>
      <c r="JG11" s="203">
        <v>9883</v>
      </c>
      <c r="JH11" s="161">
        <v>18.367100000000001</v>
      </c>
      <c r="JI11" s="184">
        <v>2.4613</v>
      </c>
      <c r="JJ11" s="184">
        <v>0.93769999999999998</v>
      </c>
      <c r="JK11" s="162">
        <f>JH11/24</f>
        <v>0.7652958333333334</v>
      </c>
      <c r="JL11" s="53">
        <f>$AJ11-JJ11</f>
        <v>36.522300000000001</v>
      </c>
      <c r="JM11" s="204">
        <f>JH11-IX11</f>
        <v>4.7100000000000364E-2</v>
      </c>
      <c r="JN11" s="204"/>
      <c r="JP11" s="209">
        <v>1</v>
      </c>
      <c r="JQ11" s="205">
        <v>9883</v>
      </c>
      <c r="JR11" s="161">
        <v>18.405000000000001</v>
      </c>
      <c r="JS11" s="184">
        <v>2.4662999999999999</v>
      </c>
      <c r="JT11" s="184">
        <v>0.93969999999999998</v>
      </c>
      <c r="JU11" s="162">
        <f>JR11/24</f>
        <v>0.76687500000000008</v>
      </c>
      <c r="JV11" s="53">
        <f>$AJ11-JT11</f>
        <v>36.520299999999999</v>
      </c>
      <c r="JW11" s="209">
        <f>JR11-JH11</f>
        <v>3.7900000000000489E-2</v>
      </c>
      <c r="JX11" s="213"/>
      <c r="JY11" s="213"/>
      <c r="JZ11" s="213">
        <v>1</v>
      </c>
      <c r="KA11" s="206">
        <v>9883</v>
      </c>
      <c r="KB11" s="184">
        <v>18.4938</v>
      </c>
      <c r="KC11" s="184">
        <v>2.4782000000000002</v>
      </c>
      <c r="KD11" s="184">
        <v>0.94420000000000004</v>
      </c>
      <c r="KE11" s="162">
        <f>KB11/24</f>
        <v>0.77057500000000001</v>
      </c>
      <c r="KF11" s="53">
        <f>$AJ11-KD11</f>
        <v>36.515799999999999</v>
      </c>
      <c r="KG11" s="213">
        <f>KB11-JR11</f>
        <v>8.8799999999999102E-2</v>
      </c>
      <c r="KI11" s="219"/>
      <c r="KJ11" s="219">
        <v>1</v>
      </c>
      <c r="KK11" s="214">
        <v>9883</v>
      </c>
      <c r="KL11" s="161">
        <v>18.523499999999999</v>
      </c>
      <c r="KM11" s="161">
        <v>2.4822000000000002</v>
      </c>
      <c r="KN11" s="161">
        <v>0.94569999999999999</v>
      </c>
      <c r="KO11" s="162">
        <f t="shared" si="24"/>
        <v>0.7718124999999999</v>
      </c>
      <c r="KP11" s="53">
        <f>$AJ11-KN11</f>
        <v>36.514299999999999</v>
      </c>
      <c r="KQ11" s="219">
        <f>KL11-KB11</f>
        <v>2.9699999999998283E-2</v>
      </c>
      <c r="KT11" s="223">
        <v>1</v>
      </c>
      <c r="KU11" s="216">
        <v>9883</v>
      </c>
      <c r="KV11" s="161">
        <v>18.5547</v>
      </c>
      <c r="KW11" s="161">
        <v>2.4864000000000002</v>
      </c>
      <c r="KX11" s="161">
        <v>0.94730000000000003</v>
      </c>
      <c r="KY11" s="162">
        <f>KV11/24</f>
        <v>0.77311249999999998</v>
      </c>
      <c r="KZ11" s="53">
        <f>$AJ11-KX11</f>
        <v>36.512700000000002</v>
      </c>
      <c r="LA11" s="223">
        <f>KV11-KL11</f>
        <v>3.1200000000001893E-2</v>
      </c>
      <c r="LD11" s="228">
        <v>1</v>
      </c>
      <c r="LE11" s="221">
        <v>9883</v>
      </c>
      <c r="LF11" s="161">
        <v>18.5808</v>
      </c>
      <c r="LG11" s="161">
        <v>2.4899</v>
      </c>
      <c r="LH11" s="161">
        <v>0.94869999999999999</v>
      </c>
      <c r="LI11" s="162">
        <f>LF11/24</f>
        <v>0.7742</v>
      </c>
      <c r="LJ11" s="53">
        <f>$AJ11-LH11</f>
        <v>36.511299999999999</v>
      </c>
      <c r="LK11" s="228">
        <f>LF11-KV11</f>
        <v>2.6099999999999568E-2</v>
      </c>
      <c r="LL11" s="231"/>
      <c r="LM11" s="231"/>
      <c r="LN11" s="231">
        <v>1</v>
      </c>
      <c r="LO11" s="226">
        <v>9883</v>
      </c>
      <c r="LP11" s="184">
        <v>18.6174</v>
      </c>
      <c r="LQ11" s="184">
        <v>2.4948000000000001</v>
      </c>
      <c r="LR11" s="184">
        <v>0.95050000000000001</v>
      </c>
      <c r="LS11" s="162">
        <f>LP11/24</f>
        <v>0.775725</v>
      </c>
      <c r="LT11" s="53">
        <f>$AJ11-LR11</f>
        <v>36.509500000000003</v>
      </c>
      <c r="LU11" s="231">
        <f>LP11-LF11</f>
        <v>3.6599999999999966E-2</v>
      </c>
      <c r="LW11" s="231"/>
      <c r="LX11" s="231">
        <v>1</v>
      </c>
      <c r="LY11" s="234">
        <v>9883</v>
      </c>
      <c r="LZ11" s="184">
        <v>18.6586</v>
      </c>
      <c r="MA11" s="184">
        <v>2.5003000000000002</v>
      </c>
      <c r="MB11" s="184">
        <v>0.9526</v>
      </c>
      <c r="MC11" s="162">
        <f>LZ11/24</f>
        <v>0.7774416666666667</v>
      </c>
      <c r="MD11" s="53">
        <f>$AJ11-MB11</f>
        <v>36.507400000000004</v>
      </c>
      <c r="ME11" s="231">
        <f>LZ11-LP11</f>
        <v>4.1199999999999903E-2</v>
      </c>
      <c r="MF11" s="231"/>
      <c r="MG11" s="231"/>
      <c r="MH11" s="231">
        <v>1</v>
      </c>
      <c r="MI11" s="236">
        <v>9883</v>
      </c>
      <c r="MJ11" s="184">
        <v>18.699100000000001</v>
      </c>
      <c r="MK11" s="184">
        <v>2.5057999999999998</v>
      </c>
      <c r="ML11" s="184">
        <v>0.95469999999999999</v>
      </c>
      <c r="MM11" s="162">
        <f>MJ11/24</f>
        <v>0.77912916666666676</v>
      </c>
      <c r="MN11" s="53">
        <f>$AJ11-ML11</f>
        <v>36.505299999999998</v>
      </c>
      <c r="MO11" s="231">
        <f>MJ11-LZ11</f>
        <v>4.0500000000001535E-2</v>
      </c>
      <c r="MP11" s="231"/>
      <c r="MQ11" s="231"/>
      <c r="MR11" s="231">
        <v>1</v>
      </c>
      <c r="MS11" s="238">
        <v>9883</v>
      </c>
      <c r="MT11" s="184">
        <v>18.776399999999999</v>
      </c>
      <c r="MU11" s="184">
        <v>2.5160999999999998</v>
      </c>
      <c r="MV11" s="184">
        <v>0.95860000000000001</v>
      </c>
      <c r="MW11" s="162">
        <f>MT11/24</f>
        <v>0.78234999999999999</v>
      </c>
      <c r="MX11" s="53">
        <f>$AJ11-MV11</f>
        <v>36.501400000000004</v>
      </c>
      <c r="MY11" s="231">
        <f>MT11-MJ11</f>
        <v>7.7299999999997482E-2</v>
      </c>
      <c r="MZ11" s="246"/>
      <c r="NA11" s="246"/>
      <c r="NB11" s="246">
        <v>1</v>
      </c>
      <c r="NC11" s="242">
        <v>9883</v>
      </c>
      <c r="ND11" s="184">
        <v>18.855399999999999</v>
      </c>
      <c r="NE11" s="184">
        <v>2.5266999999999999</v>
      </c>
      <c r="NF11" s="184">
        <v>0.9627</v>
      </c>
      <c r="NG11" s="162">
        <f>ND11/24</f>
        <v>0.78564166666666668</v>
      </c>
      <c r="NH11" s="53">
        <f>$AJ11-NF11</f>
        <v>36.497300000000003</v>
      </c>
      <c r="NI11" s="232">
        <f>ND11-MT11</f>
        <v>7.9000000000000625E-2</v>
      </c>
      <c r="NK11" s="250"/>
      <c r="NL11" s="250">
        <v>1</v>
      </c>
      <c r="NM11" s="244">
        <v>9883</v>
      </c>
      <c r="NN11" s="184">
        <v>18.878699999999998</v>
      </c>
      <c r="NO11" s="184">
        <v>2.5297999999999998</v>
      </c>
      <c r="NP11" s="184">
        <v>0.96389999999999998</v>
      </c>
      <c r="NQ11" s="162">
        <f>NN11/24</f>
        <v>0.78661249999999994</v>
      </c>
      <c r="NR11" s="53">
        <f>$AJ11-NP11</f>
        <v>36.496099999999998</v>
      </c>
      <c r="NS11" s="232">
        <f>NN11-ND11</f>
        <v>2.3299999999998988E-2</v>
      </c>
      <c r="NU11" s="250"/>
      <c r="NV11" s="250">
        <v>1</v>
      </c>
      <c r="NW11" s="248">
        <v>9883</v>
      </c>
      <c r="NX11" s="184">
        <v>18.915600000000001</v>
      </c>
      <c r="NY11" s="184">
        <v>2.5348000000000002</v>
      </c>
      <c r="NZ11" s="184">
        <v>0.9657</v>
      </c>
      <c r="OA11" s="162">
        <f>NX11/24</f>
        <v>0.78815000000000002</v>
      </c>
      <c r="OB11" s="53">
        <f>$AJ11-NZ11</f>
        <v>36.494300000000003</v>
      </c>
      <c r="OC11" s="232">
        <f>NX11-NN11</f>
        <v>3.6900000000002819E-2</v>
      </c>
      <c r="OE11" s="250"/>
      <c r="OF11" s="250">
        <v>1</v>
      </c>
      <c r="OG11" s="251">
        <v>9883</v>
      </c>
      <c r="OH11" s="184">
        <v>18.934100000000001</v>
      </c>
      <c r="OI11" s="184">
        <v>2.5371999999999999</v>
      </c>
      <c r="OJ11" s="184">
        <v>0.9667</v>
      </c>
      <c r="OK11" s="162">
        <f>OH11/24</f>
        <v>0.7889208333333334</v>
      </c>
      <c r="OL11" s="53">
        <f>$AJ11-OJ11</f>
        <v>36.493299999999998</v>
      </c>
      <c r="OM11" s="232">
        <f>OH11-NX11</f>
        <v>1.8499999999999517E-2</v>
      </c>
      <c r="OP11" s="250">
        <v>1</v>
      </c>
      <c r="OQ11" s="253">
        <v>9883</v>
      </c>
      <c r="OR11" s="184">
        <f>VLOOKUP(OQ11,Sheet4!A9:F85,3,0)</f>
        <v>18.976500000000001</v>
      </c>
      <c r="OS11" s="184">
        <f>VLOOKUP(OQ11,Sheet4!A9:F85,4,0)</f>
        <v>2.5428999999999999</v>
      </c>
      <c r="OT11" s="184">
        <f>VLOOKUP(OQ11,Sheet4!A9:F85,5,0)</f>
        <v>0.96889999999999998</v>
      </c>
      <c r="OU11" s="162">
        <f>OR11/24</f>
        <v>0.7906875000000001</v>
      </c>
      <c r="OV11" s="53">
        <f>$AJ11-OT11</f>
        <v>36.491100000000003</v>
      </c>
      <c r="OW11" s="232">
        <f>OR11-OH11</f>
        <v>4.2400000000000659E-2</v>
      </c>
    </row>
    <row r="12" spans="1:413" ht="15.75" x14ac:dyDescent="0.25">
      <c r="A12">
        <v>4</v>
      </c>
      <c r="B12" s="1">
        <v>9987</v>
      </c>
      <c r="C12" s="1" t="s">
        <v>1</v>
      </c>
      <c r="D12" s="2">
        <v>38.51</v>
      </c>
      <c r="E12" s="8"/>
      <c r="F12" s="8"/>
      <c r="G12" s="8"/>
      <c r="H12" s="8"/>
      <c r="J12" s="15">
        <v>9987</v>
      </c>
      <c r="K12" s="15">
        <v>10.746499999999999</v>
      </c>
      <c r="L12" s="15">
        <v>1.4400999999999999</v>
      </c>
      <c r="M12" s="15">
        <v>0.54869999999999997</v>
      </c>
      <c r="N12" s="24">
        <f t="shared" ref="N12:N75" si="42">K12/24</f>
        <v>0.44777083333333328</v>
      </c>
      <c r="O12" s="10">
        <f t="shared" si="36"/>
        <v>37.961300000000001</v>
      </c>
      <c r="P12" s="18"/>
      <c r="R12" s="20">
        <v>9987</v>
      </c>
      <c r="S12" s="9">
        <v>10.8416</v>
      </c>
      <c r="T12" s="9">
        <v>1.4528000000000001</v>
      </c>
      <c r="U12" s="9">
        <v>0.55349999999999999</v>
      </c>
      <c r="V12" s="24">
        <f t="shared" ref="V12:V75" si="43">S12/24</f>
        <v>0.45173333333333332</v>
      </c>
      <c r="W12" s="10">
        <f t="shared" ref="W12:W42" si="44">D12-U12</f>
        <v>37.956499999999998</v>
      </c>
      <c r="X12" s="18"/>
      <c r="Z12" s="27">
        <v>9987</v>
      </c>
      <c r="AA12" s="9">
        <v>11.075200000000001</v>
      </c>
      <c r="AB12" s="9">
        <v>1.4841</v>
      </c>
      <c r="AC12" s="9">
        <v>0.56540000000000001</v>
      </c>
      <c r="AD12" s="24">
        <f t="shared" ref="AD12:AD75" si="45">AA12/24</f>
        <v>0.46146666666666669</v>
      </c>
      <c r="AE12" s="10">
        <f t="shared" ref="AE12:AE75" si="46">D12-AC12</f>
        <v>37.944600000000001</v>
      </c>
      <c r="AF12" s="79"/>
      <c r="AG12">
        <v>4</v>
      </c>
      <c r="AH12" s="1">
        <v>9987</v>
      </c>
      <c r="AI12" s="1" t="s">
        <v>1</v>
      </c>
      <c r="AJ12" s="2">
        <v>38.51</v>
      </c>
      <c r="AL12" s="32">
        <v>9987</v>
      </c>
      <c r="AM12" s="9">
        <v>11.3276</v>
      </c>
      <c r="AN12" s="9">
        <v>1.5179</v>
      </c>
      <c r="AO12" s="9">
        <v>0.57830000000000004</v>
      </c>
      <c r="AP12" s="37">
        <f t="shared" si="0"/>
        <v>0.47198333333333337</v>
      </c>
      <c r="AQ12" s="53">
        <f>AJ12-AO12</f>
        <v>37.931699999999999</v>
      </c>
      <c r="AT12" s="39"/>
      <c r="AU12" s="38">
        <v>9987</v>
      </c>
      <c r="AV12" s="9">
        <v>11.434900000000001</v>
      </c>
      <c r="AW12" s="43">
        <v>1.5323</v>
      </c>
      <c r="AX12" s="43">
        <v>0.58379999999999999</v>
      </c>
      <c r="AY12" s="47">
        <f t="shared" ref="AY12:AY75" si="47">AV12/24</f>
        <v>0.47645416666666668</v>
      </c>
      <c r="AZ12" s="56">
        <f>AJ12-AX12</f>
        <v>37.926200000000001</v>
      </c>
      <c r="BA12" s="3">
        <f>MAX(AZ11:AZ81)</f>
        <v>37.991799999999998</v>
      </c>
      <c r="BD12" s="54">
        <v>9987</v>
      </c>
      <c r="BE12" s="53">
        <v>11.447100000000001</v>
      </c>
      <c r="BF12" s="58">
        <v>1.534</v>
      </c>
      <c r="BG12" s="58">
        <v>0.58440000000000003</v>
      </c>
      <c r="BH12" s="47">
        <f t="shared" ref="BH12:BH75" si="48">BE12/24</f>
        <v>0.47696250000000001</v>
      </c>
      <c r="BI12" s="56">
        <f t="shared" ref="BI12:BI75" si="49">AJ12-BG12</f>
        <v>37.925599999999996</v>
      </c>
      <c r="BJ12" s="91"/>
      <c r="BK12" s="91"/>
      <c r="BL12" s="91"/>
      <c r="BN12" s="9">
        <v>9987</v>
      </c>
      <c r="BO12" s="53">
        <v>11.4924</v>
      </c>
      <c r="BP12" s="53">
        <v>1.54</v>
      </c>
      <c r="BQ12" s="53">
        <v>0.58679999999999999</v>
      </c>
      <c r="BR12" s="53">
        <f t="shared" ref="BR12:BR75" si="50">BO12/24</f>
        <v>0.47885</v>
      </c>
      <c r="BS12" s="53">
        <f t="shared" ref="BS12:BS75" si="51">AJ12-BQ12</f>
        <v>37.923200000000001</v>
      </c>
      <c r="BV12" s="91"/>
      <c r="BX12" s="93">
        <v>9987</v>
      </c>
      <c r="BY12" s="9">
        <v>11.5816</v>
      </c>
      <c r="BZ12" s="9">
        <v>1.552</v>
      </c>
      <c r="CA12" s="9">
        <v>0.59130000000000005</v>
      </c>
      <c r="CB12" s="58">
        <f t="shared" ref="CB12:CB75" si="52">BY12/24</f>
        <v>0.48256666666666664</v>
      </c>
      <c r="CC12" s="53">
        <f>AJ12-CA12</f>
        <v>37.918700000000001</v>
      </c>
      <c r="CG12">
        <v>2</v>
      </c>
      <c r="CH12" s="93">
        <v>9987</v>
      </c>
      <c r="CI12" s="93">
        <v>11.658300000000001</v>
      </c>
      <c r="CJ12" s="9">
        <v>1.5623</v>
      </c>
      <c r="CK12" s="9">
        <v>0.59519999999999995</v>
      </c>
      <c r="CL12" s="47">
        <f t="shared" si="5"/>
        <v>0.48576250000000004</v>
      </c>
      <c r="CM12" s="53">
        <f t="shared" ref="CM12:CM75" si="53">AJ12-CK12</f>
        <v>37.9148</v>
      </c>
      <c r="CQ12">
        <v>2</v>
      </c>
      <c r="CR12" s="98">
        <v>9987</v>
      </c>
      <c r="CS12" s="101">
        <v>11.754799999999999</v>
      </c>
      <c r="CT12" s="101">
        <v>1.5751999999999999</v>
      </c>
      <c r="CU12" s="101">
        <v>0.60009999999999997</v>
      </c>
      <c r="CV12" s="47">
        <f t="shared" si="6"/>
        <v>0.48978333333333329</v>
      </c>
      <c r="CW12" s="53">
        <f t="shared" si="37"/>
        <v>37.9099</v>
      </c>
      <c r="DA12">
        <v>2</v>
      </c>
      <c r="DB12" s="106">
        <v>9987</v>
      </c>
      <c r="DC12" s="107">
        <v>11.7643</v>
      </c>
      <c r="DD12" s="107">
        <v>1.5765</v>
      </c>
      <c r="DE12" s="107">
        <v>0.60060000000000002</v>
      </c>
      <c r="DF12" s="47">
        <f t="shared" si="7"/>
        <v>0.49017916666666667</v>
      </c>
      <c r="DG12" s="53">
        <f>AJ12-DE12</f>
        <v>37.909399999999998</v>
      </c>
      <c r="DK12">
        <v>2</v>
      </c>
      <c r="DL12" s="110">
        <v>9987</v>
      </c>
      <c r="DM12" s="53">
        <v>11.8744</v>
      </c>
      <c r="DN12" s="53">
        <v>1.5911999999999999</v>
      </c>
      <c r="DO12" s="53">
        <v>0.60629999999999995</v>
      </c>
      <c r="DP12" s="47">
        <f t="shared" si="8"/>
        <v>0.49476666666666663</v>
      </c>
      <c r="DQ12" s="53">
        <f t="shared" ref="DQ12:DQ75" si="54">AJ12-DO12</f>
        <v>37.903700000000001</v>
      </c>
      <c r="DS12" s="3">
        <f t="shared" ref="DS12:DS75" si="55">DM12-DC12</f>
        <v>0.1100999999999992</v>
      </c>
      <c r="DU12">
        <v>2</v>
      </c>
      <c r="DV12" s="115">
        <v>9987</v>
      </c>
      <c r="DW12" s="9">
        <v>11.943</v>
      </c>
      <c r="DX12" s="9">
        <v>1.6004</v>
      </c>
      <c r="DY12" s="9">
        <v>0.60980000000000001</v>
      </c>
      <c r="DZ12" s="47">
        <f t="shared" si="9"/>
        <v>0.49762499999999998</v>
      </c>
      <c r="EA12" s="53">
        <f>AJ12-DY12</f>
        <v>37.900199999999998</v>
      </c>
      <c r="EB12" s="3"/>
      <c r="EE12">
        <v>2</v>
      </c>
      <c r="EF12" s="118">
        <v>9987</v>
      </c>
      <c r="EG12" s="9">
        <v>12.0502</v>
      </c>
      <c r="EH12" s="9">
        <v>1.6148</v>
      </c>
      <c r="EI12" s="9">
        <v>0.61519999999999997</v>
      </c>
      <c r="EJ12" s="47">
        <f>EG12/24</f>
        <v>0.50209166666666671</v>
      </c>
      <c r="EK12" s="53">
        <f t="shared" ref="EK12:EK75" si="56">AJ12-EI12</f>
        <v>37.894799999999996</v>
      </c>
      <c r="EM12" s="3">
        <f t="shared" ref="EM12:EM75" si="57">EK12-EA12</f>
        <v>-5.4000000000016257E-3</v>
      </c>
      <c r="EN12" s="3"/>
      <c r="EO12">
        <v>2</v>
      </c>
      <c r="EP12" s="121">
        <v>9987</v>
      </c>
      <c r="EQ12" s="122">
        <v>12.263299999999999</v>
      </c>
      <c r="ER12" s="122">
        <v>1.6433</v>
      </c>
      <c r="ES12" s="129">
        <v>0.62609999999999999</v>
      </c>
      <c r="ET12" s="130">
        <f t="shared" si="11"/>
        <v>0.51097083333333326</v>
      </c>
      <c r="EU12" s="131">
        <f t="shared" ref="EU12:EU75" si="58">AJ12-ES12</f>
        <v>37.883899999999997</v>
      </c>
      <c r="EX12" s="3"/>
      <c r="EY12">
        <v>2</v>
      </c>
      <c r="EZ12" s="135">
        <v>9987</v>
      </c>
      <c r="FA12" s="135">
        <v>12.363799999999999</v>
      </c>
      <c r="FB12" s="135">
        <v>1.6568000000000001</v>
      </c>
      <c r="FC12" s="135">
        <v>0.63119999999999998</v>
      </c>
      <c r="FD12" s="136">
        <f>FA12/24</f>
        <v>0.51515833333333327</v>
      </c>
      <c r="FE12" s="131">
        <f t="shared" ref="FE12:FE75" si="59">AJ12-FC12</f>
        <v>37.878799999999998</v>
      </c>
      <c r="FG12" s="123">
        <f t="shared" ref="FG12:FG75" si="60">FE12-EU12</f>
        <v>-5.0999999999987722E-3</v>
      </c>
      <c r="FH12" s="3"/>
      <c r="FI12">
        <v>2</v>
      </c>
      <c r="FJ12" s="145">
        <v>9987</v>
      </c>
      <c r="FK12" s="9">
        <v>12.4977</v>
      </c>
      <c r="FL12" s="9">
        <v>1.6747000000000001</v>
      </c>
      <c r="FM12" s="9">
        <v>0.6381</v>
      </c>
      <c r="FN12" s="146">
        <f>FK12/24</f>
        <v>0.52073749999999996</v>
      </c>
      <c r="FO12" s="131">
        <f t="shared" ref="FO12:FO75" si="61">AJ12-FM12</f>
        <v>37.871899999999997</v>
      </c>
      <c r="FP12" s="123">
        <f t="shared" ref="FP12:FP75" si="62">FO12-FE12</f>
        <v>-6.9000000000016826E-3</v>
      </c>
      <c r="FS12">
        <v>2</v>
      </c>
      <c r="FT12" s="147">
        <v>9987</v>
      </c>
      <c r="FU12" s="148">
        <v>12.5253</v>
      </c>
      <c r="FV12" s="148">
        <v>1.6783999999999999</v>
      </c>
      <c r="FW12" s="148">
        <v>0.63949999999999996</v>
      </c>
      <c r="FX12" s="148">
        <v>0.5544</v>
      </c>
      <c r="FY12" s="131">
        <f>AJ12-FW12</f>
        <v>37.8705</v>
      </c>
      <c r="FZ12">
        <f t="shared" ref="FZ12:FZ75" si="63">FU12-FK12</f>
        <v>2.7599999999999625E-2</v>
      </c>
      <c r="GC12">
        <v>2</v>
      </c>
      <c r="GD12" s="151">
        <v>9987</v>
      </c>
      <c r="GE12" s="151">
        <v>12.593500000000001</v>
      </c>
      <c r="GF12" s="151">
        <v>1.6876</v>
      </c>
      <c r="GG12" s="151">
        <v>0.64300000000000002</v>
      </c>
      <c r="GH12" s="151">
        <v>0.5544</v>
      </c>
      <c r="GI12" s="131">
        <f t="shared" ref="GI12:GI75" si="64">$AJ12-GG12</f>
        <v>37.866999999999997</v>
      </c>
      <c r="GJ12">
        <f t="shared" si="38"/>
        <v>6.8200000000000927E-2</v>
      </c>
      <c r="GM12">
        <v>2</v>
      </c>
      <c r="GN12" s="155">
        <v>9987</v>
      </c>
      <c r="GO12" s="155">
        <v>12.7379</v>
      </c>
      <c r="GP12" s="155">
        <v>1.7069000000000001</v>
      </c>
      <c r="GQ12" s="155">
        <v>0.65029999999999999</v>
      </c>
      <c r="GR12" s="58">
        <f t="shared" ref="GR12:GR75" si="65">GO12/24</f>
        <v>0.53074583333333336</v>
      </c>
      <c r="GS12" s="131">
        <f t="shared" ref="GS12:GS75" si="66">$AJ12-GQ12</f>
        <v>37.859699999999997</v>
      </c>
      <c r="GT12">
        <f t="shared" si="39"/>
        <v>0.1443999999999992</v>
      </c>
      <c r="GW12">
        <v>2</v>
      </c>
      <c r="GX12" s="157">
        <v>9987</v>
      </c>
      <c r="GY12" s="161">
        <f>VLOOKUP(GX12,Sheet3!$AJ$7:$AN$83,2,0)</f>
        <v>12.921099999999999</v>
      </c>
      <c r="GZ12" s="161">
        <f>VLOOKUP(GX12,Sheet3!$AJ$7:$AN$83,3,0)</f>
        <v>1.7315</v>
      </c>
      <c r="HA12" s="161">
        <f>VLOOKUP(GX12,Sheet3!$AJ$7:$AN$83,4,0)</f>
        <v>0.65969999999999995</v>
      </c>
      <c r="HB12" s="162">
        <f t="shared" si="17"/>
        <v>0.53837916666666663</v>
      </c>
      <c r="HC12" s="131">
        <f>$AJ12-HA12</f>
        <v>37.850299999999997</v>
      </c>
      <c r="HD12" s="159">
        <f t="shared" si="40"/>
        <v>0.18319999999999936</v>
      </c>
      <c r="HE12" s="159">
        <f t="shared" si="41"/>
        <v>9.3999999999999639E-3</v>
      </c>
      <c r="HG12" s="159"/>
      <c r="HH12" s="159">
        <v>2</v>
      </c>
      <c r="HI12" s="158">
        <v>9987</v>
      </c>
      <c r="HJ12" s="161">
        <v>12.994999999999999</v>
      </c>
      <c r="HK12" s="161">
        <v>1.7414000000000001</v>
      </c>
      <c r="HL12" s="161">
        <v>0.66349999999999998</v>
      </c>
      <c r="HM12" s="162">
        <f t="shared" si="18"/>
        <v>0.54145833333333326</v>
      </c>
      <c r="HN12" s="131">
        <f t="shared" ref="HN12:HN75" si="67">$AJ12-HL12</f>
        <v>37.846499999999999</v>
      </c>
      <c r="HO12" s="159">
        <f t="shared" ref="HO12:HO75" si="68">HJ12-GY12</f>
        <v>7.3900000000000077E-2</v>
      </c>
      <c r="HQ12" s="183"/>
      <c r="HR12" s="183">
        <v>2</v>
      </c>
      <c r="HS12" s="178">
        <v>9987</v>
      </c>
      <c r="HT12" s="184">
        <v>13.043200000000001</v>
      </c>
      <c r="HU12" s="184">
        <v>1.7478</v>
      </c>
      <c r="HV12" s="184">
        <v>0.66590000000000005</v>
      </c>
      <c r="HW12" s="171">
        <f t="shared" si="19"/>
        <v>0.54346666666666665</v>
      </c>
      <c r="HX12" s="53">
        <f t="shared" ref="HX12:HX75" si="69">$AJ12-HV12</f>
        <v>37.844099999999997</v>
      </c>
      <c r="HY12" s="183">
        <f t="shared" ref="HY12:HY75" si="70">HT12-HJ12</f>
        <v>4.8200000000001353E-2</v>
      </c>
      <c r="IA12" s="194"/>
      <c r="IB12" s="194">
        <v>2</v>
      </c>
      <c r="IC12" s="193">
        <v>9987</v>
      </c>
      <c r="ID12" s="161">
        <v>13.0641</v>
      </c>
      <c r="IE12" s="184">
        <v>1.7505999999999999</v>
      </c>
      <c r="IF12" s="184">
        <v>0.66700000000000004</v>
      </c>
      <c r="IG12" s="171">
        <f t="shared" ref="IG12:IG75" si="71">ID12/24</f>
        <v>0.54433750000000003</v>
      </c>
      <c r="IH12" s="53">
        <f t="shared" ref="IH12:IH75" si="72">$AJ12-IF12</f>
        <v>37.842999999999996</v>
      </c>
      <c r="II12" s="194">
        <f t="shared" ref="II12:II75" si="73">ID12-HT12</f>
        <v>2.0899999999999253E-2</v>
      </c>
      <c r="IL12" s="199">
        <v>2</v>
      </c>
      <c r="IM12" s="197">
        <v>9987</v>
      </c>
      <c r="IN12" s="161">
        <v>13.1739</v>
      </c>
      <c r="IO12" s="184">
        <v>1.7654000000000001</v>
      </c>
      <c r="IP12" s="184">
        <v>0.67259999999999998</v>
      </c>
      <c r="IQ12" s="171">
        <f t="shared" ref="IQ12:IQ75" si="74">IN12/24</f>
        <v>0.54891250000000003</v>
      </c>
      <c r="IR12" s="53">
        <f t="shared" ref="IR12:IR75" si="75">$AJ12-IP12</f>
        <v>37.837399999999995</v>
      </c>
      <c r="IS12" s="199">
        <f t="shared" ref="IS12:IS75" si="76">IN12-ID12</f>
        <v>0.1097999999999999</v>
      </c>
      <c r="IU12" s="202"/>
      <c r="IV12" s="202">
        <v>2</v>
      </c>
      <c r="IW12" s="201">
        <v>9987</v>
      </c>
      <c r="IX12" s="184">
        <v>13.3222</v>
      </c>
      <c r="IY12" s="184">
        <v>1.7851999999999999</v>
      </c>
      <c r="IZ12" s="184">
        <v>0.68020000000000003</v>
      </c>
      <c r="JA12" s="162">
        <f t="shared" si="22"/>
        <v>0.55509166666666665</v>
      </c>
      <c r="JB12" s="53">
        <f t="shared" ref="JB12:JB75" si="77">$AJ12-IZ12</f>
        <v>37.829799999999999</v>
      </c>
      <c r="JC12" s="202">
        <f t="shared" ref="JC12:JC75" si="78">IX12-IN12</f>
        <v>0.14830000000000076</v>
      </c>
      <c r="JE12" s="204"/>
      <c r="JF12" s="204">
        <v>2</v>
      </c>
      <c r="JG12" s="203">
        <v>9987</v>
      </c>
      <c r="JH12" s="161">
        <v>13.369300000000001</v>
      </c>
      <c r="JI12" s="184">
        <v>1.7915000000000001</v>
      </c>
      <c r="JJ12" s="184">
        <v>0.68259999999999998</v>
      </c>
      <c r="JK12" s="162">
        <f t="shared" ref="JK12:JK75" si="79">JH12/24</f>
        <v>0.55705416666666674</v>
      </c>
      <c r="JL12" s="53">
        <f t="shared" ref="JL12:JL75" si="80">$AJ12-JJ12</f>
        <v>37.827399999999997</v>
      </c>
      <c r="JM12" s="3">
        <f>JH12-IX12</f>
        <v>4.7100000000000364E-2</v>
      </c>
      <c r="JN12" s="204"/>
      <c r="JP12" s="209">
        <v>2</v>
      </c>
      <c r="JQ12" s="205">
        <v>9987</v>
      </c>
      <c r="JR12" s="161">
        <v>13.4072</v>
      </c>
      <c r="JS12" s="184">
        <v>1.7966</v>
      </c>
      <c r="JT12" s="184">
        <v>0.6845</v>
      </c>
      <c r="JU12" s="162">
        <f t="shared" ref="JU12:JU75" si="81">JR12/24</f>
        <v>0.55863333333333332</v>
      </c>
      <c r="JV12" s="53">
        <f t="shared" ref="JV12:JV75" si="82">$AJ12-JT12</f>
        <v>37.825499999999998</v>
      </c>
      <c r="JW12" s="3">
        <f>JR12-JH12</f>
        <v>3.7899999999998712E-2</v>
      </c>
      <c r="JX12" s="213"/>
      <c r="JY12" s="213"/>
      <c r="JZ12" s="213">
        <v>2</v>
      </c>
      <c r="KA12" s="206">
        <v>9987</v>
      </c>
      <c r="KB12" s="184">
        <v>13.496</v>
      </c>
      <c r="KC12" s="184">
        <v>1.8085</v>
      </c>
      <c r="KD12" s="184">
        <v>0.68899999999999995</v>
      </c>
      <c r="KE12" s="162">
        <f t="shared" ref="KE12:KE75" si="83">KB12/24</f>
        <v>0.56233333333333335</v>
      </c>
      <c r="KF12" s="53">
        <f t="shared" ref="KF12:KF75" si="84">$AJ12-KD12</f>
        <v>37.820999999999998</v>
      </c>
      <c r="KG12" s="3">
        <f>KB12-JR12</f>
        <v>8.8800000000000878E-2</v>
      </c>
      <c r="KI12" s="219"/>
      <c r="KJ12" s="219">
        <v>2</v>
      </c>
      <c r="KK12" s="214">
        <v>9987</v>
      </c>
      <c r="KL12" s="161">
        <v>13.525700000000001</v>
      </c>
      <c r="KM12" s="161">
        <v>1.8125</v>
      </c>
      <c r="KN12" s="161">
        <v>0.69059999999999999</v>
      </c>
      <c r="KO12" s="162">
        <f t="shared" si="24"/>
        <v>0.56357083333333335</v>
      </c>
      <c r="KP12" s="53">
        <f t="shared" ref="KP12:KP75" si="85">$AJ12-KN12</f>
        <v>37.819399999999995</v>
      </c>
      <c r="KQ12" s="3">
        <f>KL12-KB12</f>
        <v>2.970000000000006E-2</v>
      </c>
      <c r="KT12" s="223">
        <v>2</v>
      </c>
      <c r="KU12" s="216">
        <v>9987</v>
      </c>
      <c r="KV12" s="161">
        <v>13.556899999999999</v>
      </c>
      <c r="KW12" s="161">
        <v>1.8167000000000002</v>
      </c>
      <c r="KX12" s="161">
        <v>0.69220000000000004</v>
      </c>
      <c r="KY12" s="162">
        <f t="shared" ref="KY12:KY75" si="86">KV12/24</f>
        <v>0.56487083333333332</v>
      </c>
      <c r="KZ12" s="53">
        <f t="shared" ref="KZ12:KZ75" si="87">$AJ12-KX12</f>
        <v>37.817799999999998</v>
      </c>
      <c r="LA12" s="224">
        <f>KV12-KL12</f>
        <v>3.119999999999834E-2</v>
      </c>
      <c r="LD12" s="228">
        <v>2</v>
      </c>
      <c r="LE12" s="221">
        <v>9987</v>
      </c>
      <c r="LF12" s="161">
        <v>13.583</v>
      </c>
      <c r="LG12" s="161">
        <v>1.8202</v>
      </c>
      <c r="LH12" s="161">
        <v>0.69350000000000001</v>
      </c>
      <c r="LI12" s="162">
        <f t="shared" ref="LI12:LI75" si="88">LF12/24</f>
        <v>0.56595833333333334</v>
      </c>
      <c r="LJ12" s="53">
        <f t="shared" ref="LJ12:LJ75" si="89">$AJ12-LH12</f>
        <v>37.816499999999998</v>
      </c>
      <c r="LK12" s="229">
        <f>LF12-KV12</f>
        <v>2.6100000000001344E-2</v>
      </c>
      <c r="LL12" s="231"/>
      <c r="LM12" s="231"/>
      <c r="LN12" s="231">
        <v>2</v>
      </c>
      <c r="LO12" s="226">
        <v>9987</v>
      </c>
      <c r="LP12" s="184">
        <v>13.6196</v>
      </c>
      <c r="LQ12" s="184">
        <v>1.8250999999999999</v>
      </c>
      <c r="LR12" s="184">
        <v>0.69540000000000002</v>
      </c>
      <c r="LS12" s="162">
        <f t="shared" ref="LS12:LS75" si="90">LP12/24</f>
        <v>0.56748333333333334</v>
      </c>
      <c r="LT12" s="53">
        <f t="shared" ref="LT12:LT75" si="91">$AJ12-LR12</f>
        <v>37.814599999999999</v>
      </c>
      <c r="LU12" s="232">
        <f>LP12-LF12</f>
        <v>3.6599999999999966E-2</v>
      </c>
      <c r="LW12" s="231"/>
      <c r="LX12" s="231">
        <v>2</v>
      </c>
      <c r="LY12" s="234">
        <v>9987</v>
      </c>
      <c r="LZ12" s="184">
        <v>13.6608</v>
      </c>
      <c r="MA12" s="184">
        <v>1.8306</v>
      </c>
      <c r="MB12" s="184">
        <v>0.69750000000000001</v>
      </c>
      <c r="MC12" s="162">
        <f t="shared" ref="MC12:MC75" si="92">LZ12/24</f>
        <v>0.56920000000000004</v>
      </c>
      <c r="MD12" s="53">
        <f t="shared" ref="MD12:MD75" si="93">$AJ12-MB12</f>
        <v>37.8125</v>
      </c>
      <c r="ME12" s="232">
        <f>LZ12-LP12</f>
        <v>4.1199999999999903E-2</v>
      </c>
      <c r="MF12" s="231"/>
      <c r="MG12" s="231"/>
      <c r="MH12" s="231">
        <v>2</v>
      </c>
      <c r="MI12" s="236">
        <v>9987</v>
      </c>
      <c r="MJ12" s="184">
        <v>13.7013</v>
      </c>
      <c r="MK12" s="184">
        <v>1.8360000000000001</v>
      </c>
      <c r="ML12" s="184">
        <v>0.69950000000000001</v>
      </c>
      <c r="MM12" s="162">
        <f t="shared" ref="MM12:MM75" si="94">MJ12/24</f>
        <v>0.57088749999999999</v>
      </c>
      <c r="MN12" s="53">
        <f t="shared" ref="MN12:MN75" si="95">$AJ12-ML12</f>
        <v>37.810499999999998</v>
      </c>
      <c r="MO12" s="232">
        <f>MJ12-LZ12</f>
        <v>4.0499999999999758E-2</v>
      </c>
      <c r="MP12" s="231"/>
      <c r="MQ12" s="231"/>
      <c r="MR12" s="231">
        <v>2</v>
      </c>
      <c r="MS12" s="238">
        <v>9987</v>
      </c>
      <c r="MT12" s="184">
        <v>13.778600000000001</v>
      </c>
      <c r="MU12" s="184">
        <v>1.8464</v>
      </c>
      <c r="MV12" s="184">
        <v>0.70350000000000001</v>
      </c>
      <c r="MW12" s="162">
        <f t="shared" ref="MW12:MW75" si="96">MT12/24</f>
        <v>0.57410833333333333</v>
      </c>
      <c r="MX12" s="53">
        <f t="shared" ref="MX12:MX75" si="97">$AJ12-MV12</f>
        <v>37.8065</v>
      </c>
      <c r="MY12" s="232">
        <f>MT12-MJ12</f>
        <v>7.7300000000001035E-2</v>
      </c>
      <c r="MZ12" s="246"/>
      <c r="NA12" s="246"/>
      <c r="NB12" s="246">
        <v>2</v>
      </c>
      <c r="NC12" s="242">
        <v>9987</v>
      </c>
      <c r="ND12" s="184">
        <v>13.8576</v>
      </c>
      <c r="NE12" s="184">
        <v>1.857</v>
      </c>
      <c r="NF12" s="184">
        <v>0.70750000000000002</v>
      </c>
      <c r="NG12" s="162">
        <f t="shared" ref="NG12:NG75" si="98">ND12/24</f>
        <v>0.57740000000000002</v>
      </c>
      <c r="NH12" s="53">
        <f t="shared" ref="NH12:NH75" si="99">$AJ12-NF12</f>
        <v>37.802499999999995</v>
      </c>
      <c r="NI12" s="232">
        <f>ND12-MT12</f>
        <v>7.8999999999998849E-2</v>
      </c>
      <c r="NK12" s="250"/>
      <c r="NL12" s="250">
        <v>2</v>
      </c>
      <c r="NM12" s="244">
        <v>9987</v>
      </c>
      <c r="NN12" s="184">
        <v>13.8809</v>
      </c>
      <c r="NO12" s="184">
        <v>1.8601000000000001</v>
      </c>
      <c r="NP12" s="184">
        <v>0.7087</v>
      </c>
      <c r="NQ12" s="162">
        <f t="shared" ref="NQ12:NQ20" si="100">NN12/24</f>
        <v>0.57837083333333339</v>
      </c>
      <c r="NR12" s="53">
        <f t="shared" ref="NR12:NR75" si="101">$AJ12-NP12</f>
        <v>37.801299999999998</v>
      </c>
      <c r="NS12" s="232">
        <f>NN12-ND12</f>
        <v>2.3300000000000765E-2</v>
      </c>
      <c r="NU12" s="250"/>
      <c r="NV12" s="250">
        <v>2</v>
      </c>
      <c r="NW12" s="248">
        <v>9987</v>
      </c>
      <c r="NX12" s="184">
        <v>13.9178</v>
      </c>
      <c r="NY12" s="184">
        <v>1.865</v>
      </c>
      <c r="NZ12" s="184">
        <v>0.71060000000000001</v>
      </c>
      <c r="OA12" s="162">
        <f t="shared" ref="OA12:OA20" si="102">NX12/24</f>
        <v>0.57990833333333336</v>
      </c>
      <c r="OB12" s="53">
        <f t="shared" ref="OB12:OB75" si="103">$AJ12-NZ12</f>
        <v>37.799399999999999</v>
      </c>
      <c r="OC12" s="232">
        <f>NX12-NN12</f>
        <v>3.6899999999999267E-2</v>
      </c>
      <c r="OE12" s="250"/>
      <c r="OF12" s="250">
        <v>2</v>
      </c>
      <c r="OG12" s="251">
        <v>9987</v>
      </c>
      <c r="OH12" s="184">
        <v>13.936299999999999</v>
      </c>
      <c r="OI12" s="184">
        <v>1.8674999999999999</v>
      </c>
      <c r="OJ12" s="184">
        <v>0.71150000000000002</v>
      </c>
      <c r="OK12" s="162">
        <f t="shared" ref="OK12:OK20" si="104">OH12/24</f>
        <v>0.58067916666666664</v>
      </c>
      <c r="OL12" s="53">
        <f t="shared" ref="OL12:OL75" si="105">$AJ12-OJ12</f>
        <v>37.798499999999997</v>
      </c>
      <c r="OM12" s="232">
        <f>OH12-NX12</f>
        <v>1.8499999999999517E-2</v>
      </c>
      <c r="OP12" s="250">
        <v>2</v>
      </c>
      <c r="OQ12" s="253">
        <v>9987</v>
      </c>
      <c r="OR12" s="184">
        <f>VLOOKUP(OQ12,Sheet4!A10:F86,3,0)</f>
        <v>13.9787</v>
      </c>
      <c r="OS12" s="184">
        <f>VLOOKUP(OQ12,Sheet4!A10:F86,4,0)</f>
        <v>1.8732</v>
      </c>
      <c r="OT12" s="184">
        <f>VLOOKUP(OQ12,Sheet4!A10:F86,5,0)</f>
        <v>0.7137</v>
      </c>
      <c r="OU12" s="162">
        <f t="shared" ref="OU12:OU75" si="106">OR12/24</f>
        <v>0.58244583333333333</v>
      </c>
      <c r="OV12" s="53">
        <f t="shared" ref="OV12:OV75" si="107">$AJ12-OT12</f>
        <v>37.796299999999995</v>
      </c>
      <c r="OW12" s="232">
        <f>OR12-OH12</f>
        <v>4.2400000000000659E-2</v>
      </c>
    </row>
    <row r="13" spans="1:413" ht="15.75" x14ac:dyDescent="0.25">
      <c r="A13">
        <v>5</v>
      </c>
      <c r="B13" s="1">
        <v>9996</v>
      </c>
      <c r="C13" s="1" t="s">
        <v>1</v>
      </c>
      <c r="D13" s="2">
        <v>38.44</v>
      </c>
      <c r="E13" s="8"/>
      <c r="F13" s="8"/>
      <c r="G13" s="8"/>
      <c r="H13" s="8"/>
      <c r="J13" s="15">
        <v>9996</v>
      </c>
      <c r="K13" s="15">
        <v>11.0345</v>
      </c>
      <c r="L13" s="15">
        <v>1.4786999999999999</v>
      </c>
      <c r="M13" s="15">
        <v>0.56340000000000001</v>
      </c>
      <c r="N13" s="24">
        <f t="shared" si="42"/>
        <v>0.4597708333333333</v>
      </c>
      <c r="O13" s="10">
        <f t="shared" si="36"/>
        <v>37.876599999999996</v>
      </c>
      <c r="P13" s="18"/>
      <c r="R13" s="20">
        <v>9996</v>
      </c>
      <c r="S13" s="9">
        <v>11.1296</v>
      </c>
      <c r="T13" s="9">
        <v>1.4914000000000001</v>
      </c>
      <c r="U13" s="9">
        <v>0.56820000000000004</v>
      </c>
      <c r="V13" s="24">
        <f t="shared" si="43"/>
        <v>0.46373333333333333</v>
      </c>
      <c r="W13" s="10">
        <f t="shared" si="44"/>
        <v>37.8718</v>
      </c>
      <c r="X13" s="18"/>
      <c r="Z13" s="27">
        <v>9996</v>
      </c>
      <c r="AA13" s="9">
        <v>11.363200000000001</v>
      </c>
      <c r="AB13" s="9">
        <v>1.5226999999999999</v>
      </c>
      <c r="AC13" s="9">
        <v>0.58020000000000005</v>
      </c>
      <c r="AD13" s="24">
        <f t="shared" si="45"/>
        <v>0.4734666666666667</v>
      </c>
      <c r="AE13" s="10">
        <f t="shared" si="46"/>
        <v>37.8598</v>
      </c>
      <c r="AF13" s="79"/>
      <c r="AG13">
        <v>5</v>
      </c>
      <c r="AH13" s="1">
        <v>9996</v>
      </c>
      <c r="AI13" s="1" t="s">
        <v>1</v>
      </c>
      <c r="AJ13" s="2">
        <v>38.44</v>
      </c>
      <c r="AL13" s="32">
        <v>9996</v>
      </c>
      <c r="AM13" s="9">
        <v>11.615600000000001</v>
      </c>
      <c r="AN13" s="9">
        <v>1.5565</v>
      </c>
      <c r="AO13" s="9">
        <v>0.59299999999999997</v>
      </c>
      <c r="AP13" s="37">
        <f t="shared" si="0"/>
        <v>0.48398333333333338</v>
      </c>
      <c r="AQ13" s="53">
        <f t="shared" ref="AQ13:AQ76" si="108">AJ13-AO13</f>
        <v>37.846999999999994</v>
      </c>
      <c r="AT13" s="39"/>
      <c r="AU13" s="38">
        <v>9996</v>
      </c>
      <c r="AV13" s="9">
        <v>11.722899999999999</v>
      </c>
      <c r="AW13" s="43">
        <v>1.5709</v>
      </c>
      <c r="AX13" s="43">
        <v>0.59850000000000003</v>
      </c>
      <c r="AY13" s="47">
        <f t="shared" si="47"/>
        <v>0.48845416666666663</v>
      </c>
      <c r="AZ13" s="56">
        <f t="shared" ref="AZ13:AZ76" si="109">AJ13-AX13</f>
        <v>37.841499999999996</v>
      </c>
      <c r="BA13" s="3">
        <f>MIN(AZ11:AZ81)</f>
        <v>34.984999999999999</v>
      </c>
      <c r="BD13" s="54">
        <v>9996</v>
      </c>
      <c r="BE13" s="53">
        <v>11.735099999999999</v>
      </c>
      <c r="BF13" s="58">
        <v>1.5725</v>
      </c>
      <c r="BG13" s="58">
        <v>0.59909999999999997</v>
      </c>
      <c r="BH13" s="47">
        <f t="shared" si="48"/>
        <v>0.48896249999999997</v>
      </c>
      <c r="BI13" s="56">
        <f t="shared" si="49"/>
        <v>37.840899999999998</v>
      </c>
      <c r="BN13" s="9">
        <v>9996</v>
      </c>
      <c r="BO13" s="53">
        <v>11.7804</v>
      </c>
      <c r="BP13" s="53">
        <v>1.5786</v>
      </c>
      <c r="BQ13" s="53">
        <v>0.60150000000000003</v>
      </c>
      <c r="BR13" s="53">
        <f t="shared" si="50"/>
        <v>0.49085000000000001</v>
      </c>
      <c r="BS13" s="53">
        <f t="shared" si="51"/>
        <v>37.838499999999996</v>
      </c>
      <c r="BV13" s="3"/>
      <c r="BX13" s="93">
        <v>9996</v>
      </c>
      <c r="BY13" s="9">
        <v>11.8696</v>
      </c>
      <c r="BZ13" s="9">
        <v>1.5906</v>
      </c>
      <c r="CA13" s="9">
        <v>0.60599999999999998</v>
      </c>
      <c r="CB13" s="58">
        <f t="shared" si="52"/>
        <v>0.49456666666666665</v>
      </c>
      <c r="CC13" s="53">
        <f t="shared" ref="CC13:CC75" si="110">AJ13-CA13</f>
        <v>37.833999999999996</v>
      </c>
      <c r="CF13" s="3"/>
      <c r="CG13">
        <v>3</v>
      </c>
      <c r="CH13" s="93">
        <v>9996</v>
      </c>
      <c r="CI13" s="93">
        <v>11.946300000000001</v>
      </c>
      <c r="CJ13" s="9">
        <v>1.6009</v>
      </c>
      <c r="CK13" s="9">
        <v>0.6099</v>
      </c>
      <c r="CL13" s="47">
        <f t="shared" si="5"/>
        <v>0.49776250000000005</v>
      </c>
      <c r="CM13" s="53">
        <f t="shared" si="53"/>
        <v>37.830099999999995</v>
      </c>
      <c r="CQ13">
        <v>3</v>
      </c>
      <c r="CR13" s="98">
        <v>9996</v>
      </c>
      <c r="CS13" s="101">
        <v>12.0428</v>
      </c>
      <c r="CT13" s="101">
        <v>1.6137999999999999</v>
      </c>
      <c r="CU13" s="101">
        <v>0.6149</v>
      </c>
      <c r="CV13" s="47">
        <f t="shared" si="6"/>
        <v>0.50178333333333336</v>
      </c>
      <c r="CW13" s="53">
        <f t="shared" si="37"/>
        <v>37.825099999999999</v>
      </c>
      <c r="DA13">
        <v>3</v>
      </c>
      <c r="DB13" s="106">
        <v>9996</v>
      </c>
      <c r="DC13" s="107">
        <v>12.052300000000001</v>
      </c>
      <c r="DD13" s="107">
        <v>1.6151</v>
      </c>
      <c r="DE13" s="107">
        <v>0.61529999999999996</v>
      </c>
      <c r="DF13" s="47">
        <f t="shared" si="7"/>
        <v>0.50217916666666673</v>
      </c>
      <c r="DG13" s="53">
        <f t="shared" ref="DG13:DG76" si="111">AJ13-DE13</f>
        <v>37.8247</v>
      </c>
      <c r="DK13">
        <v>3</v>
      </c>
      <c r="DL13" s="110">
        <v>9996</v>
      </c>
      <c r="DM13" s="53">
        <v>12.1624</v>
      </c>
      <c r="DN13" s="53">
        <v>1.6297999999999999</v>
      </c>
      <c r="DO13" s="53">
        <v>0.621</v>
      </c>
      <c r="DP13" s="47">
        <f t="shared" si="8"/>
        <v>0.5067666666666667</v>
      </c>
      <c r="DQ13" s="53">
        <f t="shared" si="54"/>
        <v>37.818999999999996</v>
      </c>
      <c r="DS13" s="3">
        <f t="shared" si="55"/>
        <v>0.1100999999999992</v>
      </c>
      <c r="DU13">
        <v>3</v>
      </c>
      <c r="DV13" s="115">
        <v>9996</v>
      </c>
      <c r="DW13" s="9">
        <v>12.231</v>
      </c>
      <c r="DX13" s="9">
        <v>1.639</v>
      </c>
      <c r="DY13" s="9">
        <v>0.62450000000000006</v>
      </c>
      <c r="DZ13" s="47">
        <f t="shared" si="9"/>
        <v>0.50962499999999999</v>
      </c>
      <c r="EA13" s="53">
        <f t="shared" ref="EA13:EA76" si="112">AJ13-DY13</f>
        <v>37.8155</v>
      </c>
      <c r="EB13" s="3"/>
      <c r="EE13">
        <v>3</v>
      </c>
      <c r="EF13" s="118">
        <v>9996</v>
      </c>
      <c r="EG13" s="9">
        <v>12.338200000000001</v>
      </c>
      <c r="EH13" s="9">
        <v>1.6534</v>
      </c>
      <c r="EI13" s="9">
        <v>0.62990000000000002</v>
      </c>
      <c r="EJ13" s="47">
        <f t="shared" si="10"/>
        <v>0.51409166666666672</v>
      </c>
      <c r="EK13" s="53">
        <f t="shared" si="56"/>
        <v>37.810099999999998</v>
      </c>
      <c r="EM13" s="3">
        <f t="shared" si="57"/>
        <v>-5.4000000000016257E-3</v>
      </c>
      <c r="EN13" s="3"/>
      <c r="EO13">
        <v>3</v>
      </c>
      <c r="EP13" s="121">
        <v>9996</v>
      </c>
      <c r="EQ13" s="122">
        <v>12.551299999999999</v>
      </c>
      <c r="ER13" s="122">
        <v>1.6819</v>
      </c>
      <c r="ES13" s="129">
        <v>0.64080000000000004</v>
      </c>
      <c r="ET13" s="130">
        <f t="shared" si="11"/>
        <v>0.52297083333333327</v>
      </c>
      <c r="EU13" s="131">
        <f t="shared" si="58"/>
        <v>37.799199999999999</v>
      </c>
      <c r="EX13" s="3"/>
      <c r="EY13">
        <v>3</v>
      </c>
      <c r="EZ13" s="135">
        <v>9996</v>
      </c>
      <c r="FA13" s="135">
        <v>12.6518</v>
      </c>
      <c r="FB13" s="135">
        <v>1.6954</v>
      </c>
      <c r="FC13" s="135">
        <v>0.64590000000000003</v>
      </c>
      <c r="FD13" s="136">
        <f t="shared" si="12"/>
        <v>0.52715833333333328</v>
      </c>
      <c r="FE13" s="131">
        <f t="shared" si="59"/>
        <v>37.7941</v>
      </c>
      <c r="FG13" s="123">
        <f t="shared" si="60"/>
        <v>-5.0999999999987722E-3</v>
      </c>
      <c r="FH13" s="3"/>
      <c r="FI13">
        <v>3</v>
      </c>
      <c r="FJ13" s="145">
        <v>9996</v>
      </c>
      <c r="FK13" s="9">
        <v>12.7857</v>
      </c>
      <c r="FL13" s="9">
        <v>1.7133</v>
      </c>
      <c r="FM13" s="9">
        <v>0.65280000000000005</v>
      </c>
      <c r="FN13" s="146">
        <f t="shared" ref="FN13:FN76" si="113">FK13/24</f>
        <v>0.53273749999999997</v>
      </c>
      <c r="FO13" s="131">
        <f t="shared" si="61"/>
        <v>37.787199999999999</v>
      </c>
      <c r="FP13" s="123">
        <f t="shared" si="62"/>
        <v>-6.9000000000016826E-3</v>
      </c>
      <c r="FS13">
        <v>3</v>
      </c>
      <c r="FT13" s="147">
        <v>9996</v>
      </c>
      <c r="FU13" s="148">
        <v>12.8133</v>
      </c>
      <c r="FV13" s="148">
        <v>1.7170000000000001</v>
      </c>
      <c r="FW13" s="148">
        <v>0.6542</v>
      </c>
      <c r="FX13" s="150">
        <f t="shared" ref="FX13:FX76" si="114">FU13/24</f>
        <v>0.53388749999999996</v>
      </c>
      <c r="FY13" s="131">
        <f t="shared" ref="FY13:FY76" si="115">AJ13-FW13</f>
        <v>37.785799999999995</v>
      </c>
      <c r="FZ13">
        <f t="shared" si="63"/>
        <v>2.7599999999999625E-2</v>
      </c>
      <c r="GC13">
        <v>3</v>
      </c>
      <c r="GD13" s="151">
        <v>9996</v>
      </c>
      <c r="GE13" s="151">
        <v>12.881500000000001</v>
      </c>
      <c r="GF13" s="151">
        <v>1.7262</v>
      </c>
      <c r="GG13" s="151">
        <v>0.65769999999999995</v>
      </c>
      <c r="GH13" s="153">
        <f>GE13/24</f>
        <v>0.5367291666666667</v>
      </c>
      <c r="GI13" s="131">
        <f t="shared" si="64"/>
        <v>37.782299999999999</v>
      </c>
      <c r="GJ13">
        <f t="shared" si="38"/>
        <v>6.8200000000000927E-2</v>
      </c>
      <c r="GM13">
        <v>3</v>
      </c>
      <c r="GN13" s="155">
        <v>9996</v>
      </c>
      <c r="GO13" s="155">
        <v>13.0259</v>
      </c>
      <c r="GP13" s="155">
        <v>1.7455000000000001</v>
      </c>
      <c r="GQ13" s="155">
        <v>0.66500000000000004</v>
      </c>
      <c r="GR13" s="58">
        <f t="shared" si="65"/>
        <v>0.54274583333333337</v>
      </c>
      <c r="GS13" s="131">
        <f t="shared" si="66"/>
        <v>37.774999999999999</v>
      </c>
      <c r="GT13">
        <f t="shared" si="39"/>
        <v>0.1443999999999992</v>
      </c>
      <c r="GW13">
        <v>3</v>
      </c>
      <c r="GX13" s="157">
        <v>9996</v>
      </c>
      <c r="GY13" s="161">
        <f>VLOOKUP(GX13,Sheet3!$AJ$7:$AN$83,2,0)</f>
        <v>13.209099999999999</v>
      </c>
      <c r="GZ13" s="161">
        <f>VLOOKUP(GX13,Sheet3!$AJ$7:$AN$83,3,0)</f>
        <v>1.7701</v>
      </c>
      <c r="HA13" s="161">
        <f>VLOOKUP(GX13,Sheet3!$AJ$7:$AN$83,4,0)</f>
        <v>0.6744</v>
      </c>
      <c r="HB13" s="162">
        <f t="shared" si="17"/>
        <v>0.55037916666666664</v>
      </c>
      <c r="HC13" s="131">
        <f t="shared" ref="HC13:HC75" si="116">$AJ13-HA13</f>
        <v>37.765599999999999</v>
      </c>
      <c r="HD13" s="159">
        <f t="shared" si="40"/>
        <v>0.18319999999999936</v>
      </c>
      <c r="HE13" s="159">
        <f t="shared" si="41"/>
        <v>9.3999999999999639E-3</v>
      </c>
      <c r="HG13" s="159"/>
      <c r="HH13" s="159">
        <v>3</v>
      </c>
      <c r="HI13" s="158">
        <v>9996</v>
      </c>
      <c r="HJ13" s="161">
        <v>13.282999999999999</v>
      </c>
      <c r="HK13" s="161">
        <v>1.78</v>
      </c>
      <c r="HL13" s="161">
        <v>0.67820000000000003</v>
      </c>
      <c r="HM13" s="162">
        <f t="shared" si="18"/>
        <v>0.55345833333333327</v>
      </c>
      <c r="HN13" s="131">
        <f t="shared" si="67"/>
        <v>37.761800000000001</v>
      </c>
      <c r="HO13" s="159">
        <f t="shared" si="68"/>
        <v>7.3900000000000077E-2</v>
      </c>
      <c r="HQ13" s="183"/>
      <c r="HR13" s="183">
        <v>3</v>
      </c>
      <c r="HS13" s="178">
        <v>9996</v>
      </c>
      <c r="HT13" s="184">
        <v>13.331200000000001</v>
      </c>
      <c r="HU13" s="184">
        <v>1.7864</v>
      </c>
      <c r="HV13" s="184">
        <v>0.68059999999999998</v>
      </c>
      <c r="HW13" s="171">
        <f t="shared" si="19"/>
        <v>0.55546666666666666</v>
      </c>
      <c r="HX13" s="53">
        <f t="shared" si="69"/>
        <v>37.759399999999999</v>
      </c>
      <c r="HY13" s="183">
        <f t="shared" si="70"/>
        <v>4.8200000000001353E-2</v>
      </c>
      <c r="IA13" s="194"/>
      <c r="IB13" s="194">
        <v>3</v>
      </c>
      <c r="IC13" s="193">
        <v>9996</v>
      </c>
      <c r="ID13" s="161">
        <v>13.3521</v>
      </c>
      <c r="IE13" s="184">
        <v>1.7891999999999999</v>
      </c>
      <c r="IF13" s="184">
        <v>0.68169999999999997</v>
      </c>
      <c r="IG13" s="171">
        <f t="shared" si="71"/>
        <v>0.55633750000000004</v>
      </c>
      <c r="IH13" s="53">
        <f t="shared" si="72"/>
        <v>37.758299999999998</v>
      </c>
      <c r="II13" s="194">
        <f t="shared" si="73"/>
        <v>2.0899999999999253E-2</v>
      </c>
      <c r="IL13" s="199">
        <v>3</v>
      </c>
      <c r="IM13" s="197">
        <v>9996</v>
      </c>
      <c r="IN13" s="161">
        <v>13.4619</v>
      </c>
      <c r="IO13" s="184">
        <v>1.8039000000000001</v>
      </c>
      <c r="IP13" s="184">
        <v>0.68730000000000002</v>
      </c>
      <c r="IQ13" s="171">
        <f t="shared" si="74"/>
        <v>0.56091250000000004</v>
      </c>
      <c r="IR13" s="53">
        <f t="shared" si="75"/>
        <v>37.752699999999997</v>
      </c>
      <c r="IS13" s="199">
        <f t="shared" si="76"/>
        <v>0.1097999999999999</v>
      </c>
      <c r="IU13" s="202"/>
      <c r="IV13" s="202">
        <v>3</v>
      </c>
      <c r="IW13" s="201">
        <v>9996</v>
      </c>
      <c r="IX13" s="184">
        <v>13.610200000000001</v>
      </c>
      <c r="IY13" s="184">
        <v>1.8238000000000001</v>
      </c>
      <c r="IZ13" s="184">
        <v>0.69489999999999996</v>
      </c>
      <c r="JA13" s="162">
        <f t="shared" si="22"/>
        <v>0.56709166666666666</v>
      </c>
      <c r="JB13" s="53">
        <f t="shared" si="77"/>
        <v>37.745100000000001</v>
      </c>
      <c r="JC13" s="202">
        <f t="shared" si="78"/>
        <v>0.14830000000000076</v>
      </c>
      <c r="JE13" s="204"/>
      <c r="JF13" s="204">
        <v>3</v>
      </c>
      <c r="JG13" s="203">
        <v>9996</v>
      </c>
      <c r="JH13" s="161">
        <v>13.657299999999999</v>
      </c>
      <c r="JI13" s="184">
        <v>1.8301000000000001</v>
      </c>
      <c r="JJ13" s="184">
        <v>0.69730000000000003</v>
      </c>
      <c r="JK13" s="162">
        <f t="shared" si="79"/>
        <v>0.56905416666666664</v>
      </c>
      <c r="JL13" s="53">
        <f t="shared" si="80"/>
        <v>37.742699999999999</v>
      </c>
      <c r="JM13" s="204">
        <f t="shared" ref="JM13:JM73" si="117">JH13-IX13</f>
        <v>4.7099999999998587E-2</v>
      </c>
      <c r="JN13" s="204"/>
      <c r="JP13" s="209">
        <v>3</v>
      </c>
      <c r="JQ13" s="205">
        <v>9996</v>
      </c>
      <c r="JR13" s="161">
        <v>13.6952</v>
      </c>
      <c r="JS13" s="184">
        <v>1.8351999999999999</v>
      </c>
      <c r="JT13" s="184">
        <v>0.69920000000000004</v>
      </c>
      <c r="JU13" s="162">
        <f t="shared" si="81"/>
        <v>0.57063333333333333</v>
      </c>
      <c r="JV13" s="53">
        <f t="shared" si="82"/>
        <v>37.7408</v>
      </c>
      <c r="JW13" s="209">
        <f t="shared" ref="JW13:JW73" si="118">JR13-JH13</f>
        <v>3.7900000000000489E-2</v>
      </c>
      <c r="JX13" s="213"/>
      <c r="JY13" s="213"/>
      <c r="JZ13" s="213">
        <v>3</v>
      </c>
      <c r="KA13" s="206">
        <v>9996</v>
      </c>
      <c r="KB13" s="184">
        <v>13.784000000000001</v>
      </c>
      <c r="KC13" s="184">
        <v>1.8471</v>
      </c>
      <c r="KD13" s="184">
        <v>0.70369999999999999</v>
      </c>
      <c r="KE13" s="162">
        <f>KB13/24</f>
        <v>0.57433333333333336</v>
      </c>
      <c r="KF13" s="53">
        <f t="shared" si="84"/>
        <v>37.7363</v>
      </c>
      <c r="KG13" s="213">
        <f t="shared" ref="KG13:KG73" si="119">KB13-JR13</f>
        <v>8.8800000000000878E-2</v>
      </c>
      <c r="KI13" s="219"/>
      <c r="KJ13" s="219">
        <v>3</v>
      </c>
      <c r="KK13" s="214">
        <v>9996</v>
      </c>
      <c r="KL13" s="161">
        <v>13.813700000000001</v>
      </c>
      <c r="KM13" s="161">
        <v>1.8511</v>
      </c>
      <c r="KN13" s="161">
        <v>0.70530000000000004</v>
      </c>
      <c r="KO13" s="162">
        <f t="shared" si="24"/>
        <v>0.57557083333333336</v>
      </c>
      <c r="KP13" s="53">
        <f t="shared" si="85"/>
        <v>37.734699999999997</v>
      </c>
      <c r="KQ13" s="219">
        <f t="shared" ref="KQ13:KQ73" si="120">KL13-KB13</f>
        <v>2.970000000000006E-2</v>
      </c>
      <c r="KT13" s="223">
        <v>3</v>
      </c>
      <c r="KU13" s="216">
        <v>9996</v>
      </c>
      <c r="KV13" s="161">
        <v>13.844900000000001</v>
      </c>
      <c r="KW13" s="161">
        <v>1.8553000000000002</v>
      </c>
      <c r="KX13" s="161">
        <v>0.70689999999999997</v>
      </c>
      <c r="KY13" s="162">
        <f t="shared" si="86"/>
        <v>0.57687083333333333</v>
      </c>
      <c r="KZ13" s="53">
        <f t="shared" si="87"/>
        <v>37.7331</v>
      </c>
      <c r="LA13" s="223">
        <f t="shared" ref="LA13:LA73" si="121">KV13-KL13</f>
        <v>3.1200000000000117E-2</v>
      </c>
      <c r="LD13" s="228">
        <v>3</v>
      </c>
      <c r="LE13" s="221">
        <v>9996</v>
      </c>
      <c r="LF13" s="161">
        <v>13.871</v>
      </c>
      <c r="LG13" s="161">
        <v>1.8588</v>
      </c>
      <c r="LH13" s="161">
        <v>0.70820000000000005</v>
      </c>
      <c r="LI13" s="162">
        <f t="shared" si="88"/>
        <v>0.57795833333333335</v>
      </c>
      <c r="LJ13" s="53">
        <f t="shared" si="89"/>
        <v>37.7318</v>
      </c>
      <c r="LK13" s="228">
        <f t="shared" ref="LK13:LK73" si="122">LF13-KV13</f>
        <v>2.6099999999999568E-2</v>
      </c>
      <c r="LL13" s="231"/>
      <c r="LM13" s="231"/>
      <c r="LN13" s="231">
        <v>3</v>
      </c>
      <c r="LO13" s="226">
        <v>9996</v>
      </c>
      <c r="LP13" s="184">
        <v>13.9076</v>
      </c>
      <c r="LQ13" s="184">
        <v>1.8636999999999999</v>
      </c>
      <c r="LR13" s="184">
        <v>0.71009999999999995</v>
      </c>
      <c r="LS13" s="162">
        <f t="shared" si="90"/>
        <v>0.57948333333333335</v>
      </c>
      <c r="LT13" s="53">
        <f t="shared" si="91"/>
        <v>37.729900000000001</v>
      </c>
      <c r="LU13" s="231">
        <f t="shared" ref="LU13:LU73" si="123">LP13-LF13</f>
        <v>3.6599999999999966E-2</v>
      </c>
      <c r="LW13" s="231"/>
      <c r="LX13" s="231">
        <v>3</v>
      </c>
      <c r="LY13" s="234">
        <v>9996</v>
      </c>
      <c r="LZ13" s="184">
        <v>13.9488</v>
      </c>
      <c r="MA13" s="184">
        <v>1.8692</v>
      </c>
      <c r="MB13" s="184">
        <v>0.71220000000000006</v>
      </c>
      <c r="MC13" s="162">
        <f t="shared" si="92"/>
        <v>0.58120000000000005</v>
      </c>
      <c r="MD13" s="53">
        <f t="shared" si="93"/>
        <v>37.727799999999995</v>
      </c>
      <c r="ME13" s="231">
        <f t="shared" ref="ME13:ME73" si="124">LZ13-LP13</f>
        <v>4.1199999999999903E-2</v>
      </c>
      <c r="MF13" s="231"/>
      <c r="MG13" s="231"/>
      <c r="MH13" s="231">
        <v>3</v>
      </c>
      <c r="MI13" s="236">
        <v>9996</v>
      </c>
      <c r="MJ13" s="184">
        <v>13.9893</v>
      </c>
      <c r="MK13" s="184">
        <v>1.8746</v>
      </c>
      <c r="ML13" s="184">
        <v>0.71419999999999995</v>
      </c>
      <c r="MM13" s="162">
        <f t="shared" si="94"/>
        <v>0.5828875</v>
      </c>
      <c r="MN13" s="53">
        <f t="shared" si="95"/>
        <v>37.7258</v>
      </c>
      <c r="MO13" s="231">
        <f t="shared" ref="MO13:MO73" si="125">MJ13-LZ13</f>
        <v>4.0499999999999758E-2</v>
      </c>
      <c r="MP13" s="231"/>
      <c r="MQ13" s="231"/>
      <c r="MR13" s="231">
        <v>3</v>
      </c>
      <c r="MS13" s="34">
        <v>9996</v>
      </c>
      <c r="MT13" s="184">
        <v>14.066599999999999</v>
      </c>
      <c r="MU13" s="184">
        <v>1.885</v>
      </c>
      <c r="MV13" s="184">
        <v>0.71819999999999995</v>
      </c>
      <c r="MW13" s="162">
        <f t="shared" si="96"/>
        <v>0.58610833333333334</v>
      </c>
      <c r="MX13" s="53">
        <f t="shared" si="97"/>
        <v>37.721799999999995</v>
      </c>
      <c r="MY13" s="231">
        <f t="shared" ref="MY13:MY73" si="126">MT13-MJ13</f>
        <v>7.7299999999999258E-2</v>
      </c>
      <c r="MZ13" s="246"/>
      <c r="NA13" s="246"/>
      <c r="NB13" s="246">
        <v>3</v>
      </c>
      <c r="NC13" s="34">
        <v>9996</v>
      </c>
      <c r="ND13" s="184">
        <v>14.1456</v>
      </c>
      <c r="NE13" s="184">
        <v>1.8956</v>
      </c>
      <c r="NF13" s="184">
        <v>0.72219999999999995</v>
      </c>
      <c r="NG13" s="162">
        <f t="shared" si="98"/>
        <v>0.58940000000000003</v>
      </c>
      <c r="NH13" s="53">
        <f t="shared" si="99"/>
        <v>37.717799999999997</v>
      </c>
      <c r="NI13" s="232">
        <f t="shared" ref="NI13:NI73" si="127">ND13-MT13</f>
        <v>7.9000000000000625E-2</v>
      </c>
      <c r="NK13" s="250"/>
      <c r="NL13" s="250">
        <v>3</v>
      </c>
      <c r="NM13" s="34">
        <v>9996</v>
      </c>
      <c r="NN13" s="184">
        <v>14.168900000000001</v>
      </c>
      <c r="NO13" s="184">
        <v>1.8987000000000001</v>
      </c>
      <c r="NP13" s="184">
        <v>0.72340000000000004</v>
      </c>
      <c r="NQ13" s="162">
        <f t="shared" si="100"/>
        <v>0.5903708333333334</v>
      </c>
      <c r="NR13" s="53">
        <f t="shared" si="101"/>
        <v>37.7166</v>
      </c>
      <c r="NS13" s="232">
        <f t="shared" ref="NS13:NS73" si="128">NN13-ND13</f>
        <v>2.3300000000000765E-2</v>
      </c>
      <c r="NU13" s="250"/>
      <c r="NV13" s="250">
        <v>3</v>
      </c>
      <c r="NW13" s="34">
        <v>9996</v>
      </c>
      <c r="NX13" s="184">
        <v>14.2058</v>
      </c>
      <c r="NY13" s="184">
        <v>1.9036</v>
      </c>
      <c r="NZ13" s="184">
        <v>0.72529999999999994</v>
      </c>
      <c r="OA13" s="162">
        <f t="shared" si="102"/>
        <v>0.59190833333333337</v>
      </c>
      <c r="OB13" s="53">
        <f t="shared" si="103"/>
        <v>37.714700000000001</v>
      </c>
      <c r="OC13" s="232">
        <f t="shared" ref="OC13:OC73" si="129">NX13-NN13</f>
        <v>3.6899999999999267E-2</v>
      </c>
      <c r="OE13" s="250"/>
      <c r="OF13" s="250">
        <v>3</v>
      </c>
      <c r="OG13" s="34">
        <v>9996</v>
      </c>
      <c r="OH13" s="184">
        <v>14.224299999999999</v>
      </c>
      <c r="OI13" s="184">
        <v>1.9060999999999999</v>
      </c>
      <c r="OJ13" s="184">
        <v>0.72619999999999996</v>
      </c>
      <c r="OK13" s="162">
        <f t="shared" si="104"/>
        <v>0.59267916666666665</v>
      </c>
      <c r="OL13" s="53">
        <f t="shared" si="105"/>
        <v>37.713799999999999</v>
      </c>
      <c r="OM13" s="232">
        <f t="shared" ref="OM13:OM73" si="130">OH13-NX13</f>
        <v>1.8499999999999517E-2</v>
      </c>
      <c r="OP13" s="250">
        <v>3</v>
      </c>
      <c r="OQ13" s="34">
        <v>9996</v>
      </c>
      <c r="OR13" s="184">
        <f>VLOOKUP(OQ13,Sheet4!A11:F87,3,0)</f>
        <v>14.2667</v>
      </c>
      <c r="OS13" s="184">
        <f>VLOOKUP(OQ13,Sheet4!A11:F87,4,0)</f>
        <v>1.9117999999999999</v>
      </c>
      <c r="OT13" s="184">
        <f>VLOOKUP(OQ13,Sheet4!A11:F87,5,0)</f>
        <v>0.72840000000000005</v>
      </c>
      <c r="OU13" s="162">
        <f t="shared" si="106"/>
        <v>0.59444583333333334</v>
      </c>
      <c r="OV13" s="53">
        <f t="shared" si="107"/>
        <v>37.711599999999997</v>
      </c>
      <c r="OW13" s="232">
        <f t="shared" ref="OW13:OW73" si="131">OR13-OH13</f>
        <v>4.2400000000000659E-2</v>
      </c>
    </row>
    <row r="14" spans="1:413" ht="15.75" x14ac:dyDescent="0.25">
      <c r="A14">
        <v>6</v>
      </c>
      <c r="B14" s="1">
        <v>9988</v>
      </c>
      <c r="C14" s="1" t="s">
        <v>1</v>
      </c>
      <c r="D14" s="2">
        <v>38.4</v>
      </c>
      <c r="E14" s="8"/>
      <c r="F14" s="8"/>
      <c r="G14" s="8"/>
      <c r="H14" s="8"/>
      <c r="J14" s="15">
        <v>9988</v>
      </c>
      <c r="K14" s="15">
        <v>11.0345</v>
      </c>
      <c r="L14" s="15">
        <v>1.4786999999999999</v>
      </c>
      <c r="M14" s="15">
        <v>0.56340000000000001</v>
      </c>
      <c r="N14" s="24">
        <f t="shared" si="42"/>
        <v>0.4597708333333333</v>
      </c>
      <c r="O14" s="10">
        <f t="shared" si="36"/>
        <v>37.836599999999997</v>
      </c>
      <c r="P14" s="18"/>
      <c r="R14" s="20">
        <v>9988</v>
      </c>
      <c r="S14" s="9">
        <v>11.1296</v>
      </c>
      <c r="T14" s="9">
        <v>1.4914000000000001</v>
      </c>
      <c r="U14" s="9">
        <v>0.56820000000000004</v>
      </c>
      <c r="V14" s="24">
        <f t="shared" si="43"/>
        <v>0.46373333333333333</v>
      </c>
      <c r="W14" s="10">
        <f t="shared" si="44"/>
        <v>37.831800000000001</v>
      </c>
      <c r="X14" s="18"/>
      <c r="Z14" s="27">
        <v>9988</v>
      </c>
      <c r="AA14" s="9">
        <v>11.363200000000001</v>
      </c>
      <c r="AB14" s="9">
        <v>1.5226999999999999</v>
      </c>
      <c r="AC14" s="9">
        <v>0.58020000000000005</v>
      </c>
      <c r="AD14" s="24">
        <f t="shared" si="45"/>
        <v>0.4734666666666667</v>
      </c>
      <c r="AE14" s="10">
        <f t="shared" si="46"/>
        <v>37.819800000000001</v>
      </c>
      <c r="AF14" s="79"/>
      <c r="AG14">
        <v>6</v>
      </c>
      <c r="AH14" s="1">
        <v>9988</v>
      </c>
      <c r="AI14" s="1" t="s">
        <v>1</v>
      </c>
      <c r="AJ14" s="2">
        <v>38.4</v>
      </c>
      <c r="AL14" s="32">
        <v>9988</v>
      </c>
      <c r="AM14" s="9">
        <v>11.615600000000001</v>
      </c>
      <c r="AN14" s="9">
        <v>1.5565</v>
      </c>
      <c r="AO14" s="9">
        <v>0.59299999999999997</v>
      </c>
      <c r="AP14" s="37">
        <f t="shared" si="0"/>
        <v>0.48398333333333338</v>
      </c>
      <c r="AQ14" s="53">
        <f t="shared" si="108"/>
        <v>37.807000000000002</v>
      </c>
      <c r="AT14" s="39"/>
      <c r="AU14" s="38">
        <v>9988</v>
      </c>
      <c r="AV14" s="9">
        <v>11.722899999999999</v>
      </c>
      <c r="AW14" s="43">
        <v>1.5709</v>
      </c>
      <c r="AX14" s="43">
        <v>0.59850000000000003</v>
      </c>
      <c r="AY14" s="47">
        <f t="shared" si="47"/>
        <v>0.48845416666666663</v>
      </c>
      <c r="AZ14" s="56">
        <f t="shared" si="109"/>
        <v>37.801499999999997</v>
      </c>
      <c r="BD14" s="54">
        <v>9988</v>
      </c>
      <c r="BE14" s="53">
        <v>11.735099999999999</v>
      </c>
      <c r="BF14" s="58">
        <v>1.5725</v>
      </c>
      <c r="BG14" s="58">
        <v>0.59909999999999997</v>
      </c>
      <c r="BH14" s="47">
        <f t="shared" si="48"/>
        <v>0.48896249999999997</v>
      </c>
      <c r="BI14" s="56">
        <f t="shared" si="49"/>
        <v>37.800899999999999</v>
      </c>
      <c r="BJ14" s="88"/>
      <c r="BK14" s="88"/>
      <c r="BL14" s="88"/>
      <c r="BN14" s="9">
        <v>9988</v>
      </c>
      <c r="BO14" s="53">
        <v>11.7804</v>
      </c>
      <c r="BP14" s="53">
        <v>1.5786</v>
      </c>
      <c r="BQ14" s="53">
        <v>0.60150000000000003</v>
      </c>
      <c r="BR14" s="53">
        <f t="shared" si="50"/>
        <v>0.49085000000000001</v>
      </c>
      <c r="BS14" s="53">
        <f t="shared" si="51"/>
        <v>37.798499999999997</v>
      </c>
      <c r="BV14" s="88"/>
      <c r="BX14" s="93">
        <v>9988</v>
      </c>
      <c r="BY14" s="9">
        <v>11.8696</v>
      </c>
      <c r="BZ14" s="9">
        <v>1.5906</v>
      </c>
      <c r="CA14" s="9">
        <v>0.60599999999999998</v>
      </c>
      <c r="CB14" s="58">
        <f t="shared" si="52"/>
        <v>0.49456666666666665</v>
      </c>
      <c r="CC14" s="53">
        <f t="shared" si="110"/>
        <v>37.793999999999997</v>
      </c>
      <c r="CF14" s="88"/>
      <c r="CG14">
        <v>4</v>
      </c>
      <c r="CH14" s="93">
        <v>9988</v>
      </c>
      <c r="CI14" s="93">
        <v>11.946300000000001</v>
      </c>
      <c r="CJ14" s="9">
        <v>1.6009</v>
      </c>
      <c r="CK14" s="9">
        <v>0.6099</v>
      </c>
      <c r="CL14" s="47">
        <f t="shared" si="5"/>
        <v>0.49776250000000005</v>
      </c>
      <c r="CM14" s="53">
        <f t="shared" si="53"/>
        <v>37.790099999999995</v>
      </c>
      <c r="CQ14">
        <v>4</v>
      </c>
      <c r="CR14" s="98">
        <v>9988</v>
      </c>
      <c r="CS14" s="101">
        <v>12.0428</v>
      </c>
      <c r="CT14" s="101">
        <v>1.6137999999999999</v>
      </c>
      <c r="CU14" s="101">
        <v>0.6149</v>
      </c>
      <c r="CV14" s="47">
        <f t="shared" si="6"/>
        <v>0.50178333333333336</v>
      </c>
      <c r="CW14" s="53">
        <f t="shared" si="37"/>
        <v>37.7851</v>
      </c>
      <c r="DA14">
        <v>4</v>
      </c>
      <c r="DB14" s="106">
        <v>9988</v>
      </c>
      <c r="DC14" s="107">
        <v>12.052300000000001</v>
      </c>
      <c r="DD14" s="107">
        <v>1.6151</v>
      </c>
      <c r="DE14" s="107">
        <v>0.61529999999999996</v>
      </c>
      <c r="DF14" s="47">
        <f t="shared" si="7"/>
        <v>0.50217916666666673</v>
      </c>
      <c r="DG14" s="53">
        <f t="shared" si="111"/>
        <v>37.784700000000001</v>
      </c>
      <c r="DK14">
        <v>4</v>
      </c>
      <c r="DL14" s="110">
        <v>9988</v>
      </c>
      <c r="DM14" s="53">
        <v>12.1624</v>
      </c>
      <c r="DN14" s="53">
        <v>1.6297999999999999</v>
      </c>
      <c r="DO14" s="53">
        <v>0.621</v>
      </c>
      <c r="DP14" s="47">
        <f t="shared" si="8"/>
        <v>0.5067666666666667</v>
      </c>
      <c r="DQ14" s="53">
        <f t="shared" si="54"/>
        <v>37.778999999999996</v>
      </c>
      <c r="DS14" s="3">
        <f t="shared" si="55"/>
        <v>0.1100999999999992</v>
      </c>
      <c r="DU14">
        <v>4</v>
      </c>
      <c r="DV14" s="115">
        <v>9988</v>
      </c>
      <c r="DW14" s="9">
        <v>12.231</v>
      </c>
      <c r="DX14" s="9">
        <v>1.639</v>
      </c>
      <c r="DY14" s="9">
        <v>0.62450000000000006</v>
      </c>
      <c r="DZ14" s="47">
        <f t="shared" si="9"/>
        <v>0.50962499999999999</v>
      </c>
      <c r="EA14" s="53">
        <f t="shared" si="112"/>
        <v>37.775500000000001</v>
      </c>
      <c r="EB14" s="3"/>
      <c r="EE14">
        <v>4</v>
      </c>
      <c r="EF14" s="118">
        <v>9988</v>
      </c>
      <c r="EG14" s="9">
        <v>12.338200000000001</v>
      </c>
      <c r="EH14" s="9">
        <v>1.6534</v>
      </c>
      <c r="EI14" s="9">
        <v>0.62990000000000002</v>
      </c>
      <c r="EJ14" s="47">
        <f t="shared" si="10"/>
        <v>0.51409166666666672</v>
      </c>
      <c r="EK14" s="53">
        <f t="shared" si="56"/>
        <v>37.770099999999999</v>
      </c>
      <c r="EM14" s="3">
        <f t="shared" si="57"/>
        <v>-5.4000000000016257E-3</v>
      </c>
      <c r="EN14" s="3"/>
      <c r="EO14">
        <v>4</v>
      </c>
      <c r="EP14" s="121">
        <v>9988</v>
      </c>
      <c r="EQ14" s="122">
        <v>12.551299999999999</v>
      </c>
      <c r="ER14" s="122">
        <v>1.6819</v>
      </c>
      <c r="ES14" s="129">
        <v>0.64080000000000004</v>
      </c>
      <c r="ET14" s="130">
        <f t="shared" si="11"/>
        <v>0.52297083333333327</v>
      </c>
      <c r="EU14" s="131">
        <f t="shared" si="58"/>
        <v>37.7592</v>
      </c>
      <c r="EX14" s="3"/>
      <c r="EY14">
        <v>4</v>
      </c>
      <c r="EZ14" s="135">
        <v>9988</v>
      </c>
      <c r="FA14" s="135">
        <v>12.6518</v>
      </c>
      <c r="FB14" s="135">
        <v>1.6954</v>
      </c>
      <c r="FC14" s="135">
        <v>0.64590000000000003</v>
      </c>
      <c r="FD14" s="136">
        <f t="shared" si="12"/>
        <v>0.52715833333333328</v>
      </c>
      <c r="FE14" s="131">
        <f t="shared" si="59"/>
        <v>37.754100000000001</v>
      </c>
      <c r="FG14" s="123">
        <f t="shared" si="60"/>
        <v>-5.0999999999987722E-3</v>
      </c>
      <c r="FH14" s="3"/>
      <c r="FI14">
        <v>4</v>
      </c>
      <c r="FJ14" s="145">
        <v>9988</v>
      </c>
      <c r="FK14" s="9">
        <v>12.7857</v>
      </c>
      <c r="FL14" s="9">
        <v>1.7133</v>
      </c>
      <c r="FM14" s="9">
        <v>0.65280000000000005</v>
      </c>
      <c r="FN14" s="146">
        <f t="shared" si="113"/>
        <v>0.53273749999999997</v>
      </c>
      <c r="FO14" s="131">
        <f t="shared" si="61"/>
        <v>37.747199999999999</v>
      </c>
      <c r="FP14" s="123">
        <f t="shared" si="62"/>
        <v>-6.9000000000016826E-3</v>
      </c>
      <c r="FS14">
        <v>4</v>
      </c>
      <c r="FT14" s="147">
        <v>9988</v>
      </c>
      <c r="FU14" s="148">
        <v>12.8133</v>
      </c>
      <c r="FV14" s="148">
        <v>1.7170000000000001</v>
      </c>
      <c r="FW14" s="148">
        <v>0.6542</v>
      </c>
      <c r="FX14" s="150">
        <f t="shared" si="114"/>
        <v>0.53388749999999996</v>
      </c>
      <c r="FY14" s="131">
        <f t="shared" si="115"/>
        <v>37.745799999999996</v>
      </c>
      <c r="FZ14">
        <f t="shared" si="63"/>
        <v>2.7599999999999625E-2</v>
      </c>
      <c r="GC14">
        <v>4</v>
      </c>
      <c r="GD14" s="151">
        <v>9988</v>
      </c>
      <c r="GE14" s="151">
        <v>12.881500000000001</v>
      </c>
      <c r="GF14" s="151">
        <v>1.7262</v>
      </c>
      <c r="GG14" s="151">
        <v>0.65769999999999995</v>
      </c>
      <c r="GH14" s="153">
        <f t="shared" ref="GH14:GH76" si="132">GE14/24</f>
        <v>0.5367291666666667</v>
      </c>
      <c r="GI14" s="131">
        <f t="shared" si="64"/>
        <v>37.7423</v>
      </c>
      <c r="GJ14">
        <f t="shared" si="38"/>
        <v>6.8200000000000927E-2</v>
      </c>
      <c r="GM14">
        <v>4</v>
      </c>
      <c r="GN14" s="155">
        <v>9988</v>
      </c>
      <c r="GO14" s="155">
        <v>13.0259</v>
      </c>
      <c r="GP14" s="155">
        <v>1.7455000000000001</v>
      </c>
      <c r="GQ14" s="155">
        <v>0.66500000000000004</v>
      </c>
      <c r="GR14" s="58">
        <f t="shared" si="65"/>
        <v>0.54274583333333337</v>
      </c>
      <c r="GS14" s="131">
        <f t="shared" si="66"/>
        <v>37.734999999999999</v>
      </c>
      <c r="GT14">
        <f t="shared" si="39"/>
        <v>0.1443999999999992</v>
      </c>
      <c r="GW14">
        <v>4</v>
      </c>
      <c r="GX14" s="157">
        <v>9988</v>
      </c>
      <c r="GY14" s="161">
        <f>VLOOKUP(GX14,Sheet3!$AJ$7:$AN$83,2,0)</f>
        <v>13.209099999999999</v>
      </c>
      <c r="GZ14" s="161">
        <f>VLOOKUP(GX14,Sheet3!$AJ$7:$AN$83,3,0)</f>
        <v>1.7701</v>
      </c>
      <c r="HA14" s="161">
        <f>VLOOKUP(GX14,Sheet3!$AJ$7:$AN$83,4,0)</f>
        <v>0.6744</v>
      </c>
      <c r="HB14" s="162">
        <f t="shared" si="17"/>
        <v>0.55037916666666664</v>
      </c>
      <c r="HC14" s="131">
        <f t="shared" si="116"/>
        <v>37.7256</v>
      </c>
      <c r="HD14" s="159">
        <f t="shared" si="40"/>
        <v>0.18319999999999936</v>
      </c>
      <c r="HE14" s="159">
        <f t="shared" si="41"/>
        <v>9.3999999999999639E-3</v>
      </c>
      <c r="HG14" s="159"/>
      <c r="HH14" s="159">
        <v>4</v>
      </c>
      <c r="HI14" s="158">
        <v>9988</v>
      </c>
      <c r="HJ14" s="161">
        <v>13.282999999999999</v>
      </c>
      <c r="HK14" s="161">
        <v>1.78</v>
      </c>
      <c r="HL14" s="161">
        <v>0.67820000000000003</v>
      </c>
      <c r="HM14" s="162">
        <f>HJ14/24</f>
        <v>0.55345833333333327</v>
      </c>
      <c r="HN14" s="131">
        <f t="shared" si="67"/>
        <v>37.721800000000002</v>
      </c>
      <c r="HO14" s="159">
        <f t="shared" si="68"/>
        <v>7.3900000000000077E-2</v>
      </c>
      <c r="HQ14" s="183"/>
      <c r="HR14" s="183">
        <v>4</v>
      </c>
      <c r="HS14" s="178">
        <v>9988</v>
      </c>
      <c r="HT14" s="184">
        <v>13.331200000000001</v>
      </c>
      <c r="HU14" s="184">
        <v>1.7864</v>
      </c>
      <c r="HV14" s="184">
        <v>0.68059999999999998</v>
      </c>
      <c r="HW14" s="171">
        <f t="shared" si="19"/>
        <v>0.55546666666666666</v>
      </c>
      <c r="HX14" s="53">
        <f t="shared" si="69"/>
        <v>37.7194</v>
      </c>
      <c r="HY14" s="183">
        <f t="shared" si="70"/>
        <v>4.8200000000001353E-2</v>
      </c>
      <c r="IA14" s="194"/>
      <c r="IB14" s="194">
        <v>4</v>
      </c>
      <c r="IC14" s="193">
        <v>9988</v>
      </c>
      <c r="ID14" s="161">
        <v>13.3521</v>
      </c>
      <c r="IE14" s="184">
        <v>1.7891999999999999</v>
      </c>
      <c r="IF14" s="184">
        <v>0.68169999999999997</v>
      </c>
      <c r="IG14" s="171">
        <f t="shared" si="71"/>
        <v>0.55633750000000004</v>
      </c>
      <c r="IH14" s="53">
        <f t="shared" si="72"/>
        <v>37.718299999999999</v>
      </c>
      <c r="II14" s="194">
        <f t="shared" si="73"/>
        <v>2.0899999999999253E-2</v>
      </c>
      <c r="IL14" s="199">
        <v>4</v>
      </c>
      <c r="IM14" s="197">
        <v>9988</v>
      </c>
      <c r="IN14" s="161">
        <v>13.4619</v>
      </c>
      <c r="IO14" s="184">
        <v>1.8039000000000001</v>
      </c>
      <c r="IP14" s="184">
        <v>0.68730000000000002</v>
      </c>
      <c r="IQ14" s="171">
        <f t="shared" si="74"/>
        <v>0.56091250000000004</v>
      </c>
      <c r="IR14" s="53">
        <f t="shared" si="75"/>
        <v>37.712699999999998</v>
      </c>
      <c r="IS14" s="199">
        <f t="shared" si="76"/>
        <v>0.1097999999999999</v>
      </c>
      <c r="IU14" s="202"/>
      <c r="IV14" s="202">
        <v>4</v>
      </c>
      <c r="IW14" s="201">
        <v>9988</v>
      </c>
      <c r="IX14" s="184">
        <v>13.610200000000001</v>
      </c>
      <c r="IY14" s="184">
        <v>1.8238000000000001</v>
      </c>
      <c r="IZ14" s="184">
        <v>0.69489999999999996</v>
      </c>
      <c r="JA14" s="162">
        <f t="shared" si="22"/>
        <v>0.56709166666666666</v>
      </c>
      <c r="JB14" s="53">
        <f t="shared" si="77"/>
        <v>37.705100000000002</v>
      </c>
      <c r="JC14" s="3">
        <f>IX14-IN14</f>
        <v>0.14830000000000076</v>
      </c>
      <c r="JE14" s="204"/>
      <c r="JF14" s="204">
        <v>4</v>
      </c>
      <c r="JG14" s="203">
        <v>9988</v>
      </c>
      <c r="JH14" s="161">
        <v>13.657299999999999</v>
      </c>
      <c r="JI14" s="184">
        <v>1.8301000000000001</v>
      </c>
      <c r="JJ14" s="184">
        <v>0.69730000000000003</v>
      </c>
      <c r="JK14" s="162">
        <f t="shared" si="79"/>
        <v>0.56905416666666664</v>
      </c>
      <c r="JL14" s="53">
        <f t="shared" si="80"/>
        <v>37.7027</v>
      </c>
      <c r="JM14" s="204">
        <f t="shared" si="117"/>
        <v>4.7099999999998587E-2</v>
      </c>
      <c r="JN14" s="204"/>
      <c r="JP14" s="209">
        <v>4</v>
      </c>
      <c r="JQ14" s="205">
        <v>9988</v>
      </c>
      <c r="JR14" s="161">
        <v>13.6952</v>
      </c>
      <c r="JS14" s="184">
        <v>1.8351999999999999</v>
      </c>
      <c r="JT14" s="184">
        <v>0.69920000000000004</v>
      </c>
      <c r="JU14" s="162">
        <f t="shared" si="81"/>
        <v>0.57063333333333333</v>
      </c>
      <c r="JV14" s="53">
        <f t="shared" si="82"/>
        <v>37.700800000000001</v>
      </c>
      <c r="JW14" s="209">
        <f t="shared" si="118"/>
        <v>3.7900000000000489E-2</v>
      </c>
      <c r="JX14" s="213"/>
      <c r="JY14" s="213"/>
      <c r="JZ14" s="213">
        <v>4</v>
      </c>
      <c r="KA14" s="206">
        <v>9988</v>
      </c>
      <c r="KB14" s="184">
        <v>13.784000000000001</v>
      </c>
      <c r="KC14" s="184">
        <v>1.8471</v>
      </c>
      <c r="KD14" s="184">
        <v>0.70369999999999999</v>
      </c>
      <c r="KE14" s="162">
        <f t="shared" si="83"/>
        <v>0.57433333333333336</v>
      </c>
      <c r="KF14" s="53">
        <f t="shared" si="84"/>
        <v>37.696300000000001</v>
      </c>
      <c r="KG14" s="213">
        <f t="shared" si="119"/>
        <v>8.8800000000000878E-2</v>
      </c>
      <c r="KI14" s="219"/>
      <c r="KJ14" s="219">
        <v>4</v>
      </c>
      <c r="KK14" s="214">
        <v>9988</v>
      </c>
      <c r="KL14" s="161">
        <v>13.813700000000001</v>
      </c>
      <c r="KM14" s="161">
        <v>1.8511</v>
      </c>
      <c r="KN14" s="161">
        <v>0.70530000000000004</v>
      </c>
      <c r="KO14" s="162">
        <f t="shared" si="24"/>
        <v>0.57557083333333336</v>
      </c>
      <c r="KP14" s="53">
        <f t="shared" si="85"/>
        <v>37.694699999999997</v>
      </c>
      <c r="KQ14" s="219">
        <f t="shared" si="120"/>
        <v>2.970000000000006E-2</v>
      </c>
      <c r="KT14" s="223">
        <v>4</v>
      </c>
      <c r="KU14" s="216">
        <v>9988</v>
      </c>
      <c r="KV14" s="161">
        <v>13.844900000000001</v>
      </c>
      <c r="KW14" s="161">
        <v>1.8553000000000002</v>
      </c>
      <c r="KX14" s="161">
        <v>0.70689999999999997</v>
      </c>
      <c r="KY14" s="162">
        <f t="shared" si="86"/>
        <v>0.57687083333333333</v>
      </c>
      <c r="KZ14" s="53">
        <f t="shared" si="87"/>
        <v>37.693100000000001</v>
      </c>
      <c r="LA14" s="223">
        <f t="shared" si="121"/>
        <v>3.1200000000000117E-2</v>
      </c>
      <c r="LD14" s="228">
        <v>4</v>
      </c>
      <c r="LE14" s="221">
        <v>9988</v>
      </c>
      <c r="LF14" s="161">
        <v>13.871</v>
      </c>
      <c r="LG14" s="161">
        <v>1.8588</v>
      </c>
      <c r="LH14" s="161">
        <v>0.70820000000000005</v>
      </c>
      <c r="LI14" s="162">
        <f t="shared" si="88"/>
        <v>0.57795833333333335</v>
      </c>
      <c r="LJ14" s="53">
        <f t="shared" si="89"/>
        <v>37.691800000000001</v>
      </c>
      <c r="LK14" s="228">
        <f t="shared" si="122"/>
        <v>2.6099999999999568E-2</v>
      </c>
      <c r="LL14" s="231"/>
      <c r="LM14" s="231"/>
      <c r="LN14" s="231">
        <v>4</v>
      </c>
      <c r="LO14" s="226">
        <v>9988</v>
      </c>
      <c r="LP14" s="184">
        <v>13.9076</v>
      </c>
      <c r="LQ14" s="184">
        <v>1.8636999999999999</v>
      </c>
      <c r="LR14" s="184">
        <v>0.71009999999999995</v>
      </c>
      <c r="LS14" s="162">
        <f t="shared" si="90"/>
        <v>0.57948333333333335</v>
      </c>
      <c r="LT14" s="53">
        <f t="shared" si="91"/>
        <v>37.689900000000002</v>
      </c>
      <c r="LU14" s="231">
        <f t="shared" si="123"/>
        <v>3.6599999999999966E-2</v>
      </c>
      <c r="LW14" s="231"/>
      <c r="LX14" s="231">
        <v>4</v>
      </c>
      <c r="LY14" s="234">
        <v>9988</v>
      </c>
      <c r="LZ14" s="184">
        <v>13.9488</v>
      </c>
      <c r="MA14" s="184">
        <v>1.8692</v>
      </c>
      <c r="MB14" s="184">
        <v>0.71220000000000006</v>
      </c>
      <c r="MC14" s="162">
        <f t="shared" si="92"/>
        <v>0.58120000000000005</v>
      </c>
      <c r="MD14" s="53">
        <f t="shared" si="93"/>
        <v>37.687799999999996</v>
      </c>
      <c r="ME14" s="231">
        <f t="shared" si="124"/>
        <v>4.1199999999999903E-2</v>
      </c>
      <c r="MF14" s="231"/>
      <c r="MG14" s="231"/>
      <c r="MH14" s="231">
        <v>4</v>
      </c>
      <c r="MI14" s="236">
        <v>9988</v>
      </c>
      <c r="MJ14" s="184">
        <v>13.9893</v>
      </c>
      <c r="MK14" s="184">
        <v>1.8746</v>
      </c>
      <c r="ML14" s="184">
        <v>0.71419999999999995</v>
      </c>
      <c r="MM14" s="162">
        <f t="shared" si="94"/>
        <v>0.5828875</v>
      </c>
      <c r="MN14" s="53">
        <f t="shared" si="95"/>
        <v>37.6858</v>
      </c>
      <c r="MO14" s="231">
        <f t="shared" si="125"/>
        <v>4.0499999999999758E-2</v>
      </c>
      <c r="MP14" s="231"/>
      <c r="MQ14" s="231"/>
      <c r="MR14" s="231">
        <v>4</v>
      </c>
      <c r="MS14" s="34">
        <v>9988</v>
      </c>
      <c r="MT14" s="184">
        <v>14.066599999999999</v>
      </c>
      <c r="MU14" s="184">
        <v>1.885</v>
      </c>
      <c r="MV14" s="184">
        <v>0.71819999999999995</v>
      </c>
      <c r="MW14" s="162">
        <f t="shared" si="96"/>
        <v>0.58610833333333334</v>
      </c>
      <c r="MX14" s="53">
        <f t="shared" si="97"/>
        <v>37.681799999999996</v>
      </c>
      <c r="MY14" s="231">
        <f t="shared" si="126"/>
        <v>7.7299999999999258E-2</v>
      </c>
      <c r="MZ14" s="246"/>
      <c r="NA14" s="246"/>
      <c r="NB14" s="246">
        <v>4</v>
      </c>
      <c r="NC14" s="34">
        <v>9988</v>
      </c>
      <c r="ND14" s="184">
        <v>14.1456</v>
      </c>
      <c r="NE14" s="184">
        <v>1.8956</v>
      </c>
      <c r="NF14" s="184">
        <v>0.72219999999999995</v>
      </c>
      <c r="NG14" s="162">
        <f t="shared" si="98"/>
        <v>0.58940000000000003</v>
      </c>
      <c r="NH14" s="53">
        <f t="shared" si="99"/>
        <v>37.677799999999998</v>
      </c>
      <c r="NI14" s="232">
        <f t="shared" si="127"/>
        <v>7.9000000000000625E-2</v>
      </c>
      <c r="NK14" s="250"/>
      <c r="NL14" s="250">
        <v>4</v>
      </c>
      <c r="NM14" s="34">
        <v>9988</v>
      </c>
      <c r="NN14" s="184">
        <v>14.168900000000001</v>
      </c>
      <c r="NO14" s="184">
        <v>1.8987000000000001</v>
      </c>
      <c r="NP14" s="184">
        <v>0.72340000000000004</v>
      </c>
      <c r="NQ14" s="162">
        <f t="shared" si="100"/>
        <v>0.5903708333333334</v>
      </c>
      <c r="NR14" s="53">
        <f t="shared" si="101"/>
        <v>37.676600000000001</v>
      </c>
      <c r="NS14" s="232">
        <f t="shared" si="128"/>
        <v>2.3300000000000765E-2</v>
      </c>
      <c r="NU14" s="250"/>
      <c r="NV14" s="250">
        <v>4</v>
      </c>
      <c r="NW14" s="34">
        <v>9988</v>
      </c>
      <c r="NX14" s="184">
        <v>14.2058</v>
      </c>
      <c r="NY14" s="184">
        <v>1.9036</v>
      </c>
      <c r="NZ14" s="184">
        <v>0.72529999999999994</v>
      </c>
      <c r="OA14" s="162">
        <f t="shared" si="102"/>
        <v>0.59190833333333337</v>
      </c>
      <c r="OB14" s="53">
        <f t="shared" si="103"/>
        <v>37.674700000000001</v>
      </c>
      <c r="OC14" s="232">
        <f t="shared" si="129"/>
        <v>3.6899999999999267E-2</v>
      </c>
      <c r="OE14" s="250"/>
      <c r="OF14" s="250">
        <v>4</v>
      </c>
      <c r="OG14" s="34">
        <v>9988</v>
      </c>
      <c r="OH14" s="184">
        <v>14.224299999999999</v>
      </c>
      <c r="OI14" s="184">
        <v>1.9060999999999999</v>
      </c>
      <c r="OJ14" s="184">
        <v>0.72619999999999996</v>
      </c>
      <c r="OK14" s="162">
        <f t="shared" si="104"/>
        <v>0.59267916666666665</v>
      </c>
      <c r="OL14" s="53">
        <f t="shared" si="105"/>
        <v>37.6738</v>
      </c>
      <c r="OM14" s="232">
        <f t="shared" si="130"/>
        <v>1.8499999999999517E-2</v>
      </c>
      <c r="OP14" s="250">
        <v>4</v>
      </c>
      <c r="OQ14" s="34">
        <v>9988</v>
      </c>
      <c r="OR14" s="184">
        <f>VLOOKUP(OQ14,Sheet4!A12:F88,3,0)</f>
        <v>14.2667</v>
      </c>
      <c r="OS14" s="184">
        <f>VLOOKUP(OQ14,Sheet4!A12:F88,4,0)</f>
        <v>1.9117999999999999</v>
      </c>
      <c r="OT14" s="184">
        <f>VLOOKUP(OQ14,Sheet4!A12:F88,5,0)</f>
        <v>0.72840000000000005</v>
      </c>
      <c r="OU14" s="162">
        <f t="shared" si="106"/>
        <v>0.59444583333333334</v>
      </c>
      <c r="OV14" s="53">
        <f t="shared" si="107"/>
        <v>37.671599999999998</v>
      </c>
      <c r="OW14" s="232">
        <f t="shared" si="131"/>
        <v>4.2400000000000659E-2</v>
      </c>
    </row>
    <row r="15" spans="1:413" ht="15.75" x14ac:dyDescent="0.25">
      <c r="A15">
        <v>7</v>
      </c>
      <c r="B15" s="1">
        <v>9994</v>
      </c>
      <c r="C15" s="1" t="s">
        <v>1</v>
      </c>
      <c r="D15" s="2">
        <v>38.5</v>
      </c>
      <c r="E15" s="8"/>
      <c r="F15" s="8"/>
      <c r="G15" s="8"/>
      <c r="H15" s="8"/>
      <c r="J15" s="15">
        <v>9994</v>
      </c>
      <c r="K15" s="15">
        <v>11.0345</v>
      </c>
      <c r="L15" s="15">
        <v>1.4786999999999999</v>
      </c>
      <c r="M15" s="15">
        <v>0.56340000000000001</v>
      </c>
      <c r="N15" s="24">
        <f t="shared" si="42"/>
        <v>0.4597708333333333</v>
      </c>
      <c r="O15" s="10">
        <f t="shared" si="36"/>
        <v>37.936599999999999</v>
      </c>
      <c r="P15" s="18"/>
      <c r="R15" s="20">
        <v>9994</v>
      </c>
      <c r="S15" s="9">
        <v>11.1296</v>
      </c>
      <c r="T15" s="9">
        <v>1.4914000000000001</v>
      </c>
      <c r="U15" s="9">
        <v>0.56820000000000004</v>
      </c>
      <c r="V15" s="24">
        <f t="shared" si="43"/>
        <v>0.46373333333333333</v>
      </c>
      <c r="W15" s="10">
        <f t="shared" si="44"/>
        <v>37.931800000000003</v>
      </c>
      <c r="X15" s="18"/>
      <c r="Z15" s="27">
        <v>9994</v>
      </c>
      <c r="AA15" s="9">
        <v>11.363200000000001</v>
      </c>
      <c r="AB15" s="9">
        <v>1.5226999999999999</v>
      </c>
      <c r="AC15" s="9">
        <v>0.58020000000000005</v>
      </c>
      <c r="AD15" s="24">
        <f t="shared" si="45"/>
        <v>0.4734666666666667</v>
      </c>
      <c r="AE15" s="10">
        <f t="shared" si="46"/>
        <v>37.919800000000002</v>
      </c>
      <c r="AF15" s="79"/>
      <c r="AG15">
        <v>7</v>
      </c>
      <c r="AH15" s="1">
        <v>9994</v>
      </c>
      <c r="AI15" s="1" t="s">
        <v>1</v>
      </c>
      <c r="AJ15" s="2">
        <v>38.5</v>
      </c>
      <c r="AL15" s="32">
        <v>9994</v>
      </c>
      <c r="AM15" s="9">
        <v>11.615600000000001</v>
      </c>
      <c r="AN15" s="9">
        <v>1.5565</v>
      </c>
      <c r="AO15" s="9">
        <v>0.59299999999999997</v>
      </c>
      <c r="AP15" s="37">
        <f t="shared" si="0"/>
        <v>0.48398333333333338</v>
      </c>
      <c r="AQ15" s="53">
        <f t="shared" si="108"/>
        <v>37.906999999999996</v>
      </c>
      <c r="AT15" s="39"/>
      <c r="AU15" s="38">
        <v>9994</v>
      </c>
      <c r="AV15" s="9">
        <v>11.722899999999999</v>
      </c>
      <c r="AW15" s="43">
        <v>1.5709</v>
      </c>
      <c r="AX15" s="43">
        <v>0.59850000000000003</v>
      </c>
      <c r="AY15" s="47">
        <f t="shared" si="47"/>
        <v>0.48845416666666663</v>
      </c>
      <c r="AZ15" s="56">
        <f t="shared" si="109"/>
        <v>37.901499999999999</v>
      </c>
      <c r="BD15" s="54">
        <v>9994</v>
      </c>
      <c r="BE15" s="53">
        <v>11.735099999999999</v>
      </c>
      <c r="BF15" s="58">
        <v>1.5725</v>
      </c>
      <c r="BG15" s="58">
        <v>0.59909999999999997</v>
      </c>
      <c r="BH15" s="47">
        <f t="shared" si="48"/>
        <v>0.48896249999999997</v>
      </c>
      <c r="BI15" s="56">
        <f t="shared" si="49"/>
        <v>37.9009</v>
      </c>
      <c r="BJ15" s="88"/>
      <c r="BK15" s="88"/>
      <c r="BL15" s="88"/>
      <c r="BN15" s="9">
        <v>9994</v>
      </c>
      <c r="BO15" s="53">
        <v>11.7804</v>
      </c>
      <c r="BP15" s="53">
        <v>1.5786</v>
      </c>
      <c r="BQ15" s="53">
        <v>0.60150000000000003</v>
      </c>
      <c r="BR15" s="53">
        <f t="shared" si="50"/>
        <v>0.49085000000000001</v>
      </c>
      <c r="BS15" s="53">
        <f t="shared" si="51"/>
        <v>37.898499999999999</v>
      </c>
      <c r="BV15" s="88"/>
      <c r="BX15" s="93">
        <v>9994</v>
      </c>
      <c r="BY15" s="9">
        <v>11.8696</v>
      </c>
      <c r="BZ15" s="9">
        <v>1.5906</v>
      </c>
      <c r="CA15" s="9">
        <v>0.60599999999999998</v>
      </c>
      <c r="CB15" s="58">
        <f t="shared" si="52"/>
        <v>0.49456666666666665</v>
      </c>
      <c r="CC15" s="53">
        <f t="shared" si="110"/>
        <v>37.893999999999998</v>
      </c>
      <c r="CF15" s="88"/>
      <c r="CG15">
        <v>5</v>
      </c>
      <c r="CH15" s="93">
        <v>9994</v>
      </c>
      <c r="CI15" s="93">
        <v>11.946300000000001</v>
      </c>
      <c r="CJ15" s="9">
        <v>1.6009</v>
      </c>
      <c r="CK15" s="9">
        <v>0.6099</v>
      </c>
      <c r="CL15" s="47">
        <f t="shared" si="5"/>
        <v>0.49776250000000005</v>
      </c>
      <c r="CM15" s="53">
        <f t="shared" si="53"/>
        <v>37.890099999999997</v>
      </c>
      <c r="CQ15">
        <v>5</v>
      </c>
      <c r="CR15" s="98">
        <v>9994</v>
      </c>
      <c r="CS15" s="101">
        <v>12.0428</v>
      </c>
      <c r="CT15" s="101">
        <v>1.6137999999999999</v>
      </c>
      <c r="CU15" s="101">
        <v>0.6149</v>
      </c>
      <c r="CV15" s="47">
        <f t="shared" si="6"/>
        <v>0.50178333333333336</v>
      </c>
      <c r="CW15" s="53">
        <f t="shared" si="37"/>
        <v>37.885100000000001</v>
      </c>
      <c r="DA15">
        <v>5</v>
      </c>
      <c r="DB15" s="106">
        <v>9994</v>
      </c>
      <c r="DC15" s="107">
        <v>12.052300000000001</v>
      </c>
      <c r="DD15" s="107">
        <v>1.6151</v>
      </c>
      <c r="DE15" s="107">
        <v>0.61529999999999996</v>
      </c>
      <c r="DF15" s="47">
        <f t="shared" si="7"/>
        <v>0.50217916666666673</v>
      </c>
      <c r="DG15" s="53">
        <f t="shared" si="111"/>
        <v>37.884700000000002</v>
      </c>
      <c r="DK15">
        <v>5</v>
      </c>
      <c r="DL15" s="110">
        <v>9994</v>
      </c>
      <c r="DM15" s="53">
        <v>12.1624</v>
      </c>
      <c r="DN15" s="53">
        <v>1.6297999999999999</v>
      </c>
      <c r="DO15" s="53">
        <v>0.621</v>
      </c>
      <c r="DP15" s="47">
        <f t="shared" si="8"/>
        <v>0.5067666666666667</v>
      </c>
      <c r="DQ15" s="53">
        <f t="shared" si="54"/>
        <v>37.878999999999998</v>
      </c>
      <c r="DS15" s="3">
        <f t="shared" si="55"/>
        <v>0.1100999999999992</v>
      </c>
      <c r="DU15">
        <v>5</v>
      </c>
      <c r="DV15" s="115">
        <v>9994</v>
      </c>
      <c r="DW15" s="9">
        <v>12.231</v>
      </c>
      <c r="DX15" s="9">
        <v>1.639</v>
      </c>
      <c r="DY15" s="9">
        <v>0.62450000000000006</v>
      </c>
      <c r="DZ15" s="47">
        <f t="shared" si="9"/>
        <v>0.50962499999999999</v>
      </c>
      <c r="EA15" s="53">
        <f t="shared" si="112"/>
        <v>37.875500000000002</v>
      </c>
      <c r="EB15" s="3"/>
      <c r="EE15">
        <v>5</v>
      </c>
      <c r="EF15" s="118">
        <v>9994</v>
      </c>
      <c r="EG15" s="9">
        <v>12.338200000000001</v>
      </c>
      <c r="EH15" s="9">
        <v>1.6534</v>
      </c>
      <c r="EI15" s="9">
        <v>0.62990000000000002</v>
      </c>
      <c r="EJ15" s="47">
        <f t="shared" si="10"/>
        <v>0.51409166666666672</v>
      </c>
      <c r="EK15" s="53">
        <f t="shared" si="56"/>
        <v>37.870100000000001</v>
      </c>
      <c r="EM15" s="3">
        <f t="shared" si="57"/>
        <v>-5.4000000000016257E-3</v>
      </c>
      <c r="EN15" s="3"/>
      <c r="EO15">
        <v>5</v>
      </c>
      <c r="EP15" s="121">
        <v>9994</v>
      </c>
      <c r="EQ15" s="122">
        <v>12.551299999999999</v>
      </c>
      <c r="ER15" s="122">
        <v>1.6819</v>
      </c>
      <c r="ES15" s="129">
        <v>0.64080000000000004</v>
      </c>
      <c r="ET15" s="130">
        <f t="shared" si="11"/>
        <v>0.52297083333333327</v>
      </c>
      <c r="EU15" s="131">
        <f t="shared" si="58"/>
        <v>37.859200000000001</v>
      </c>
      <c r="EX15" s="3"/>
      <c r="EY15">
        <v>5</v>
      </c>
      <c r="EZ15" s="135">
        <v>9994</v>
      </c>
      <c r="FA15" s="135">
        <v>12.6518</v>
      </c>
      <c r="FB15" s="135">
        <v>1.6954</v>
      </c>
      <c r="FC15" s="135">
        <v>0.64590000000000003</v>
      </c>
      <c r="FD15" s="136">
        <f t="shared" si="12"/>
        <v>0.52715833333333328</v>
      </c>
      <c r="FE15" s="131">
        <f t="shared" si="59"/>
        <v>37.854100000000003</v>
      </c>
      <c r="FG15" s="123">
        <f t="shared" si="60"/>
        <v>-5.0999999999987722E-3</v>
      </c>
      <c r="FH15" s="3"/>
      <c r="FI15">
        <v>5</v>
      </c>
      <c r="FJ15" s="145">
        <v>9994</v>
      </c>
      <c r="FK15" s="9">
        <v>12.7857</v>
      </c>
      <c r="FL15" s="9">
        <v>1.7133</v>
      </c>
      <c r="FM15" s="9">
        <v>0.65280000000000005</v>
      </c>
      <c r="FN15" s="146">
        <f t="shared" si="113"/>
        <v>0.53273749999999997</v>
      </c>
      <c r="FO15" s="131">
        <f t="shared" si="61"/>
        <v>37.847200000000001</v>
      </c>
      <c r="FP15" s="123">
        <f t="shared" si="62"/>
        <v>-6.9000000000016826E-3</v>
      </c>
      <c r="FS15">
        <v>5</v>
      </c>
      <c r="FT15" s="147">
        <v>9994</v>
      </c>
      <c r="FU15" s="148">
        <v>12.8133</v>
      </c>
      <c r="FV15" s="148">
        <v>1.7170000000000001</v>
      </c>
      <c r="FW15" s="148">
        <v>0.6542</v>
      </c>
      <c r="FX15" s="150">
        <f t="shared" si="114"/>
        <v>0.53388749999999996</v>
      </c>
      <c r="FY15" s="131">
        <f t="shared" si="115"/>
        <v>37.845799999999997</v>
      </c>
      <c r="FZ15">
        <f t="shared" si="63"/>
        <v>2.7599999999999625E-2</v>
      </c>
      <c r="GC15">
        <v>5</v>
      </c>
      <c r="GD15" s="151">
        <v>9994</v>
      </c>
      <c r="GE15" s="151">
        <v>12.881500000000001</v>
      </c>
      <c r="GF15" s="151">
        <v>1.7262</v>
      </c>
      <c r="GG15" s="151">
        <v>0.65769999999999995</v>
      </c>
      <c r="GH15" s="153">
        <f t="shared" si="132"/>
        <v>0.5367291666666667</v>
      </c>
      <c r="GI15" s="131">
        <f t="shared" si="64"/>
        <v>37.842300000000002</v>
      </c>
      <c r="GJ15">
        <f t="shared" si="38"/>
        <v>6.8200000000000927E-2</v>
      </c>
      <c r="GM15">
        <v>5</v>
      </c>
      <c r="GN15" s="155">
        <v>9994</v>
      </c>
      <c r="GO15" s="155">
        <v>13.0259</v>
      </c>
      <c r="GP15" s="155">
        <v>1.7455000000000001</v>
      </c>
      <c r="GQ15" s="155">
        <v>0.66500000000000004</v>
      </c>
      <c r="GR15" s="58">
        <f t="shared" si="65"/>
        <v>0.54274583333333337</v>
      </c>
      <c r="GS15" s="131">
        <f t="shared" si="66"/>
        <v>37.835000000000001</v>
      </c>
      <c r="GT15">
        <f t="shared" si="39"/>
        <v>0.1443999999999992</v>
      </c>
      <c r="GW15">
        <v>5</v>
      </c>
      <c r="GX15" s="157">
        <v>9994</v>
      </c>
      <c r="GY15" s="161">
        <f>VLOOKUP(GX15,Sheet3!$AJ$7:$AN$83,2,0)</f>
        <v>13.209099999999999</v>
      </c>
      <c r="GZ15" s="161">
        <f>VLOOKUP(GX15,Sheet3!$AJ$7:$AN$83,3,0)</f>
        <v>1.7701</v>
      </c>
      <c r="HA15" s="161">
        <f>VLOOKUP(GX15,Sheet3!$AJ$7:$AN$83,4,0)</f>
        <v>0.6744</v>
      </c>
      <c r="HB15" s="162">
        <f t="shared" si="17"/>
        <v>0.55037916666666664</v>
      </c>
      <c r="HC15" s="131">
        <f t="shared" si="116"/>
        <v>37.825600000000001</v>
      </c>
      <c r="HD15" s="159">
        <f t="shared" si="40"/>
        <v>0.18319999999999936</v>
      </c>
      <c r="HE15" s="159">
        <f t="shared" si="41"/>
        <v>9.3999999999999639E-3</v>
      </c>
      <c r="HG15" s="159"/>
      <c r="HH15" s="159">
        <v>5</v>
      </c>
      <c r="HI15" s="158">
        <v>9994</v>
      </c>
      <c r="HJ15" s="161">
        <v>13.282999999999999</v>
      </c>
      <c r="HK15" s="161">
        <v>1.78</v>
      </c>
      <c r="HL15" s="161">
        <v>0.67820000000000003</v>
      </c>
      <c r="HM15" s="162">
        <f t="shared" si="18"/>
        <v>0.55345833333333327</v>
      </c>
      <c r="HN15" s="131">
        <f t="shared" si="67"/>
        <v>37.821800000000003</v>
      </c>
      <c r="HO15" s="159">
        <f t="shared" si="68"/>
        <v>7.3900000000000077E-2</v>
      </c>
      <c r="HQ15" s="183"/>
      <c r="HR15" s="183">
        <v>5</v>
      </c>
      <c r="HS15" s="178">
        <v>9994</v>
      </c>
      <c r="HT15" s="184">
        <v>13.331200000000001</v>
      </c>
      <c r="HU15" s="184">
        <v>1.7864</v>
      </c>
      <c r="HV15" s="184">
        <v>0.68059999999999998</v>
      </c>
      <c r="HW15" s="171">
        <f t="shared" si="19"/>
        <v>0.55546666666666666</v>
      </c>
      <c r="HX15" s="53">
        <f t="shared" si="69"/>
        <v>37.819400000000002</v>
      </c>
      <c r="HY15" s="183">
        <f t="shared" si="70"/>
        <v>4.8200000000001353E-2</v>
      </c>
      <c r="IA15" s="194"/>
      <c r="IB15" s="194">
        <v>5</v>
      </c>
      <c r="IC15" s="193">
        <v>9994</v>
      </c>
      <c r="ID15" s="161">
        <v>13.3521</v>
      </c>
      <c r="IE15" s="184">
        <v>1.7891999999999999</v>
      </c>
      <c r="IF15" s="184">
        <v>0.68169999999999997</v>
      </c>
      <c r="IG15" s="171">
        <f t="shared" si="71"/>
        <v>0.55633750000000004</v>
      </c>
      <c r="IH15" s="53">
        <f t="shared" si="72"/>
        <v>37.818300000000001</v>
      </c>
      <c r="II15" s="194">
        <f t="shared" si="73"/>
        <v>2.0899999999999253E-2</v>
      </c>
      <c r="IL15" s="199">
        <v>5</v>
      </c>
      <c r="IM15" s="197">
        <v>9994</v>
      </c>
      <c r="IN15" s="161">
        <v>13.4619</v>
      </c>
      <c r="IO15" s="184">
        <v>1.8039000000000001</v>
      </c>
      <c r="IP15" s="184">
        <v>0.68730000000000002</v>
      </c>
      <c r="IQ15" s="171">
        <f t="shared" si="74"/>
        <v>0.56091250000000004</v>
      </c>
      <c r="IR15" s="53">
        <f t="shared" si="75"/>
        <v>37.8127</v>
      </c>
      <c r="IS15" s="199">
        <f t="shared" si="76"/>
        <v>0.1097999999999999</v>
      </c>
      <c r="IU15" s="202"/>
      <c r="IV15" s="202">
        <v>5</v>
      </c>
      <c r="IW15" s="201">
        <v>9994</v>
      </c>
      <c r="IX15" s="184">
        <v>13.610200000000001</v>
      </c>
      <c r="IY15" s="184">
        <v>1.8238000000000001</v>
      </c>
      <c r="IZ15" s="184">
        <v>0.69489999999999996</v>
      </c>
      <c r="JA15" s="162">
        <f t="shared" si="22"/>
        <v>0.56709166666666666</v>
      </c>
      <c r="JB15" s="53">
        <f t="shared" si="77"/>
        <v>37.805100000000003</v>
      </c>
      <c r="JC15" s="202">
        <f t="shared" si="78"/>
        <v>0.14830000000000076</v>
      </c>
      <c r="JE15" s="204"/>
      <c r="JF15" s="204">
        <v>5</v>
      </c>
      <c r="JG15" s="203">
        <v>9994</v>
      </c>
      <c r="JH15" s="161">
        <v>13.657299999999999</v>
      </c>
      <c r="JI15" s="184">
        <v>1.8301000000000001</v>
      </c>
      <c r="JJ15" s="184">
        <v>0.69730000000000003</v>
      </c>
      <c r="JK15" s="162">
        <f t="shared" si="79"/>
        <v>0.56905416666666664</v>
      </c>
      <c r="JL15" s="53">
        <f t="shared" si="80"/>
        <v>37.802700000000002</v>
      </c>
      <c r="JM15" s="204">
        <f t="shared" si="117"/>
        <v>4.7099999999998587E-2</v>
      </c>
      <c r="JN15" s="204"/>
      <c r="JP15" s="209">
        <v>5</v>
      </c>
      <c r="JQ15" s="205">
        <v>9994</v>
      </c>
      <c r="JR15" s="161">
        <v>13.6952</v>
      </c>
      <c r="JS15" s="184">
        <v>1.8351999999999999</v>
      </c>
      <c r="JT15" s="184">
        <v>0.69920000000000004</v>
      </c>
      <c r="JU15" s="162">
        <f t="shared" si="81"/>
        <v>0.57063333333333333</v>
      </c>
      <c r="JV15" s="53">
        <f t="shared" si="82"/>
        <v>37.800800000000002</v>
      </c>
      <c r="JW15" s="209">
        <f t="shared" si="118"/>
        <v>3.7900000000000489E-2</v>
      </c>
      <c r="JX15" s="213"/>
      <c r="JY15" s="213"/>
      <c r="JZ15" s="213">
        <v>5</v>
      </c>
      <c r="KA15" s="206">
        <v>9994</v>
      </c>
      <c r="KB15" s="184">
        <v>13.784000000000001</v>
      </c>
      <c r="KC15" s="184">
        <v>1.8471</v>
      </c>
      <c r="KD15" s="184">
        <v>0.70369999999999999</v>
      </c>
      <c r="KE15" s="162">
        <f t="shared" si="83"/>
        <v>0.57433333333333336</v>
      </c>
      <c r="KF15" s="53">
        <f t="shared" si="84"/>
        <v>37.796300000000002</v>
      </c>
      <c r="KG15" s="213">
        <f t="shared" si="119"/>
        <v>8.8800000000000878E-2</v>
      </c>
      <c r="KI15" s="219"/>
      <c r="KJ15" s="219">
        <v>5</v>
      </c>
      <c r="KK15" s="214">
        <v>9994</v>
      </c>
      <c r="KL15" s="161">
        <v>13.813700000000001</v>
      </c>
      <c r="KM15" s="161">
        <v>1.8511</v>
      </c>
      <c r="KN15" s="161">
        <v>0.70530000000000004</v>
      </c>
      <c r="KO15" s="162">
        <f t="shared" si="24"/>
        <v>0.57557083333333336</v>
      </c>
      <c r="KP15" s="53">
        <f t="shared" si="85"/>
        <v>37.794699999999999</v>
      </c>
      <c r="KQ15" s="219">
        <f t="shared" si="120"/>
        <v>2.970000000000006E-2</v>
      </c>
      <c r="KT15" s="223">
        <v>5</v>
      </c>
      <c r="KU15" s="216">
        <v>9994</v>
      </c>
      <c r="KV15" s="161">
        <v>13.844900000000001</v>
      </c>
      <c r="KW15" s="161">
        <v>1.8553000000000002</v>
      </c>
      <c r="KX15" s="161">
        <v>0.70689999999999997</v>
      </c>
      <c r="KY15" s="162">
        <f t="shared" si="86"/>
        <v>0.57687083333333333</v>
      </c>
      <c r="KZ15" s="53">
        <f t="shared" si="87"/>
        <v>37.793100000000003</v>
      </c>
      <c r="LA15" s="223">
        <f t="shared" si="121"/>
        <v>3.1200000000000117E-2</v>
      </c>
      <c r="LD15" s="228">
        <v>5</v>
      </c>
      <c r="LE15" s="221">
        <v>9994</v>
      </c>
      <c r="LF15" s="161">
        <v>13.871</v>
      </c>
      <c r="LG15" s="161">
        <v>1.8588</v>
      </c>
      <c r="LH15" s="161">
        <v>0.70820000000000005</v>
      </c>
      <c r="LI15" s="162">
        <f t="shared" si="88"/>
        <v>0.57795833333333335</v>
      </c>
      <c r="LJ15" s="53">
        <f t="shared" si="89"/>
        <v>37.791800000000002</v>
      </c>
      <c r="LK15" s="228">
        <f t="shared" si="122"/>
        <v>2.6099999999999568E-2</v>
      </c>
      <c r="LL15" s="231"/>
      <c r="LM15" s="231"/>
      <c r="LN15" s="231">
        <v>5</v>
      </c>
      <c r="LO15" s="226">
        <v>9994</v>
      </c>
      <c r="LP15" s="184">
        <v>13.9076</v>
      </c>
      <c r="LQ15" s="184">
        <v>1.8636999999999999</v>
      </c>
      <c r="LR15" s="184">
        <v>0.71009999999999995</v>
      </c>
      <c r="LS15" s="162">
        <f t="shared" si="90"/>
        <v>0.57948333333333335</v>
      </c>
      <c r="LT15" s="53">
        <f t="shared" si="91"/>
        <v>37.789900000000003</v>
      </c>
      <c r="LU15" s="231">
        <f t="shared" si="123"/>
        <v>3.6599999999999966E-2</v>
      </c>
      <c r="LW15" s="231"/>
      <c r="LX15" s="231">
        <v>5</v>
      </c>
      <c r="LY15" s="234">
        <v>9994</v>
      </c>
      <c r="LZ15" s="184">
        <v>13.9488</v>
      </c>
      <c r="MA15" s="184">
        <v>1.8692</v>
      </c>
      <c r="MB15" s="184">
        <v>0.71220000000000006</v>
      </c>
      <c r="MC15" s="162">
        <f t="shared" si="92"/>
        <v>0.58120000000000005</v>
      </c>
      <c r="MD15" s="53">
        <f t="shared" si="93"/>
        <v>37.787799999999997</v>
      </c>
      <c r="ME15" s="231">
        <f t="shared" si="124"/>
        <v>4.1199999999999903E-2</v>
      </c>
      <c r="MF15" s="231"/>
      <c r="MG15" s="231"/>
      <c r="MH15" s="231">
        <v>5</v>
      </c>
      <c r="MI15" s="236">
        <v>9994</v>
      </c>
      <c r="MJ15" s="184">
        <v>13.9893</v>
      </c>
      <c r="MK15" s="184">
        <v>1.8746</v>
      </c>
      <c r="ML15" s="184">
        <v>0.71419999999999995</v>
      </c>
      <c r="MM15" s="162">
        <f t="shared" si="94"/>
        <v>0.5828875</v>
      </c>
      <c r="MN15" s="53">
        <f t="shared" si="95"/>
        <v>37.785800000000002</v>
      </c>
      <c r="MO15" s="231">
        <f t="shared" si="125"/>
        <v>4.0499999999999758E-2</v>
      </c>
      <c r="MP15" s="231"/>
      <c r="MQ15" s="231"/>
      <c r="MR15" s="231">
        <v>5</v>
      </c>
      <c r="MS15" s="34">
        <v>9994</v>
      </c>
      <c r="MT15" s="184">
        <v>14.066599999999999</v>
      </c>
      <c r="MU15" s="184">
        <v>1.885</v>
      </c>
      <c r="MV15" s="184">
        <v>0.71819999999999995</v>
      </c>
      <c r="MW15" s="162">
        <f t="shared" si="96"/>
        <v>0.58610833333333334</v>
      </c>
      <c r="MX15" s="53">
        <f t="shared" si="97"/>
        <v>37.781799999999997</v>
      </c>
      <c r="MY15" s="231">
        <f t="shared" si="126"/>
        <v>7.7299999999999258E-2</v>
      </c>
      <c r="MZ15" s="246"/>
      <c r="NA15" s="246"/>
      <c r="NB15" s="246">
        <v>5</v>
      </c>
      <c r="NC15" s="34">
        <v>9994</v>
      </c>
      <c r="ND15" s="184">
        <v>14.1456</v>
      </c>
      <c r="NE15" s="184">
        <v>1.8956</v>
      </c>
      <c r="NF15" s="184">
        <v>0.72219999999999995</v>
      </c>
      <c r="NG15" s="162">
        <f t="shared" si="98"/>
        <v>0.58940000000000003</v>
      </c>
      <c r="NH15" s="53">
        <f t="shared" si="99"/>
        <v>37.777799999999999</v>
      </c>
      <c r="NI15" s="232">
        <f t="shared" si="127"/>
        <v>7.9000000000000625E-2</v>
      </c>
      <c r="NK15" s="250"/>
      <c r="NL15" s="250">
        <v>5</v>
      </c>
      <c r="NM15" s="34">
        <v>9994</v>
      </c>
      <c r="NN15" s="184">
        <v>14.168900000000001</v>
      </c>
      <c r="NO15" s="184">
        <v>1.8987000000000001</v>
      </c>
      <c r="NP15" s="184">
        <v>0.72340000000000004</v>
      </c>
      <c r="NQ15" s="162">
        <f t="shared" si="100"/>
        <v>0.5903708333333334</v>
      </c>
      <c r="NR15" s="53">
        <f t="shared" si="101"/>
        <v>37.776600000000002</v>
      </c>
      <c r="NS15" s="232">
        <f t="shared" si="128"/>
        <v>2.3300000000000765E-2</v>
      </c>
      <c r="NU15" s="250"/>
      <c r="NV15" s="250">
        <v>5</v>
      </c>
      <c r="NW15" s="34">
        <v>9994</v>
      </c>
      <c r="NX15" s="184">
        <v>14.2058</v>
      </c>
      <c r="NY15" s="184">
        <v>1.9036</v>
      </c>
      <c r="NZ15" s="184">
        <v>0.72529999999999994</v>
      </c>
      <c r="OA15" s="162">
        <f t="shared" si="102"/>
        <v>0.59190833333333337</v>
      </c>
      <c r="OB15" s="53">
        <f t="shared" si="103"/>
        <v>37.774700000000003</v>
      </c>
      <c r="OC15" s="232">
        <f t="shared" si="129"/>
        <v>3.6899999999999267E-2</v>
      </c>
      <c r="OE15" s="250"/>
      <c r="OF15" s="250">
        <v>5</v>
      </c>
      <c r="OG15" s="34">
        <v>9994</v>
      </c>
      <c r="OH15" s="184">
        <v>14.224299999999999</v>
      </c>
      <c r="OI15" s="184">
        <v>1.9060999999999999</v>
      </c>
      <c r="OJ15" s="184">
        <v>0.72619999999999996</v>
      </c>
      <c r="OK15" s="162">
        <f t="shared" si="104"/>
        <v>0.59267916666666665</v>
      </c>
      <c r="OL15" s="53">
        <f t="shared" si="105"/>
        <v>37.773800000000001</v>
      </c>
      <c r="OM15" s="232">
        <f t="shared" si="130"/>
        <v>1.8499999999999517E-2</v>
      </c>
      <c r="OP15" s="250">
        <v>5</v>
      </c>
      <c r="OQ15" s="34">
        <v>9994</v>
      </c>
      <c r="OR15" s="184">
        <f>VLOOKUP(OQ15,Sheet4!A13:F89,3,0)</f>
        <v>14.2667</v>
      </c>
      <c r="OS15" s="184">
        <f>VLOOKUP(OQ15,Sheet4!A13:F89,4,0)</f>
        <v>1.9117999999999999</v>
      </c>
      <c r="OT15" s="184">
        <f>VLOOKUP(OQ15,Sheet4!A13:F89,5,0)</f>
        <v>0.72840000000000005</v>
      </c>
      <c r="OU15" s="162">
        <f t="shared" si="106"/>
        <v>0.59444583333333334</v>
      </c>
      <c r="OV15" s="53">
        <f t="shared" si="107"/>
        <v>37.771599999999999</v>
      </c>
      <c r="OW15" s="232">
        <f t="shared" si="131"/>
        <v>4.2400000000000659E-2</v>
      </c>
    </row>
    <row r="16" spans="1:413" ht="15.75" x14ac:dyDescent="0.25">
      <c r="A16">
        <v>8</v>
      </c>
      <c r="B16" s="1">
        <v>9995</v>
      </c>
      <c r="C16" s="1" t="s">
        <v>1</v>
      </c>
      <c r="D16" s="2">
        <v>38.5</v>
      </c>
      <c r="E16" s="8"/>
      <c r="F16" s="8"/>
      <c r="G16" s="8"/>
      <c r="H16" s="8"/>
      <c r="J16" s="15">
        <v>9995</v>
      </c>
      <c r="K16" s="15">
        <v>11.0345</v>
      </c>
      <c r="L16" s="15">
        <v>1.4786999999999999</v>
      </c>
      <c r="M16" s="15">
        <v>0.56340000000000001</v>
      </c>
      <c r="N16" s="24">
        <f t="shared" si="42"/>
        <v>0.4597708333333333</v>
      </c>
      <c r="O16" s="10">
        <f t="shared" si="36"/>
        <v>37.936599999999999</v>
      </c>
      <c r="P16" s="18"/>
      <c r="R16" s="20">
        <v>9995</v>
      </c>
      <c r="S16" s="9">
        <v>11.1296</v>
      </c>
      <c r="T16" s="9">
        <v>1.4914000000000001</v>
      </c>
      <c r="U16" s="9">
        <v>0.56820000000000004</v>
      </c>
      <c r="V16" s="24">
        <f t="shared" si="43"/>
        <v>0.46373333333333333</v>
      </c>
      <c r="W16" s="10">
        <f t="shared" si="44"/>
        <v>37.931800000000003</v>
      </c>
      <c r="X16" s="18"/>
      <c r="Z16" s="27">
        <v>9995</v>
      </c>
      <c r="AA16" s="9">
        <v>11.363200000000001</v>
      </c>
      <c r="AB16" s="9">
        <v>1.5226999999999999</v>
      </c>
      <c r="AC16" s="9">
        <v>0.58020000000000005</v>
      </c>
      <c r="AD16" s="24">
        <f t="shared" si="45"/>
        <v>0.4734666666666667</v>
      </c>
      <c r="AE16" s="10">
        <f t="shared" si="46"/>
        <v>37.919800000000002</v>
      </c>
      <c r="AF16" s="79"/>
      <c r="AG16">
        <v>8</v>
      </c>
      <c r="AH16" s="1">
        <v>9995</v>
      </c>
      <c r="AI16" s="1" t="s">
        <v>1</v>
      </c>
      <c r="AJ16" s="2">
        <v>38.5</v>
      </c>
      <c r="AL16" s="32">
        <v>9995</v>
      </c>
      <c r="AM16" s="9">
        <v>11.615600000000001</v>
      </c>
      <c r="AN16" s="9">
        <v>1.5565</v>
      </c>
      <c r="AO16" s="9">
        <v>0.59299999999999997</v>
      </c>
      <c r="AP16" s="37">
        <f t="shared" si="0"/>
        <v>0.48398333333333338</v>
      </c>
      <c r="AQ16" s="53">
        <f t="shared" si="108"/>
        <v>37.906999999999996</v>
      </c>
      <c r="AT16" s="39"/>
      <c r="AU16" s="38">
        <v>9995</v>
      </c>
      <c r="AV16" s="9">
        <v>11.722899999999999</v>
      </c>
      <c r="AW16" s="43">
        <v>1.5709</v>
      </c>
      <c r="AX16" s="43">
        <v>0.59850000000000003</v>
      </c>
      <c r="AY16" s="47">
        <f t="shared" si="47"/>
        <v>0.48845416666666663</v>
      </c>
      <c r="AZ16" s="56">
        <f t="shared" si="109"/>
        <v>37.901499999999999</v>
      </c>
      <c r="BD16" s="54">
        <v>9995</v>
      </c>
      <c r="BE16" s="53">
        <v>11.735099999999999</v>
      </c>
      <c r="BF16" s="58">
        <v>1.5725</v>
      </c>
      <c r="BG16" s="58">
        <v>0.59909999999999997</v>
      </c>
      <c r="BH16" s="47">
        <f t="shared" si="48"/>
        <v>0.48896249999999997</v>
      </c>
      <c r="BI16" s="56">
        <f t="shared" si="49"/>
        <v>37.9009</v>
      </c>
      <c r="BJ16" s="88"/>
      <c r="BK16" s="88"/>
      <c r="BL16" s="88"/>
      <c r="BN16" s="9">
        <v>9995</v>
      </c>
      <c r="BO16" s="53">
        <v>11.7804</v>
      </c>
      <c r="BP16" s="53">
        <v>1.5786</v>
      </c>
      <c r="BQ16" s="53">
        <v>0.60150000000000003</v>
      </c>
      <c r="BR16" s="53">
        <f t="shared" si="50"/>
        <v>0.49085000000000001</v>
      </c>
      <c r="BS16" s="53">
        <f t="shared" si="51"/>
        <v>37.898499999999999</v>
      </c>
      <c r="BV16" s="88"/>
      <c r="BX16" s="93">
        <v>9995</v>
      </c>
      <c r="BY16" s="9">
        <v>11.8696</v>
      </c>
      <c r="BZ16" s="9">
        <v>1.5906</v>
      </c>
      <c r="CA16" s="9">
        <v>0.60599999999999998</v>
      </c>
      <c r="CB16" s="58">
        <f t="shared" si="52"/>
        <v>0.49456666666666665</v>
      </c>
      <c r="CC16" s="53">
        <f t="shared" si="110"/>
        <v>37.893999999999998</v>
      </c>
      <c r="CF16" s="88"/>
      <c r="CG16">
        <v>6</v>
      </c>
      <c r="CH16" s="93">
        <v>9995</v>
      </c>
      <c r="CI16" s="93">
        <v>11.946300000000001</v>
      </c>
      <c r="CJ16" s="9">
        <v>1.6009</v>
      </c>
      <c r="CK16" s="9">
        <v>0.6099</v>
      </c>
      <c r="CL16" s="47">
        <f t="shared" si="5"/>
        <v>0.49776250000000005</v>
      </c>
      <c r="CM16" s="53">
        <f t="shared" si="53"/>
        <v>37.890099999999997</v>
      </c>
      <c r="CQ16">
        <v>6</v>
      </c>
      <c r="CR16" s="98">
        <v>9995</v>
      </c>
      <c r="CS16" s="101">
        <v>12.0428</v>
      </c>
      <c r="CT16" s="101">
        <v>1.6137999999999999</v>
      </c>
      <c r="CU16" s="101">
        <v>0.6149</v>
      </c>
      <c r="CV16" s="47">
        <f t="shared" si="6"/>
        <v>0.50178333333333336</v>
      </c>
      <c r="CW16" s="53">
        <f t="shared" si="37"/>
        <v>37.885100000000001</v>
      </c>
      <c r="DA16">
        <v>6</v>
      </c>
      <c r="DB16" s="106">
        <v>9995</v>
      </c>
      <c r="DC16" s="107">
        <v>12.052300000000001</v>
      </c>
      <c r="DD16" s="107">
        <v>1.6151</v>
      </c>
      <c r="DE16" s="107">
        <v>0.61529999999999996</v>
      </c>
      <c r="DF16" s="47">
        <f t="shared" si="7"/>
        <v>0.50217916666666673</v>
      </c>
      <c r="DG16" s="53">
        <f t="shared" si="111"/>
        <v>37.884700000000002</v>
      </c>
      <c r="DK16">
        <v>6</v>
      </c>
      <c r="DL16" s="110">
        <v>9995</v>
      </c>
      <c r="DM16" s="53">
        <v>12.1624</v>
      </c>
      <c r="DN16" s="53">
        <v>1.6297999999999999</v>
      </c>
      <c r="DO16" s="53">
        <v>0.621</v>
      </c>
      <c r="DP16" s="47">
        <f t="shared" si="8"/>
        <v>0.5067666666666667</v>
      </c>
      <c r="DQ16" s="53">
        <f t="shared" si="54"/>
        <v>37.878999999999998</v>
      </c>
      <c r="DS16" s="3">
        <f t="shared" si="55"/>
        <v>0.1100999999999992</v>
      </c>
      <c r="DU16">
        <v>6</v>
      </c>
      <c r="DV16" s="115">
        <v>9995</v>
      </c>
      <c r="DW16" s="9">
        <v>12.231</v>
      </c>
      <c r="DX16" s="9">
        <v>1.639</v>
      </c>
      <c r="DY16" s="9">
        <v>0.62450000000000006</v>
      </c>
      <c r="DZ16" s="47">
        <f t="shared" si="9"/>
        <v>0.50962499999999999</v>
      </c>
      <c r="EA16" s="53">
        <f t="shared" si="112"/>
        <v>37.875500000000002</v>
      </c>
      <c r="EB16" s="3"/>
      <c r="EE16">
        <v>6</v>
      </c>
      <c r="EF16" s="118">
        <v>9995</v>
      </c>
      <c r="EG16" s="9">
        <v>12.338200000000001</v>
      </c>
      <c r="EH16" s="9">
        <v>1.6534</v>
      </c>
      <c r="EI16" s="9">
        <v>0.62990000000000002</v>
      </c>
      <c r="EJ16" s="47">
        <f t="shared" si="10"/>
        <v>0.51409166666666672</v>
      </c>
      <c r="EK16" s="53">
        <f t="shared" si="56"/>
        <v>37.870100000000001</v>
      </c>
      <c r="EM16" s="3">
        <f t="shared" si="57"/>
        <v>-5.4000000000016257E-3</v>
      </c>
      <c r="EN16" s="3"/>
      <c r="EO16">
        <v>6</v>
      </c>
      <c r="EP16" s="121">
        <v>9995</v>
      </c>
      <c r="EQ16" s="122">
        <v>12.551299999999999</v>
      </c>
      <c r="ER16" s="122">
        <v>1.6819</v>
      </c>
      <c r="ES16" s="129">
        <v>0.64080000000000004</v>
      </c>
      <c r="ET16" s="130">
        <f t="shared" si="11"/>
        <v>0.52297083333333327</v>
      </c>
      <c r="EU16" s="131">
        <f t="shared" si="58"/>
        <v>37.859200000000001</v>
      </c>
      <c r="EX16" s="3"/>
      <c r="EY16">
        <v>6</v>
      </c>
      <c r="EZ16" s="135">
        <v>9995</v>
      </c>
      <c r="FA16" s="135">
        <v>12.6518</v>
      </c>
      <c r="FB16" s="135">
        <v>1.6954</v>
      </c>
      <c r="FC16" s="135">
        <v>0.64590000000000003</v>
      </c>
      <c r="FD16" s="136">
        <f t="shared" si="12"/>
        <v>0.52715833333333328</v>
      </c>
      <c r="FE16" s="131">
        <f t="shared" si="59"/>
        <v>37.854100000000003</v>
      </c>
      <c r="FG16" s="123">
        <f t="shared" si="60"/>
        <v>-5.0999999999987722E-3</v>
      </c>
      <c r="FH16" s="3"/>
      <c r="FI16">
        <v>6</v>
      </c>
      <c r="FJ16" s="145">
        <v>9995</v>
      </c>
      <c r="FK16" s="9">
        <v>12.7857</v>
      </c>
      <c r="FL16" s="9">
        <v>1.7133</v>
      </c>
      <c r="FM16" s="9">
        <v>0.65280000000000005</v>
      </c>
      <c r="FN16" s="146">
        <f t="shared" si="113"/>
        <v>0.53273749999999997</v>
      </c>
      <c r="FO16" s="131">
        <f t="shared" si="61"/>
        <v>37.847200000000001</v>
      </c>
      <c r="FP16" s="123">
        <f t="shared" si="62"/>
        <v>-6.9000000000016826E-3</v>
      </c>
      <c r="FS16">
        <v>6</v>
      </c>
      <c r="FT16" s="147">
        <v>9995</v>
      </c>
      <c r="FU16" s="148">
        <v>12.8133</v>
      </c>
      <c r="FV16" s="148">
        <v>1.7170000000000001</v>
      </c>
      <c r="FW16" s="148">
        <v>0.6542</v>
      </c>
      <c r="FX16" s="150">
        <f t="shared" si="114"/>
        <v>0.53388749999999996</v>
      </c>
      <c r="FY16" s="131">
        <f t="shared" si="115"/>
        <v>37.845799999999997</v>
      </c>
      <c r="FZ16">
        <f t="shared" si="63"/>
        <v>2.7599999999999625E-2</v>
      </c>
      <c r="GC16">
        <v>6</v>
      </c>
      <c r="GD16" s="151">
        <v>9995</v>
      </c>
      <c r="GE16" s="151">
        <v>12.881500000000001</v>
      </c>
      <c r="GF16" s="151">
        <v>1.7262</v>
      </c>
      <c r="GG16" s="151">
        <v>0.65769999999999995</v>
      </c>
      <c r="GH16" s="153">
        <f t="shared" si="132"/>
        <v>0.5367291666666667</v>
      </c>
      <c r="GI16" s="131">
        <f t="shared" si="64"/>
        <v>37.842300000000002</v>
      </c>
      <c r="GJ16">
        <f t="shared" si="38"/>
        <v>6.8200000000000927E-2</v>
      </c>
      <c r="GM16">
        <v>6</v>
      </c>
      <c r="GN16" s="155">
        <v>9995</v>
      </c>
      <c r="GO16" s="155">
        <v>13.0259</v>
      </c>
      <c r="GP16" s="155">
        <v>1.7455000000000001</v>
      </c>
      <c r="GQ16" s="155">
        <v>0.66500000000000004</v>
      </c>
      <c r="GR16" s="58">
        <f t="shared" si="65"/>
        <v>0.54274583333333337</v>
      </c>
      <c r="GS16" s="131">
        <f t="shared" si="66"/>
        <v>37.835000000000001</v>
      </c>
      <c r="GT16">
        <f t="shared" si="39"/>
        <v>0.1443999999999992</v>
      </c>
      <c r="GW16">
        <v>6</v>
      </c>
      <c r="GX16" s="157">
        <v>9995</v>
      </c>
      <c r="GY16" s="161">
        <f>VLOOKUP(GX16,Sheet3!$AJ$7:$AN$83,2,0)</f>
        <v>13.209099999999999</v>
      </c>
      <c r="GZ16" s="161">
        <f>VLOOKUP(GX16,Sheet3!$AJ$7:$AN$83,3,0)</f>
        <v>1.7701</v>
      </c>
      <c r="HA16" s="161">
        <f>VLOOKUP(GX16,Sheet3!$AJ$7:$AN$83,4,0)</f>
        <v>0.6744</v>
      </c>
      <c r="HB16" s="162">
        <f t="shared" si="17"/>
        <v>0.55037916666666664</v>
      </c>
      <c r="HC16" s="131">
        <f t="shared" si="116"/>
        <v>37.825600000000001</v>
      </c>
      <c r="HD16" s="159">
        <f t="shared" si="40"/>
        <v>0.18319999999999936</v>
      </c>
      <c r="HE16" s="159">
        <f t="shared" si="41"/>
        <v>9.3999999999999639E-3</v>
      </c>
      <c r="HG16" s="159"/>
      <c r="HH16" s="159">
        <v>6</v>
      </c>
      <c r="HI16" s="158">
        <v>9995</v>
      </c>
      <c r="HJ16" s="161">
        <v>13.282999999999999</v>
      </c>
      <c r="HK16" s="161">
        <v>1.78</v>
      </c>
      <c r="HL16" s="161">
        <v>0.67820000000000003</v>
      </c>
      <c r="HM16" s="162">
        <f t="shared" si="18"/>
        <v>0.55345833333333327</v>
      </c>
      <c r="HN16" s="131">
        <f t="shared" si="67"/>
        <v>37.821800000000003</v>
      </c>
      <c r="HO16" s="159">
        <f t="shared" si="68"/>
        <v>7.3900000000000077E-2</v>
      </c>
      <c r="HQ16" s="183"/>
      <c r="HR16" s="183">
        <v>6</v>
      </c>
      <c r="HS16" s="178">
        <v>9995</v>
      </c>
      <c r="HT16" s="184">
        <v>13.331200000000001</v>
      </c>
      <c r="HU16" s="184">
        <v>1.7864</v>
      </c>
      <c r="HV16" s="184">
        <v>0.68059999999999998</v>
      </c>
      <c r="HW16" s="171">
        <f t="shared" si="19"/>
        <v>0.55546666666666666</v>
      </c>
      <c r="HX16" s="53">
        <f t="shared" si="69"/>
        <v>37.819400000000002</v>
      </c>
      <c r="HY16" s="183">
        <f t="shared" si="70"/>
        <v>4.8200000000001353E-2</v>
      </c>
      <c r="IA16" s="194"/>
      <c r="IB16" s="194">
        <v>6</v>
      </c>
      <c r="IC16" s="193">
        <v>9995</v>
      </c>
      <c r="ID16" s="161">
        <v>13.3521</v>
      </c>
      <c r="IE16" s="184">
        <v>1.7891999999999999</v>
      </c>
      <c r="IF16" s="184">
        <v>0.68169999999999997</v>
      </c>
      <c r="IG16" s="171">
        <f t="shared" si="71"/>
        <v>0.55633750000000004</v>
      </c>
      <c r="IH16" s="53">
        <f t="shared" si="72"/>
        <v>37.818300000000001</v>
      </c>
      <c r="II16" s="194">
        <f t="shared" si="73"/>
        <v>2.0899999999999253E-2</v>
      </c>
      <c r="IL16" s="199">
        <v>6</v>
      </c>
      <c r="IM16" s="197">
        <v>9995</v>
      </c>
      <c r="IN16" s="161">
        <v>13.4619</v>
      </c>
      <c r="IO16" s="184">
        <v>1.8039000000000001</v>
      </c>
      <c r="IP16" s="184">
        <v>0.68730000000000002</v>
      </c>
      <c r="IQ16" s="171">
        <f t="shared" si="74"/>
        <v>0.56091250000000004</v>
      </c>
      <c r="IR16" s="53">
        <f t="shared" si="75"/>
        <v>37.8127</v>
      </c>
      <c r="IS16" s="199">
        <f t="shared" si="76"/>
        <v>0.1097999999999999</v>
      </c>
      <c r="IU16" s="202"/>
      <c r="IV16" s="202">
        <v>6</v>
      </c>
      <c r="IW16" s="201">
        <v>9995</v>
      </c>
      <c r="IX16" s="184">
        <v>13.610200000000001</v>
      </c>
      <c r="IY16" s="184">
        <v>1.8238000000000001</v>
      </c>
      <c r="IZ16" s="184">
        <v>0.69489999999999996</v>
      </c>
      <c r="JA16" s="162">
        <f t="shared" si="22"/>
        <v>0.56709166666666666</v>
      </c>
      <c r="JB16" s="53">
        <f t="shared" si="77"/>
        <v>37.805100000000003</v>
      </c>
      <c r="JC16" s="202">
        <f t="shared" si="78"/>
        <v>0.14830000000000076</v>
      </c>
      <c r="JE16" s="204"/>
      <c r="JF16" s="204">
        <v>6</v>
      </c>
      <c r="JG16" s="203">
        <v>9995</v>
      </c>
      <c r="JH16" s="161">
        <v>13.657299999999999</v>
      </c>
      <c r="JI16" s="184">
        <v>1.8301000000000001</v>
      </c>
      <c r="JJ16" s="184">
        <v>0.69730000000000003</v>
      </c>
      <c r="JK16" s="162">
        <f t="shared" si="79"/>
        <v>0.56905416666666664</v>
      </c>
      <c r="JL16" s="53">
        <f t="shared" si="80"/>
        <v>37.802700000000002</v>
      </c>
      <c r="JM16" s="204">
        <f t="shared" si="117"/>
        <v>4.7099999999998587E-2</v>
      </c>
      <c r="JN16" s="204"/>
      <c r="JP16" s="209">
        <v>6</v>
      </c>
      <c r="JQ16" s="205">
        <v>9995</v>
      </c>
      <c r="JR16" s="161">
        <v>13.6952</v>
      </c>
      <c r="JS16" s="184">
        <v>1.8351999999999999</v>
      </c>
      <c r="JT16" s="184">
        <v>0.69920000000000004</v>
      </c>
      <c r="JU16" s="162">
        <f t="shared" si="81"/>
        <v>0.57063333333333333</v>
      </c>
      <c r="JV16" s="53">
        <f t="shared" si="82"/>
        <v>37.800800000000002</v>
      </c>
      <c r="JW16" s="209">
        <f t="shared" si="118"/>
        <v>3.7900000000000489E-2</v>
      </c>
      <c r="JX16" s="213"/>
      <c r="JY16" s="213"/>
      <c r="JZ16" s="213">
        <v>6</v>
      </c>
      <c r="KA16" s="206">
        <v>9995</v>
      </c>
      <c r="KB16" s="184">
        <v>13.784000000000001</v>
      </c>
      <c r="KC16" s="184">
        <v>1.8471</v>
      </c>
      <c r="KD16" s="184">
        <v>0.70369999999999999</v>
      </c>
      <c r="KE16" s="162">
        <f t="shared" si="83"/>
        <v>0.57433333333333336</v>
      </c>
      <c r="KF16" s="53">
        <f t="shared" si="84"/>
        <v>37.796300000000002</v>
      </c>
      <c r="KG16" s="213">
        <f t="shared" si="119"/>
        <v>8.8800000000000878E-2</v>
      </c>
      <c r="KI16" s="219"/>
      <c r="KJ16" s="219">
        <v>6</v>
      </c>
      <c r="KK16" s="214">
        <v>9995</v>
      </c>
      <c r="KL16" s="161">
        <v>13.813700000000001</v>
      </c>
      <c r="KM16" s="161">
        <v>1.8511</v>
      </c>
      <c r="KN16" s="161">
        <v>0.70530000000000004</v>
      </c>
      <c r="KO16" s="162">
        <f t="shared" si="24"/>
        <v>0.57557083333333336</v>
      </c>
      <c r="KP16" s="53">
        <f t="shared" si="85"/>
        <v>37.794699999999999</v>
      </c>
      <c r="KQ16" s="219">
        <f t="shared" si="120"/>
        <v>2.970000000000006E-2</v>
      </c>
      <c r="KT16" s="223">
        <v>6</v>
      </c>
      <c r="KU16" s="216">
        <v>9995</v>
      </c>
      <c r="KV16" s="161">
        <v>13.844900000000001</v>
      </c>
      <c r="KW16" s="161">
        <v>1.8553000000000002</v>
      </c>
      <c r="KX16" s="161">
        <v>0.70689999999999997</v>
      </c>
      <c r="KY16" s="162">
        <f t="shared" si="86"/>
        <v>0.57687083333333333</v>
      </c>
      <c r="KZ16" s="53">
        <f t="shared" si="87"/>
        <v>37.793100000000003</v>
      </c>
      <c r="LA16" s="223">
        <f t="shared" si="121"/>
        <v>3.1200000000000117E-2</v>
      </c>
      <c r="LD16" s="228">
        <v>6</v>
      </c>
      <c r="LE16" s="221">
        <v>9995</v>
      </c>
      <c r="LF16" s="161">
        <v>13.871</v>
      </c>
      <c r="LG16" s="161">
        <v>1.8588</v>
      </c>
      <c r="LH16" s="161">
        <v>0.70820000000000005</v>
      </c>
      <c r="LI16" s="162">
        <f t="shared" si="88"/>
        <v>0.57795833333333335</v>
      </c>
      <c r="LJ16" s="53">
        <f t="shared" si="89"/>
        <v>37.791800000000002</v>
      </c>
      <c r="LK16" s="228">
        <f t="shared" si="122"/>
        <v>2.6099999999999568E-2</v>
      </c>
      <c r="LL16" s="231"/>
      <c r="LM16" s="231"/>
      <c r="LN16" s="231">
        <v>6</v>
      </c>
      <c r="LO16" s="226">
        <v>9995</v>
      </c>
      <c r="LP16" s="184">
        <v>13.9076</v>
      </c>
      <c r="LQ16" s="184">
        <v>1.8636999999999999</v>
      </c>
      <c r="LR16" s="184">
        <v>0.71009999999999995</v>
      </c>
      <c r="LS16" s="162">
        <f t="shared" si="90"/>
        <v>0.57948333333333335</v>
      </c>
      <c r="LT16" s="53">
        <f t="shared" si="91"/>
        <v>37.789900000000003</v>
      </c>
      <c r="LU16" s="231">
        <f t="shared" si="123"/>
        <v>3.6599999999999966E-2</v>
      </c>
      <c r="LW16" s="231"/>
      <c r="LX16" s="231">
        <v>6</v>
      </c>
      <c r="LY16" s="234">
        <v>9995</v>
      </c>
      <c r="LZ16" s="184">
        <v>13.9488</v>
      </c>
      <c r="MA16" s="184">
        <v>1.8692</v>
      </c>
      <c r="MB16" s="184">
        <v>0.71220000000000006</v>
      </c>
      <c r="MC16" s="162">
        <f t="shared" si="92"/>
        <v>0.58120000000000005</v>
      </c>
      <c r="MD16" s="53">
        <f t="shared" si="93"/>
        <v>37.787799999999997</v>
      </c>
      <c r="ME16" s="231">
        <f t="shared" si="124"/>
        <v>4.1199999999999903E-2</v>
      </c>
      <c r="MF16" s="231"/>
      <c r="MG16" s="231"/>
      <c r="MH16" s="231">
        <v>6</v>
      </c>
      <c r="MI16" s="236">
        <v>9995</v>
      </c>
      <c r="MJ16" s="184">
        <v>13.9893</v>
      </c>
      <c r="MK16" s="184">
        <v>1.8746</v>
      </c>
      <c r="ML16" s="184">
        <v>0.71419999999999995</v>
      </c>
      <c r="MM16" s="162">
        <f t="shared" si="94"/>
        <v>0.5828875</v>
      </c>
      <c r="MN16" s="53">
        <f t="shared" si="95"/>
        <v>37.785800000000002</v>
      </c>
      <c r="MO16" s="231">
        <f t="shared" si="125"/>
        <v>4.0499999999999758E-2</v>
      </c>
      <c r="MP16" s="231"/>
      <c r="MQ16" s="231"/>
      <c r="MR16" s="231">
        <v>6</v>
      </c>
      <c r="MS16" s="34">
        <v>9995</v>
      </c>
      <c r="MT16" s="184">
        <v>14.066599999999999</v>
      </c>
      <c r="MU16" s="184">
        <v>1.885</v>
      </c>
      <c r="MV16" s="184">
        <v>0.71819999999999995</v>
      </c>
      <c r="MW16" s="162">
        <f t="shared" si="96"/>
        <v>0.58610833333333334</v>
      </c>
      <c r="MX16" s="53">
        <f t="shared" si="97"/>
        <v>37.781799999999997</v>
      </c>
      <c r="MY16" s="231">
        <f t="shared" si="126"/>
        <v>7.7299999999999258E-2</v>
      </c>
      <c r="MZ16" s="246"/>
      <c r="NA16" s="246"/>
      <c r="NB16" s="246">
        <v>6</v>
      </c>
      <c r="NC16" s="34">
        <v>9995</v>
      </c>
      <c r="ND16" s="184">
        <v>14.1456</v>
      </c>
      <c r="NE16" s="184">
        <v>1.8956</v>
      </c>
      <c r="NF16" s="184">
        <v>0.72219999999999995</v>
      </c>
      <c r="NG16" s="162">
        <f t="shared" si="98"/>
        <v>0.58940000000000003</v>
      </c>
      <c r="NH16" s="53">
        <f t="shared" si="99"/>
        <v>37.777799999999999</v>
      </c>
      <c r="NI16" s="232">
        <f t="shared" si="127"/>
        <v>7.9000000000000625E-2</v>
      </c>
      <c r="NK16" s="250"/>
      <c r="NL16" s="250">
        <v>6</v>
      </c>
      <c r="NM16" s="34">
        <v>9995</v>
      </c>
      <c r="NN16" s="184">
        <v>14.168900000000001</v>
      </c>
      <c r="NO16" s="184">
        <v>1.8987000000000001</v>
      </c>
      <c r="NP16" s="184">
        <v>0.72340000000000004</v>
      </c>
      <c r="NQ16" s="162">
        <f t="shared" si="100"/>
        <v>0.5903708333333334</v>
      </c>
      <c r="NR16" s="53">
        <f t="shared" si="101"/>
        <v>37.776600000000002</v>
      </c>
      <c r="NS16" s="232">
        <f t="shared" si="128"/>
        <v>2.3300000000000765E-2</v>
      </c>
      <c r="NU16" s="250"/>
      <c r="NV16" s="250">
        <v>6</v>
      </c>
      <c r="NW16" s="34">
        <v>9995</v>
      </c>
      <c r="NX16" s="184">
        <v>14.2058</v>
      </c>
      <c r="NY16" s="184">
        <v>1.9036</v>
      </c>
      <c r="NZ16" s="184">
        <v>0.72529999999999994</v>
      </c>
      <c r="OA16" s="162">
        <f t="shared" si="102"/>
        <v>0.59190833333333337</v>
      </c>
      <c r="OB16" s="53">
        <f t="shared" si="103"/>
        <v>37.774700000000003</v>
      </c>
      <c r="OC16" s="232">
        <f t="shared" si="129"/>
        <v>3.6899999999999267E-2</v>
      </c>
      <c r="OE16" s="250"/>
      <c r="OF16" s="250">
        <v>6</v>
      </c>
      <c r="OG16" s="34">
        <v>9995</v>
      </c>
      <c r="OH16" s="184">
        <v>14.224299999999999</v>
      </c>
      <c r="OI16" s="184">
        <v>1.9060999999999999</v>
      </c>
      <c r="OJ16" s="184">
        <v>0.72619999999999996</v>
      </c>
      <c r="OK16" s="162">
        <f t="shared" si="104"/>
        <v>0.59267916666666665</v>
      </c>
      <c r="OL16" s="53">
        <f t="shared" si="105"/>
        <v>37.773800000000001</v>
      </c>
      <c r="OM16" s="232">
        <f t="shared" si="130"/>
        <v>1.8499999999999517E-2</v>
      </c>
      <c r="OP16" s="250">
        <v>6</v>
      </c>
      <c r="OQ16" s="34">
        <v>9995</v>
      </c>
      <c r="OR16" s="184">
        <f>VLOOKUP(OQ16,Sheet4!A14:F90,3,0)</f>
        <v>14.2667</v>
      </c>
      <c r="OS16" s="184">
        <f>VLOOKUP(OQ16,Sheet4!A14:F90,4,0)</f>
        <v>1.9117999999999999</v>
      </c>
      <c r="OT16" s="184">
        <f>VLOOKUP(OQ16,Sheet4!A14:F90,5,0)</f>
        <v>0.72840000000000005</v>
      </c>
      <c r="OU16" s="162">
        <f t="shared" si="106"/>
        <v>0.59444583333333334</v>
      </c>
      <c r="OV16" s="53">
        <f t="shared" si="107"/>
        <v>37.771599999999999</v>
      </c>
      <c r="OW16" s="232">
        <f t="shared" si="131"/>
        <v>4.2400000000000659E-2</v>
      </c>
    </row>
    <row r="17" spans="1:413" ht="15.75" x14ac:dyDescent="0.25">
      <c r="A17">
        <v>9</v>
      </c>
      <c r="B17" s="1">
        <v>9892</v>
      </c>
      <c r="C17" s="1" t="s">
        <v>1</v>
      </c>
      <c r="D17" s="2">
        <v>38.03</v>
      </c>
      <c r="E17" s="8"/>
      <c r="F17" s="8"/>
      <c r="G17" s="8"/>
      <c r="H17" s="8"/>
      <c r="J17" s="15">
        <v>9892</v>
      </c>
      <c r="K17" s="15">
        <v>9.4783000000000008</v>
      </c>
      <c r="L17" s="15">
        <v>1.2701</v>
      </c>
      <c r="M17" s="15">
        <v>0.4839</v>
      </c>
      <c r="N17" s="24">
        <f t="shared" si="42"/>
        <v>0.39492916666666672</v>
      </c>
      <c r="O17" s="10">
        <f t="shared" si="36"/>
        <v>37.546100000000003</v>
      </c>
      <c r="P17" s="18"/>
      <c r="R17" s="20">
        <v>9892</v>
      </c>
      <c r="S17" s="9">
        <v>9.5649999999999995</v>
      </c>
      <c r="T17" s="9">
        <v>1.2817000000000001</v>
      </c>
      <c r="U17" s="9">
        <v>0.48830000000000001</v>
      </c>
      <c r="V17" s="24">
        <f t="shared" si="43"/>
        <v>0.39854166666666663</v>
      </c>
      <c r="W17" s="10">
        <f t="shared" si="44"/>
        <v>37.541699999999999</v>
      </c>
      <c r="X17" s="18"/>
      <c r="Z17" s="27">
        <v>9892</v>
      </c>
      <c r="AA17" s="9">
        <v>9.7781000000000002</v>
      </c>
      <c r="AB17" s="9">
        <v>1.3103</v>
      </c>
      <c r="AC17" s="9">
        <v>0.49919999999999998</v>
      </c>
      <c r="AD17" s="24">
        <f t="shared" si="45"/>
        <v>0.40742083333333334</v>
      </c>
      <c r="AE17" s="10">
        <f t="shared" si="46"/>
        <v>37.530799999999999</v>
      </c>
      <c r="AF17" s="79"/>
      <c r="AG17">
        <v>9</v>
      </c>
      <c r="AH17" s="1">
        <v>9892</v>
      </c>
      <c r="AI17" s="1" t="s">
        <v>1</v>
      </c>
      <c r="AJ17" s="2">
        <v>38.03</v>
      </c>
      <c r="AL17" s="32">
        <v>9892</v>
      </c>
      <c r="AM17" s="9">
        <v>10.009</v>
      </c>
      <c r="AN17" s="9">
        <v>1.3411999999999999</v>
      </c>
      <c r="AO17" s="9">
        <v>0.51100000000000001</v>
      </c>
      <c r="AP17" s="37">
        <f t="shared" si="0"/>
        <v>0.4170416666666667</v>
      </c>
      <c r="AQ17" s="53">
        <f t="shared" si="108"/>
        <v>37.518999999999998</v>
      </c>
      <c r="AT17" s="39"/>
      <c r="AU17" s="38">
        <v>9892</v>
      </c>
      <c r="AV17" s="9">
        <v>10.107200000000001</v>
      </c>
      <c r="AW17" s="43">
        <v>1.3544</v>
      </c>
      <c r="AX17" s="43">
        <v>0.51600000000000001</v>
      </c>
      <c r="AY17" s="47">
        <f t="shared" si="47"/>
        <v>0.42113333333333336</v>
      </c>
      <c r="AZ17" s="96">
        <f t="shared" si="109"/>
        <v>37.514000000000003</v>
      </c>
      <c r="BD17" s="54">
        <v>9892</v>
      </c>
      <c r="BE17" s="53">
        <v>10.1183</v>
      </c>
      <c r="BF17" s="58">
        <v>1.3559000000000001</v>
      </c>
      <c r="BG17" s="58">
        <v>0.51659999999999995</v>
      </c>
      <c r="BH17" s="47">
        <f t="shared" si="48"/>
        <v>0.42159583333333334</v>
      </c>
      <c r="BI17" s="56">
        <f t="shared" si="49"/>
        <v>37.513400000000004</v>
      </c>
      <c r="BJ17" s="88"/>
      <c r="BK17" s="88"/>
      <c r="BL17" s="88"/>
      <c r="BN17" s="9">
        <v>9892</v>
      </c>
      <c r="BO17" s="53">
        <v>10.159700000000001</v>
      </c>
      <c r="BP17" s="53">
        <v>1.3613999999999999</v>
      </c>
      <c r="BQ17" s="53">
        <v>0.51870000000000005</v>
      </c>
      <c r="BR17" s="53">
        <f t="shared" si="50"/>
        <v>0.42332083333333337</v>
      </c>
      <c r="BS17" s="53">
        <f t="shared" si="51"/>
        <v>37.511299999999999</v>
      </c>
      <c r="BV17" s="88"/>
      <c r="BX17" s="93">
        <v>9892</v>
      </c>
      <c r="BY17" s="9">
        <v>10.241300000000001</v>
      </c>
      <c r="BZ17" s="9">
        <v>1.3724000000000001</v>
      </c>
      <c r="CA17" s="9">
        <v>0.52290000000000003</v>
      </c>
      <c r="CB17" s="58">
        <f t="shared" si="52"/>
        <v>0.42672083333333338</v>
      </c>
      <c r="CC17" s="53">
        <f t="shared" si="110"/>
        <v>37.507100000000001</v>
      </c>
      <c r="CF17" s="88"/>
      <c r="CG17">
        <v>7</v>
      </c>
      <c r="CH17" s="93">
        <v>9892</v>
      </c>
      <c r="CI17" s="93">
        <v>10.311500000000001</v>
      </c>
      <c r="CJ17" s="9">
        <v>1.3817999999999999</v>
      </c>
      <c r="CK17" s="9">
        <v>0.52649999999999997</v>
      </c>
      <c r="CL17" s="47">
        <f t="shared" si="5"/>
        <v>0.42964583333333334</v>
      </c>
      <c r="CM17" s="53">
        <f t="shared" si="53"/>
        <v>37.503500000000003</v>
      </c>
      <c r="CQ17">
        <v>7</v>
      </c>
      <c r="CR17" s="98">
        <v>9892</v>
      </c>
      <c r="CS17" s="101">
        <v>10.399699999999999</v>
      </c>
      <c r="CT17" s="101">
        <v>1.3935999999999999</v>
      </c>
      <c r="CU17" s="101">
        <v>0.53100000000000003</v>
      </c>
      <c r="CV17" s="47">
        <f t="shared" si="6"/>
        <v>0.43332083333333332</v>
      </c>
      <c r="CW17" s="53">
        <f t="shared" si="37"/>
        <v>37.499000000000002</v>
      </c>
      <c r="DA17">
        <v>7</v>
      </c>
      <c r="DB17" s="106">
        <v>9892</v>
      </c>
      <c r="DC17" s="107">
        <v>10.4084</v>
      </c>
      <c r="DD17" s="107">
        <v>1.3948</v>
      </c>
      <c r="DE17" s="107">
        <v>0.53139999999999998</v>
      </c>
      <c r="DF17" s="47">
        <f t="shared" si="7"/>
        <v>0.43368333333333337</v>
      </c>
      <c r="DG17" s="53">
        <f t="shared" si="111"/>
        <v>37.498600000000003</v>
      </c>
      <c r="DK17">
        <v>7</v>
      </c>
      <c r="DL17" s="110">
        <v>9892</v>
      </c>
      <c r="DM17" s="53">
        <v>10.5091</v>
      </c>
      <c r="DN17" s="53">
        <v>1.4083000000000001</v>
      </c>
      <c r="DO17" s="53">
        <v>0.53649999999999998</v>
      </c>
      <c r="DP17" s="47">
        <f t="shared" si="8"/>
        <v>0.43787916666666665</v>
      </c>
      <c r="DQ17" s="53">
        <f t="shared" si="54"/>
        <v>37.493500000000004</v>
      </c>
      <c r="DS17" s="3">
        <f t="shared" si="55"/>
        <v>0.10069999999999979</v>
      </c>
      <c r="DU17">
        <v>7</v>
      </c>
      <c r="DV17" s="115">
        <v>9892</v>
      </c>
      <c r="DW17" s="9">
        <v>10.571899999999999</v>
      </c>
      <c r="DX17" s="9">
        <v>1.4167000000000001</v>
      </c>
      <c r="DY17" s="9">
        <v>0.53979999999999995</v>
      </c>
      <c r="DZ17" s="47">
        <f t="shared" si="9"/>
        <v>0.44049583333333331</v>
      </c>
      <c r="EA17" s="53">
        <f t="shared" si="112"/>
        <v>37.490200000000002</v>
      </c>
      <c r="EB17" s="3"/>
      <c r="EE17">
        <v>7</v>
      </c>
      <c r="EF17" s="118">
        <v>9892</v>
      </c>
      <c r="EG17" s="9">
        <v>10.6699</v>
      </c>
      <c r="EH17" s="9">
        <v>1.4298</v>
      </c>
      <c r="EI17" s="9">
        <v>0.54479999999999995</v>
      </c>
      <c r="EJ17" s="47">
        <f t="shared" si="10"/>
        <v>0.44457916666666669</v>
      </c>
      <c r="EK17" s="53">
        <f t="shared" si="56"/>
        <v>37.485199999999999</v>
      </c>
      <c r="EM17" s="3">
        <f t="shared" si="57"/>
        <v>-5.000000000002558E-3</v>
      </c>
      <c r="EN17" s="3"/>
      <c r="EO17">
        <v>7</v>
      </c>
      <c r="EP17" s="121">
        <v>9892</v>
      </c>
      <c r="EQ17" s="122">
        <v>10.864800000000001</v>
      </c>
      <c r="ER17" s="122">
        <v>1.4559</v>
      </c>
      <c r="ES17" s="129">
        <v>0.55469999999999997</v>
      </c>
      <c r="ET17" s="130">
        <f t="shared" si="11"/>
        <v>0.45270000000000005</v>
      </c>
      <c r="EU17" s="131">
        <f t="shared" si="58"/>
        <v>37.475300000000004</v>
      </c>
      <c r="EX17" s="3"/>
      <c r="EY17">
        <v>7</v>
      </c>
      <c r="EZ17" s="135">
        <v>9892</v>
      </c>
      <c r="FA17" s="135">
        <v>10.9567</v>
      </c>
      <c r="FB17" s="135">
        <v>1.4681999999999999</v>
      </c>
      <c r="FC17" s="135">
        <v>0.55940000000000001</v>
      </c>
      <c r="FD17" s="136">
        <f t="shared" si="12"/>
        <v>0.45652916666666665</v>
      </c>
      <c r="FE17" s="131">
        <f t="shared" si="59"/>
        <v>37.470600000000005</v>
      </c>
      <c r="FG17" s="123">
        <f t="shared" si="60"/>
        <v>-4.6999999999997044E-3</v>
      </c>
      <c r="FH17" s="3"/>
      <c r="FI17">
        <v>7</v>
      </c>
      <c r="FJ17" s="145">
        <v>9892</v>
      </c>
      <c r="FK17" s="9">
        <v>11.0791</v>
      </c>
      <c r="FL17" s="9">
        <v>1.4845999999999999</v>
      </c>
      <c r="FM17" s="9">
        <v>0.56559999999999999</v>
      </c>
      <c r="FN17" s="146">
        <f t="shared" si="113"/>
        <v>0.4616291666666667</v>
      </c>
      <c r="FO17" s="131">
        <f t="shared" si="61"/>
        <v>37.464399999999998</v>
      </c>
      <c r="FP17" s="123">
        <f t="shared" si="62"/>
        <v>-6.2000000000068667E-3</v>
      </c>
      <c r="FS17">
        <v>7</v>
      </c>
      <c r="FT17" s="147">
        <v>9892</v>
      </c>
      <c r="FU17" s="148">
        <v>11.1043</v>
      </c>
      <c r="FV17" s="148">
        <v>1.488</v>
      </c>
      <c r="FW17" s="148">
        <v>0.56689999999999996</v>
      </c>
      <c r="FX17" s="150">
        <f t="shared" si="114"/>
        <v>0.4626791666666667</v>
      </c>
      <c r="FY17" s="131">
        <f t="shared" si="115"/>
        <v>37.463100000000004</v>
      </c>
      <c r="FZ17">
        <f t="shared" si="63"/>
        <v>2.5199999999999889E-2</v>
      </c>
      <c r="GC17">
        <v>7</v>
      </c>
      <c r="GD17" s="151">
        <v>9892</v>
      </c>
      <c r="GE17" s="151">
        <v>11.166600000000001</v>
      </c>
      <c r="GF17" s="151">
        <v>1.4964</v>
      </c>
      <c r="GG17" s="151">
        <v>0.57010000000000005</v>
      </c>
      <c r="GH17" s="153">
        <f t="shared" si="132"/>
        <v>0.46527500000000005</v>
      </c>
      <c r="GI17" s="131">
        <f t="shared" si="64"/>
        <v>37.459900000000005</v>
      </c>
      <c r="GJ17">
        <f t="shared" si="38"/>
        <v>6.2300000000000466E-2</v>
      </c>
      <c r="GM17">
        <v>7</v>
      </c>
      <c r="GN17" s="155">
        <v>9892</v>
      </c>
      <c r="GO17" s="155">
        <v>11.2986</v>
      </c>
      <c r="GP17" s="155">
        <v>1.5141</v>
      </c>
      <c r="GQ17" s="155">
        <v>0.57689999999999997</v>
      </c>
      <c r="GR17" s="58">
        <f t="shared" si="65"/>
        <v>0.470775</v>
      </c>
      <c r="GS17" s="131">
        <f t="shared" si="66"/>
        <v>37.453099999999999</v>
      </c>
      <c r="GT17">
        <f t="shared" si="39"/>
        <v>0.13199999999999967</v>
      </c>
      <c r="GW17">
        <v>7</v>
      </c>
      <c r="GX17" s="157">
        <v>9892</v>
      </c>
      <c r="GY17" s="161">
        <f>VLOOKUP(GX17,Sheet3!$AJ$7:$AN$83,2,0)</f>
        <v>11.466200000000001</v>
      </c>
      <c r="GZ17" s="161">
        <f>VLOOKUP(GX17,Sheet3!$AJ$7:$AN$83,3,0)</f>
        <v>1.5365</v>
      </c>
      <c r="HA17" s="161">
        <f>VLOOKUP(GX17,Sheet3!$AJ$7:$AN$83,4,0)</f>
        <v>0.58540000000000003</v>
      </c>
      <c r="HB17" s="162">
        <f t="shared" si="17"/>
        <v>0.47775833333333334</v>
      </c>
      <c r="HC17" s="131">
        <f t="shared" si="116"/>
        <v>37.444600000000001</v>
      </c>
      <c r="HD17" s="159">
        <f t="shared" si="40"/>
        <v>0.16760000000000019</v>
      </c>
      <c r="HE17" s="159">
        <f t="shared" si="41"/>
        <v>8.5000000000000631E-3</v>
      </c>
      <c r="HG17" s="159"/>
      <c r="HH17" s="159">
        <v>7</v>
      </c>
      <c r="HI17" s="158">
        <v>9892</v>
      </c>
      <c r="HJ17" s="161">
        <v>11.533799999999999</v>
      </c>
      <c r="HK17" s="161">
        <v>1.5456000000000001</v>
      </c>
      <c r="HL17" s="161">
        <v>0.58889999999999998</v>
      </c>
      <c r="HM17" s="162">
        <f t="shared" si="18"/>
        <v>0.48057499999999997</v>
      </c>
      <c r="HN17" s="131">
        <f t="shared" si="67"/>
        <v>37.441099999999999</v>
      </c>
      <c r="HO17" s="159">
        <f t="shared" si="68"/>
        <v>6.7599999999998772E-2</v>
      </c>
      <c r="HQ17" s="183"/>
      <c r="HR17" s="183">
        <v>7</v>
      </c>
      <c r="HS17" s="178">
        <v>9892</v>
      </c>
      <c r="HT17" s="184">
        <v>11.5779</v>
      </c>
      <c r="HU17" s="184">
        <v>1.5515000000000001</v>
      </c>
      <c r="HV17" s="184">
        <v>0.59109999999999996</v>
      </c>
      <c r="HW17" s="171">
        <f t="shared" si="19"/>
        <v>0.48241249999999997</v>
      </c>
      <c r="HX17" s="53">
        <f t="shared" si="69"/>
        <v>37.438900000000004</v>
      </c>
      <c r="HY17" s="183">
        <f t="shared" si="70"/>
        <v>4.410000000000025E-2</v>
      </c>
      <c r="IA17" s="194"/>
      <c r="IB17" s="194">
        <v>7</v>
      </c>
      <c r="IC17" s="193">
        <v>9892</v>
      </c>
      <c r="ID17" s="161">
        <v>11.597</v>
      </c>
      <c r="IE17" s="184">
        <v>1.554</v>
      </c>
      <c r="IF17" s="184">
        <v>0.59209999999999996</v>
      </c>
      <c r="IG17" s="171">
        <f t="shared" si="71"/>
        <v>0.4832083333333333</v>
      </c>
      <c r="IH17" s="53">
        <f t="shared" si="72"/>
        <v>37.437899999999999</v>
      </c>
      <c r="II17" s="194">
        <f t="shared" si="73"/>
        <v>1.9099999999999895E-2</v>
      </c>
      <c r="IL17" s="199">
        <v>7</v>
      </c>
      <c r="IM17" s="197">
        <v>9892</v>
      </c>
      <c r="IN17" s="161">
        <v>11.6974</v>
      </c>
      <c r="IO17" s="184">
        <v>1.5674999999999999</v>
      </c>
      <c r="IP17" s="184">
        <v>0.59719999999999995</v>
      </c>
      <c r="IQ17" s="171">
        <f t="shared" si="74"/>
        <v>0.48739166666666667</v>
      </c>
      <c r="IR17" s="53">
        <f t="shared" si="75"/>
        <v>37.4328</v>
      </c>
      <c r="IS17" s="199">
        <f t="shared" si="76"/>
        <v>0.10040000000000049</v>
      </c>
      <c r="IU17" s="202"/>
      <c r="IV17" s="202">
        <v>7</v>
      </c>
      <c r="IW17" s="201">
        <v>9892</v>
      </c>
      <c r="IX17" s="184">
        <v>11.833</v>
      </c>
      <c r="IY17" s="184">
        <v>1.5857000000000001</v>
      </c>
      <c r="IZ17" s="184">
        <v>0.60409999999999997</v>
      </c>
      <c r="JA17" s="162">
        <f t="shared" si="22"/>
        <v>0.49304166666666666</v>
      </c>
      <c r="JB17" s="53">
        <f t="shared" si="77"/>
        <v>37.425899999999999</v>
      </c>
      <c r="JC17" s="202">
        <f t="shared" si="78"/>
        <v>0.13560000000000016</v>
      </c>
      <c r="JE17" s="204"/>
      <c r="JF17" s="204">
        <v>7</v>
      </c>
      <c r="JG17" s="203">
        <v>9892</v>
      </c>
      <c r="JH17" s="161">
        <v>11.876099999999999</v>
      </c>
      <c r="JI17" s="184">
        <v>1.5913999999999999</v>
      </c>
      <c r="JJ17" s="184">
        <v>0.60629999999999995</v>
      </c>
      <c r="JK17" s="162">
        <f t="shared" si="79"/>
        <v>0.49483749999999999</v>
      </c>
      <c r="JL17" s="53">
        <f t="shared" si="80"/>
        <v>37.423700000000004</v>
      </c>
      <c r="JM17" s="204">
        <f t="shared" si="117"/>
        <v>4.3099999999999028E-2</v>
      </c>
      <c r="JN17" s="204"/>
      <c r="JP17" s="209">
        <v>7</v>
      </c>
      <c r="JQ17" s="205">
        <v>9892</v>
      </c>
      <c r="JR17" s="161">
        <v>11.9108</v>
      </c>
      <c r="JS17" s="184">
        <v>1.5961000000000001</v>
      </c>
      <c r="JT17" s="184">
        <v>0.60809999999999997</v>
      </c>
      <c r="JU17" s="162">
        <f t="shared" si="81"/>
        <v>0.49628333333333335</v>
      </c>
      <c r="JV17" s="53">
        <f t="shared" si="82"/>
        <v>37.421900000000001</v>
      </c>
      <c r="JW17" s="209">
        <f t="shared" si="118"/>
        <v>3.4700000000000841E-2</v>
      </c>
      <c r="JX17" s="213"/>
      <c r="JY17" s="213"/>
      <c r="JZ17" s="213">
        <v>7</v>
      </c>
      <c r="KA17" s="206">
        <v>9892</v>
      </c>
      <c r="KB17" s="184">
        <v>11.992000000000001</v>
      </c>
      <c r="KC17" s="184">
        <v>1.607</v>
      </c>
      <c r="KD17" s="184">
        <v>0.61229999999999996</v>
      </c>
      <c r="KE17" s="162">
        <f t="shared" si="83"/>
        <v>0.4996666666666667</v>
      </c>
      <c r="KF17" s="53">
        <f t="shared" si="84"/>
        <v>37.417700000000004</v>
      </c>
      <c r="KG17" s="213">
        <f t="shared" si="119"/>
        <v>8.1200000000000827E-2</v>
      </c>
      <c r="KI17" s="219"/>
      <c r="KJ17" s="219">
        <v>7</v>
      </c>
      <c r="KK17" s="214">
        <v>9892</v>
      </c>
      <c r="KL17" s="161">
        <v>12.0191</v>
      </c>
      <c r="KM17" s="161">
        <v>1.6106</v>
      </c>
      <c r="KN17" s="161">
        <v>0.61360000000000003</v>
      </c>
      <c r="KO17" s="162">
        <f t="shared" si="24"/>
        <v>0.50079583333333333</v>
      </c>
      <c r="KP17" s="53">
        <f t="shared" si="85"/>
        <v>37.416400000000003</v>
      </c>
      <c r="KQ17" s="219">
        <f t="shared" si="120"/>
        <v>2.7099999999999014E-2</v>
      </c>
      <c r="KT17" s="223">
        <v>7</v>
      </c>
      <c r="KU17" s="216">
        <v>9892</v>
      </c>
      <c r="KV17" s="161">
        <v>12.047599999999999</v>
      </c>
      <c r="KW17" s="161">
        <v>1.6143999999999998</v>
      </c>
      <c r="KX17" s="161">
        <v>0.61509999999999998</v>
      </c>
      <c r="KY17" s="162">
        <f t="shared" si="86"/>
        <v>0.50198333333333334</v>
      </c>
      <c r="KZ17" s="53">
        <f t="shared" si="87"/>
        <v>37.414900000000003</v>
      </c>
      <c r="LA17" s="223">
        <f t="shared" si="121"/>
        <v>2.8499999999999304E-2</v>
      </c>
      <c r="LD17" s="228">
        <v>7</v>
      </c>
      <c r="LE17" s="221">
        <v>9892</v>
      </c>
      <c r="LF17" s="161">
        <v>12.0715</v>
      </c>
      <c r="LG17" s="161">
        <v>1.6175999999999999</v>
      </c>
      <c r="LH17" s="161">
        <v>0.61629999999999996</v>
      </c>
      <c r="LI17" s="162">
        <f t="shared" si="88"/>
        <v>0.50297916666666664</v>
      </c>
      <c r="LJ17" s="53">
        <f t="shared" si="89"/>
        <v>37.413699999999999</v>
      </c>
      <c r="LK17" s="228">
        <f t="shared" si="122"/>
        <v>2.3900000000001143E-2</v>
      </c>
      <c r="LL17" s="231"/>
      <c r="LM17" s="231"/>
      <c r="LN17" s="231">
        <v>7</v>
      </c>
      <c r="LO17" s="226">
        <v>9892</v>
      </c>
      <c r="LP17" s="184">
        <v>12.105</v>
      </c>
      <c r="LQ17" s="184">
        <v>1.6221000000000001</v>
      </c>
      <c r="LR17" s="184">
        <v>0.61799999999999999</v>
      </c>
      <c r="LS17" s="162">
        <f t="shared" si="90"/>
        <v>0.50437500000000002</v>
      </c>
      <c r="LT17" s="53">
        <f t="shared" si="91"/>
        <v>37.411999999999999</v>
      </c>
      <c r="LU17" s="231">
        <f t="shared" si="123"/>
        <v>3.3500000000000085E-2</v>
      </c>
      <c r="LW17" s="231"/>
      <c r="LX17" s="231">
        <v>7</v>
      </c>
      <c r="LY17" s="234">
        <v>9892</v>
      </c>
      <c r="LZ17" s="184">
        <v>12.1426</v>
      </c>
      <c r="MA17" s="184">
        <v>1.6272</v>
      </c>
      <c r="MB17" s="184">
        <v>0.61990000000000001</v>
      </c>
      <c r="MC17" s="162">
        <f t="shared" si="92"/>
        <v>0.50594166666666662</v>
      </c>
      <c r="MD17" s="53">
        <f t="shared" si="93"/>
        <v>37.4101</v>
      </c>
      <c r="ME17" s="231">
        <f t="shared" si="124"/>
        <v>3.7599999999999412E-2</v>
      </c>
      <c r="MF17" s="231"/>
      <c r="MG17" s="231"/>
      <c r="MH17" s="231">
        <v>7</v>
      </c>
      <c r="MI17" s="236">
        <v>9892</v>
      </c>
      <c r="MJ17" s="184">
        <v>12.1797</v>
      </c>
      <c r="MK17" s="184">
        <v>1.6321000000000001</v>
      </c>
      <c r="ML17" s="184">
        <v>0.62180000000000002</v>
      </c>
      <c r="MM17" s="162">
        <f t="shared" si="94"/>
        <v>0.50748749999999998</v>
      </c>
      <c r="MN17" s="53">
        <f t="shared" si="95"/>
        <v>37.408200000000001</v>
      </c>
      <c r="MO17" s="231">
        <f t="shared" si="125"/>
        <v>3.7100000000000577E-2</v>
      </c>
      <c r="MP17" s="231"/>
      <c r="MQ17" s="231"/>
      <c r="MR17" s="231">
        <v>7</v>
      </c>
      <c r="MS17" s="34">
        <v>9892</v>
      </c>
      <c r="MT17" s="184">
        <v>12.250400000000001</v>
      </c>
      <c r="MU17" s="184">
        <v>1.6415999999999999</v>
      </c>
      <c r="MV17" s="184">
        <v>0.62549999999999994</v>
      </c>
      <c r="MW17" s="162">
        <f t="shared" si="96"/>
        <v>0.51043333333333341</v>
      </c>
      <c r="MX17" s="53">
        <f t="shared" si="97"/>
        <v>37.404499999999999</v>
      </c>
      <c r="MY17" s="231">
        <f t="shared" si="126"/>
        <v>7.0700000000000429E-2</v>
      </c>
      <c r="MZ17" s="246"/>
      <c r="NA17" s="246"/>
      <c r="NB17" s="246">
        <v>7</v>
      </c>
      <c r="NC17" s="34">
        <v>9892</v>
      </c>
      <c r="ND17" s="184">
        <v>12.322699999999999</v>
      </c>
      <c r="NE17" s="184">
        <v>1.6513</v>
      </c>
      <c r="NF17" s="184">
        <v>0.62909999999999999</v>
      </c>
      <c r="NG17" s="162">
        <f t="shared" si="98"/>
        <v>0.51344583333333327</v>
      </c>
      <c r="NH17" s="53">
        <f t="shared" si="99"/>
        <v>37.4009</v>
      </c>
      <c r="NI17" s="232">
        <f t="shared" si="127"/>
        <v>7.2299999999998477E-2</v>
      </c>
      <c r="NK17" s="250"/>
      <c r="NL17" s="250">
        <v>7</v>
      </c>
      <c r="NM17" s="34">
        <v>9892</v>
      </c>
      <c r="NN17" s="184">
        <v>12.343999999999999</v>
      </c>
      <c r="NO17" s="184">
        <v>1.6540999999999999</v>
      </c>
      <c r="NP17" s="184">
        <v>0.63019999999999998</v>
      </c>
      <c r="NQ17" s="162">
        <f t="shared" si="100"/>
        <v>0.51433333333333331</v>
      </c>
      <c r="NR17" s="53">
        <f t="shared" si="101"/>
        <v>37.399799999999999</v>
      </c>
      <c r="NS17" s="232">
        <f t="shared" si="128"/>
        <v>2.1300000000000097E-2</v>
      </c>
      <c r="NU17" s="250"/>
      <c r="NV17" s="250">
        <v>7</v>
      </c>
      <c r="NW17" s="34">
        <v>9892</v>
      </c>
      <c r="NX17" s="184">
        <v>12.377700000000001</v>
      </c>
      <c r="NY17" s="184">
        <v>1.6587000000000001</v>
      </c>
      <c r="NZ17" s="184">
        <v>0.63190000000000002</v>
      </c>
      <c r="OA17" s="162">
        <f t="shared" si="102"/>
        <v>0.51573750000000007</v>
      </c>
      <c r="OB17" s="53">
        <f t="shared" si="103"/>
        <v>37.398099999999999</v>
      </c>
      <c r="OC17" s="232">
        <f t="shared" si="129"/>
        <v>3.3700000000001396E-2</v>
      </c>
      <c r="OE17" s="250"/>
      <c r="OF17" s="250">
        <v>7</v>
      </c>
      <c r="OG17" s="34">
        <v>9892</v>
      </c>
      <c r="OH17" s="184">
        <v>12.394600000000001</v>
      </c>
      <c r="OI17" s="184">
        <v>1.6609</v>
      </c>
      <c r="OJ17" s="184">
        <v>0.63280000000000003</v>
      </c>
      <c r="OK17" s="162">
        <f t="shared" si="104"/>
        <v>0.51644166666666669</v>
      </c>
      <c r="OL17" s="53">
        <f t="shared" si="105"/>
        <v>37.397199999999998</v>
      </c>
      <c r="OM17" s="232">
        <f t="shared" si="130"/>
        <v>1.6899999999999693E-2</v>
      </c>
      <c r="OP17" s="250">
        <v>7</v>
      </c>
      <c r="OQ17" s="34">
        <v>9892</v>
      </c>
      <c r="OR17" s="184">
        <f>VLOOKUP(OQ17,Sheet4!A15:F91,3,0)</f>
        <v>12.433400000000001</v>
      </c>
      <c r="OS17" s="184">
        <f>VLOOKUP(OQ17,Sheet4!A15:F91,4,0)</f>
        <v>1.6660999999999999</v>
      </c>
      <c r="OT17" s="184">
        <f>VLOOKUP(OQ17,Sheet4!A15:F91,5,0)</f>
        <v>0.63480000000000003</v>
      </c>
      <c r="OU17" s="162">
        <f t="shared" si="106"/>
        <v>0.5180583333333334</v>
      </c>
      <c r="OV17" s="53">
        <f t="shared" si="107"/>
        <v>37.395200000000003</v>
      </c>
      <c r="OW17" s="232">
        <f t="shared" si="131"/>
        <v>3.8800000000000168E-2</v>
      </c>
    </row>
    <row r="18" spans="1:413" ht="15.75" x14ac:dyDescent="0.25">
      <c r="A18">
        <v>10</v>
      </c>
      <c r="B18" s="1">
        <v>9998</v>
      </c>
      <c r="C18" s="1" t="s">
        <v>1</v>
      </c>
      <c r="D18" s="2">
        <v>37.979999999999997</v>
      </c>
      <c r="E18" s="8"/>
      <c r="F18" s="8"/>
      <c r="G18" s="8"/>
      <c r="H18" s="8"/>
      <c r="J18" s="15">
        <v>9998</v>
      </c>
      <c r="K18" s="15">
        <v>8.9565999999999999</v>
      </c>
      <c r="L18" s="15">
        <v>1.2001999999999999</v>
      </c>
      <c r="M18" s="15">
        <v>0.45729999999999998</v>
      </c>
      <c r="N18" s="24">
        <f t="shared" si="42"/>
        <v>0.37319166666666664</v>
      </c>
      <c r="O18" s="10">
        <f t="shared" si="36"/>
        <v>37.5227</v>
      </c>
      <c r="P18" s="18"/>
      <c r="R18" s="20">
        <v>9998</v>
      </c>
      <c r="S18" s="9">
        <v>9.0433000000000003</v>
      </c>
      <c r="T18" s="9">
        <v>1.2118</v>
      </c>
      <c r="U18" s="9">
        <v>0.4617</v>
      </c>
      <c r="V18" s="24">
        <f t="shared" si="43"/>
        <v>0.37680416666666666</v>
      </c>
      <c r="W18" s="10">
        <f t="shared" si="44"/>
        <v>37.518299999999996</v>
      </c>
      <c r="X18" s="18"/>
      <c r="Z18" s="27">
        <v>9998</v>
      </c>
      <c r="AA18" s="9">
        <v>9.2563999999999993</v>
      </c>
      <c r="AB18" s="9">
        <v>1.2403999999999999</v>
      </c>
      <c r="AC18" s="9">
        <v>0.47260000000000002</v>
      </c>
      <c r="AD18" s="24">
        <f t="shared" si="45"/>
        <v>0.38568333333333332</v>
      </c>
      <c r="AE18" s="10">
        <f t="shared" si="46"/>
        <v>37.507399999999997</v>
      </c>
      <c r="AF18" s="79"/>
      <c r="AG18">
        <v>10</v>
      </c>
      <c r="AH18" s="1">
        <v>9998</v>
      </c>
      <c r="AI18" s="1" t="s">
        <v>1</v>
      </c>
      <c r="AJ18" s="2">
        <v>37.979999999999997</v>
      </c>
      <c r="AL18" s="32">
        <v>9998</v>
      </c>
      <c r="AM18" s="9">
        <v>9.4872999999999994</v>
      </c>
      <c r="AN18" s="9">
        <v>1.2713000000000001</v>
      </c>
      <c r="AO18" s="9">
        <v>0.4844</v>
      </c>
      <c r="AP18" s="37">
        <f t="shared" si="0"/>
        <v>0.39530416666666662</v>
      </c>
      <c r="AQ18" s="53">
        <f t="shared" si="108"/>
        <v>37.495599999999996</v>
      </c>
      <c r="AT18" s="39"/>
      <c r="AU18" s="38">
        <v>9998</v>
      </c>
      <c r="AV18" s="9">
        <v>9.5854999999999997</v>
      </c>
      <c r="AW18" s="43">
        <v>1.2845</v>
      </c>
      <c r="AX18" s="43">
        <v>0.4894</v>
      </c>
      <c r="AY18" s="47">
        <f t="shared" si="47"/>
        <v>0.39939583333333334</v>
      </c>
      <c r="AZ18" s="56">
        <f t="shared" si="109"/>
        <v>37.490599999999993</v>
      </c>
      <c r="BD18" s="54">
        <v>9998</v>
      </c>
      <c r="BE18" s="53">
        <v>9.5966000000000005</v>
      </c>
      <c r="BF18" s="58">
        <v>1.286</v>
      </c>
      <c r="BG18" s="58">
        <v>0.49</v>
      </c>
      <c r="BH18" s="47">
        <f t="shared" si="48"/>
        <v>0.39985833333333337</v>
      </c>
      <c r="BI18" s="56">
        <f t="shared" si="49"/>
        <v>37.489999999999995</v>
      </c>
      <c r="BJ18" s="88"/>
      <c r="BK18" s="88"/>
      <c r="BL18" s="88"/>
      <c r="BN18" s="9">
        <v>9998</v>
      </c>
      <c r="BO18" s="53">
        <v>9.6379999999999999</v>
      </c>
      <c r="BP18" s="53">
        <v>1.2915000000000001</v>
      </c>
      <c r="BQ18" s="53">
        <v>0.49209999999999998</v>
      </c>
      <c r="BR18" s="53">
        <f t="shared" si="50"/>
        <v>0.40158333333333335</v>
      </c>
      <c r="BS18" s="53">
        <f t="shared" si="51"/>
        <v>37.487899999999996</v>
      </c>
      <c r="BV18" s="88"/>
      <c r="BX18" s="93">
        <v>9998</v>
      </c>
      <c r="BY18" s="9">
        <v>9.7195999999999998</v>
      </c>
      <c r="BZ18" s="9">
        <v>1.3025</v>
      </c>
      <c r="CA18" s="9">
        <v>0.49619999999999997</v>
      </c>
      <c r="CB18" s="58">
        <f t="shared" si="52"/>
        <v>0.40498333333333331</v>
      </c>
      <c r="CC18" s="53">
        <f t="shared" si="110"/>
        <v>37.483799999999995</v>
      </c>
      <c r="CF18" s="88"/>
      <c r="CG18">
        <v>8</v>
      </c>
      <c r="CH18" s="93">
        <v>9998</v>
      </c>
      <c r="CI18" s="93">
        <v>9.7897999999999996</v>
      </c>
      <c r="CJ18" s="9">
        <v>1.3119000000000001</v>
      </c>
      <c r="CK18" s="9">
        <v>0.49980000000000002</v>
      </c>
      <c r="CL18" s="47">
        <f t="shared" si="5"/>
        <v>0.40790833333333332</v>
      </c>
      <c r="CM18" s="53">
        <f t="shared" si="53"/>
        <v>37.480199999999996</v>
      </c>
      <c r="CQ18">
        <v>8</v>
      </c>
      <c r="CR18" s="98">
        <v>9998</v>
      </c>
      <c r="CS18" s="101">
        <v>9.8780000000000001</v>
      </c>
      <c r="CT18" s="101">
        <v>1.3237000000000001</v>
      </c>
      <c r="CU18" s="101">
        <v>0.50429999999999997</v>
      </c>
      <c r="CV18" s="47">
        <f t="shared" si="6"/>
        <v>0.41158333333333336</v>
      </c>
      <c r="CW18" s="53">
        <f t="shared" si="37"/>
        <v>37.475699999999996</v>
      </c>
      <c r="DA18">
        <v>8</v>
      </c>
      <c r="DB18" s="106">
        <v>9998</v>
      </c>
      <c r="DC18" s="107">
        <v>9.8866999999999994</v>
      </c>
      <c r="DD18" s="107">
        <v>1.3249</v>
      </c>
      <c r="DE18" s="107">
        <v>0.50480000000000003</v>
      </c>
      <c r="DF18" s="47">
        <f t="shared" si="7"/>
        <v>0.41194583333333329</v>
      </c>
      <c r="DG18" s="53">
        <f t="shared" si="111"/>
        <v>37.475199999999994</v>
      </c>
      <c r="DK18">
        <v>8</v>
      </c>
      <c r="DL18" s="110">
        <v>9998</v>
      </c>
      <c r="DM18" s="53">
        <v>9.9873999999999992</v>
      </c>
      <c r="DN18" s="53">
        <v>1.3384</v>
      </c>
      <c r="DO18" s="53">
        <v>0.50990000000000002</v>
      </c>
      <c r="DP18" s="47">
        <f t="shared" si="8"/>
        <v>0.41614166666666663</v>
      </c>
      <c r="DQ18" s="53">
        <f t="shared" si="54"/>
        <v>37.470099999999995</v>
      </c>
      <c r="DS18" s="3">
        <f t="shared" si="55"/>
        <v>0.10069999999999979</v>
      </c>
      <c r="DU18">
        <v>8</v>
      </c>
      <c r="DV18" s="115">
        <v>9998</v>
      </c>
      <c r="DW18" s="9">
        <v>10.0502</v>
      </c>
      <c r="DX18" s="9">
        <v>1.3468</v>
      </c>
      <c r="DY18" s="9">
        <v>0.5131</v>
      </c>
      <c r="DZ18" s="47">
        <f t="shared" si="9"/>
        <v>0.41875833333333334</v>
      </c>
      <c r="EA18" s="53">
        <f t="shared" si="112"/>
        <v>37.466899999999995</v>
      </c>
      <c r="EB18" s="3"/>
      <c r="EE18">
        <v>8</v>
      </c>
      <c r="EF18" s="118">
        <v>9998</v>
      </c>
      <c r="EG18" s="9">
        <v>10.148199999999999</v>
      </c>
      <c r="EH18" s="9">
        <v>1.3599000000000001</v>
      </c>
      <c r="EI18" s="9">
        <v>0.5181</v>
      </c>
      <c r="EJ18" s="47">
        <f t="shared" si="10"/>
        <v>0.42284166666666662</v>
      </c>
      <c r="EK18" s="53">
        <f t="shared" si="56"/>
        <v>37.4619</v>
      </c>
      <c r="EM18" s="3">
        <f t="shared" si="57"/>
        <v>-4.9999999999954525E-3</v>
      </c>
      <c r="EN18" s="3"/>
      <c r="EO18">
        <v>8</v>
      </c>
      <c r="EP18" s="121">
        <v>9998</v>
      </c>
      <c r="EQ18" s="122">
        <v>10.3431</v>
      </c>
      <c r="ER18" s="122">
        <v>1.3859999999999999</v>
      </c>
      <c r="ES18" s="129">
        <v>0.52810000000000001</v>
      </c>
      <c r="ET18" s="130">
        <f t="shared" si="11"/>
        <v>0.43096249999999997</v>
      </c>
      <c r="EU18" s="131">
        <f t="shared" si="58"/>
        <v>37.451899999999995</v>
      </c>
      <c r="EX18" s="3"/>
      <c r="EY18">
        <v>8</v>
      </c>
      <c r="EZ18" s="135">
        <v>9998</v>
      </c>
      <c r="FA18" s="135">
        <v>10.435</v>
      </c>
      <c r="FB18" s="135">
        <v>1.3983000000000001</v>
      </c>
      <c r="FC18" s="135">
        <v>0.53280000000000005</v>
      </c>
      <c r="FD18" s="136">
        <f t="shared" si="12"/>
        <v>0.43479166666666669</v>
      </c>
      <c r="FE18" s="131">
        <f t="shared" si="59"/>
        <v>37.447199999999995</v>
      </c>
      <c r="FG18" s="123">
        <f t="shared" si="60"/>
        <v>-4.6999999999997044E-3</v>
      </c>
      <c r="FH18" s="3"/>
      <c r="FI18">
        <v>8</v>
      </c>
      <c r="FJ18" s="145">
        <v>9998</v>
      </c>
      <c r="FK18" s="9">
        <v>10.557399999999999</v>
      </c>
      <c r="FL18" s="9">
        <v>1.4147000000000001</v>
      </c>
      <c r="FM18" s="9">
        <v>0.53900000000000003</v>
      </c>
      <c r="FN18" s="146">
        <f t="shared" si="113"/>
        <v>0.43989166666666663</v>
      </c>
      <c r="FO18" s="131">
        <f t="shared" si="61"/>
        <v>37.440999999999995</v>
      </c>
      <c r="FP18" s="123">
        <f t="shared" si="62"/>
        <v>-6.1999999999997613E-3</v>
      </c>
      <c r="FS18">
        <v>8</v>
      </c>
      <c r="FT18" s="147">
        <v>9998</v>
      </c>
      <c r="FU18" s="148">
        <v>10.582599999999999</v>
      </c>
      <c r="FV18" s="148">
        <v>1.4180999999999999</v>
      </c>
      <c r="FW18" s="148">
        <v>0.5403</v>
      </c>
      <c r="FX18" s="150">
        <f t="shared" si="114"/>
        <v>0.44094166666666662</v>
      </c>
      <c r="FY18" s="131">
        <f t="shared" si="115"/>
        <v>37.439699999999995</v>
      </c>
      <c r="FZ18">
        <f t="shared" si="63"/>
        <v>2.5199999999999889E-2</v>
      </c>
      <c r="GC18">
        <v>8</v>
      </c>
      <c r="GD18" s="151">
        <v>9998</v>
      </c>
      <c r="GE18" s="151">
        <v>10.6449</v>
      </c>
      <c r="GF18" s="151">
        <v>1.4265000000000001</v>
      </c>
      <c r="GG18" s="151">
        <v>0.54349999999999998</v>
      </c>
      <c r="GH18" s="153">
        <f t="shared" si="132"/>
        <v>0.44353749999999997</v>
      </c>
      <c r="GI18" s="131">
        <f t="shared" si="64"/>
        <v>37.436499999999995</v>
      </c>
      <c r="GJ18">
        <f t="shared" si="38"/>
        <v>6.2300000000000466E-2</v>
      </c>
      <c r="GM18">
        <v>8</v>
      </c>
      <c r="GN18" s="155">
        <v>9998</v>
      </c>
      <c r="GO18" s="155">
        <v>10.776899999999999</v>
      </c>
      <c r="GP18" s="155">
        <v>1.4440999999999999</v>
      </c>
      <c r="GQ18" s="155">
        <v>0.55020000000000002</v>
      </c>
      <c r="GR18" s="58">
        <f t="shared" si="65"/>
        <v>0.44903749999999998</v>
      </c>
      <c r="GS18" s="131">
        <f t="shared" si="66"/>
        <v>37.4298</v>
      </c>
      <c r="GT18">
        <f t="shared" si="39"/>
        <v>0.13199999999999967</v>
      </c>
      <c r="GW18">
        <v>8</v>
      </c>
      <c r="GX18" s="157">
        <v>9998</v>
      </c>
      <c r="GY18" s="161">
        <f>VLOOKUP(GX18,Sheet3!$AJ$7:$AN$83,2,0)</f>
        <v>10.9445</v>
      </c>
      <c r="GZ18" s="161">
        <f>VLOOKUP(GX18,Sheet3!$AJ$7:$AN$83,3,0)</f>
        <v>1.4665999999999999</v>
      </c>
      <c r="HA18" s="161">
        <f>VLOOKUP(GX18,Sheet3!$AJ$7:$AN$83,4,0)</f>
        <v>0.55879999999999996</v>
      </c>
      <c r="HB18" s="162">
        <f t="shared" si="17"/>
        <v>0.45602083333333332</v>
      </c>
      <c r="HC18" s="131">
        <f t="shared" si="116"/>
        <v>37.421199999999999</v>
      </c>
      <c r="HD18" s="159">
        <f t="shared" si="40"/>
        <v>0.16760000000000019</v>
      </c>
      <c r="HE18" s="159">
        <f t="shared" si="41"/>
        <v>8.599999999999941E-3</v>
      </c>
      <c r="HG18" s="159"/>
      <c r="HH18" s="159">
        <v>8</v>
      </c>
      <c r="HI18" s="158">
        <v>9998</v>
      </c>
      <c r="HJ18" s="161">
        <v>11.0121</v>
      </c>
      <c r="HK18" s="161">
        <v>1.4757</v>
      </c>
      <c r="HL18" s="161">
        <v>0.56220000000000003</v>
      </c>
      <c r="HM18" s="162">
        <f t="shared" si="18"/>
        <v>0.45883750000000001</v>
      </c>
      <c r="HN18" s="131">
        <f t="shared" si="67"/>
        <v>37.4178</v>
      </c>
      <c r="HO18" s="159">
        <f t="shared" si="68"/>
        <v>6.7600000000000549E-2</v>
      </c>
      <c r="HQ18" s="183"/>
      <c r="HR18" s="183">
        <v>8</v>
      </c>
      <c r="HS18" s="178">
        <v>9998</v>
      </c>
      <c r="HT18" s="184">
        <v>11.0562</v>
      </c>
      <c r="HU18" s="184">
        <v>1.4816</v>
      </c>
      <c r="HV18" s="184">
        <v>0.5645</v>
      </c>
      <c r="HW18" s="171">
        <f t="shared" si="19"/>
        <v>0.460675</v>
      </c>
      <c r="HX18" s="53">
        <f t="shared" si="69"/>
        <v>37.415499999999994</v>
      </c>
      <c r="HY18" s="183">
        <f t="shared" si="70"/>
        <v>4.410000000000025E-2</v>
      </c>
      <c r="IA18" s="194"/>
      <c r="IB18" s="194">
        <v>8</v>
      </c>
      <c r="IC18" s="193">
        <v>9998</v>
      </c>
      <c r="ID18" s="161">
        <v>11.0753</v>
      </c>
      <c r="IE18" s="184">
        <v>1.4841</v>
      </c>
      <c r="IF18" s="184">
        <v>0.5655</v>
      </c>
      <c r="IG18" s="171">
        <f t="shared" si="71"/>
        <v>0.46147083333333333</v>
      </c>
      <c r="IH18" s="53">
        <f t="shared" si="72"/>
        <v>37.414499999999997</v>
      </c>
      <c r="II18" s="194">
        <f t="shared" si="73"/>
        <v>1.9099999999999895E-2</v>
      </c>
      <c r="IL18" s="199">
        <v>8</v>
      </c>
      <c r="IM18" s="197">
        <v>9998</v>
      </c>
      <c r="IN18" s="161">
        <v>11.175700000000001</v>
      </c>
      <c r="IO18" s="184">
        <v>1.4976</v>
      </c>
      <c r="IP18" s="184">
        <v>0.5706</v>
      </c>
      <c r="IQ18" s="171">
        <f t="shared" si="74"/>
        <v>0.4656541666666667</v>
      </c>
      <c r="IR18" s="53">
        <f t="shared" si="75"/>
        <v>37.409399999999998</v>
      </c>
      <c r="IS18" s="199">
        <f t="shared" si="76"/>
        <v>0.10040000000000049</v>
      </c>
      <c r="IU18" s="202"/>
      <c r="IV18" s="202">
        <v>8</v>
      </c>
      <c r="IW18" s="201">
        <v>9998</v>
      </c>
      <c r="IX18" s="184">
        <v>11.311299999999999</v>
      </c>
      <c r="IY18" s="184">
        <v>1.5158</v>
      </c>
      <c r="IZ18" s="184">
        <v>0.57750000000000001</v>
      </c>
      <c r="JA18" s="162">
        <f t="shared" si="22"/>
        <v>0.47130416666666664</v>
      </c>
      <c r="JB18" s="53">
        <f t="shared" si="77"/>
        <v>37.402499999999996</v>
      </c>
      <c r="JC18" s="202">
        <f t="shared" si="78"/>
        <v>0.13559999999999839</v>
      </c>
      <c r="JE18" s="204"/>
      <c r="JF18" s="204">
        <v>8</v>
      </c>
      <c r="JG18" s="203">
        <v>9998</v>
      </c>
      <c r="JH18" s="161">
        <v>11.3544</v>
      </c>
      <c r="JI18" s="184">
        <v>1.5215000000000001</v>
      </c>
      <c r="JJ18" s="184">
        <v>0.57969999999999999</v>
      </c>
      <c r="JK18" s="162">
        <f t="shared" si="79"/>
        <v>0.47310000000000002</v>
      </c>
      <c r="JL18" s="53">
        <f t="shared" si="80"/>
        <v>37.400299999999994</v>
      </c>
      <c r="JM18" s="204">
        <f t="shared" si="117"/>
        <v>4.3100000000000804E-2</v>
      </c>
      <c r="JN18" s="204"/>
      <c r="JP18" s="209">
        <v>8</v>
      </c>
      <c r="JQ18" s="205">
        <v>9998</v>
      </c>
      <c r="JR18" s="161">
        <v>11.389099999999999</v>
      </c>
      <c r="JS18" s="184">
        <v>1.5262</v>
      </c>
      <c r="JT18" s="184">
        <v>0.58150000000000002</v>
      </c>
      <c r="JU18" s="162">
        <f t="shared" si="81"/>
        <v>0.47454583333333328</v>
      </c>
      <c r="JV18" s="53">
        <f t="shared" si="82"/>
        <v>37.398499999999999</v>
      </c>
      <c r="JW18" s="209">
        <f t="shared" si="118"/>
        <v>3.4699999999999065E-2</v>
      </c>
      <c r="JX18" s="213"/>
      <c r="JY18" s="213"/>
      <c r="JZ18" s="213">
        <v>8</v>
      </c>
      <c r="KA18" s="206">
        <v>9998</v>
      </c>
      <c r="KB18" s="184">
        <v>11.4703</v>
      </c>
      <c r="KC18" s="184">
        <v>1.5370999999999999</v>
      </c>
      <c r="KD18" s="184">
        <v>0.58560000000000001</v>
      </c>
      <c r="KE18" s="162">
        <f t="shared" si="83"/>
        <v>0.47792916666666668</v>
      </c>
      <c r="KF18" s="53">
        <f t="shared" si="84"/>
        <v>37.394399999999997</v>
      </c>
      <c r="KG18" s="213">
        <f t="shared" si="119"/>
        <v>8.1200000000000827E-2</v>
      </c>
      <c r="KI18" s="219"/>
      <c r="KJ18" s="219">
        <v>8</v>
      </c>
      <c r="KK18" s="214">
        <v>9998</v>
      </c>
      <c r="KL18" s="161">
        <v>11.497400000000001</v>
      </c>
      <c r="KM18" s="161">
        <v>1.5407</v>
      </c>
      <c r="KN18" s="161">
        <v>0.58699999999999997</v>
      </c>
      <c r="KO18" s="162">
        <f t="shared" si="24"/>
        <v>0.47905833333333336</v>
      </c>
      <c r="KP18" s="53">
        <f t="shared" si="85"/>
        <v>37.392999999999994</v>
      </c>
      <c r="KQ18" s="219">
        <f t="shared" si="120"/>
        <v>2.710000000000079E-2</v>
      </c>
      <c r="KT18" s="223">
        <v>8</v>
      </c>
      <c r="KU18" s="216">
        <v>9998</v>
      </c>
      <c r="KV18" s="161">
        <v>11.5259</v>
      </c>
      <c r="KW18" s="161">
        <v>1.5445</v>
      </c>
      <c r="KX18" s="161">
        <v>0.58850000000000002</v>
      </c>
      <c r="KY18" s="162">
        <f t="shared" si="86"/>
        <v>0.48024583333333332</v>
      </c>
      <c r="KZ18" s="53">
        <f t="shared" si="87"/>
        <v>37.391499999999994</v>
      </c>
      <c r="LA18" s="223">
        <f t="shared" si="121"/>
        <v>2.8499999999999304E-2</v>
      </c>
      <c r="LD18" s="228">
        <v>8</v>
      </c>
      <c r="LE18" s="221">
        <v>9998</v>
      </c>
      <c r="LF18" s="161">
        <v>11.549799999999999</v>
      </c>
      <c r="LG18" s="161">
        <v>1.5477000000000001</v>
      </c>
      <c r="LH18" s="161">
        <v>0.5897</v>
      </c>
      <c r="LI18" s="162">
        <f t="shared" si="88"/>
        <v>0.48124166666666662</v>
      </c>
      <c r="LJ18" s="53">
        <f t="shared" si="89"/>
        <v>37.390299999999996</v>
      </c>
      <c r="LK18" s="228">
        <f t="shared" si="122"/>
        <v>2.3899999999999366E-2</v>
      </c>
      <c r="LL18" s="231"/>
      <c r="LM18" s="231"/>
      <c r="LN18" s="231">
        <v>8</v>
      </c>
      <c r="LO18" s="226">
        <v>9998</v>
      </c>
      <c r="LP18" s="184">
        <v>11.583299999999999</v>
      </c>
      <c r="LQ18" s="184">
        <v>1.5522</v>
      </c>
      <c r="LR18" s="184">
        <v>0.59140000000000004</v>
      </c>
      <c r="LS18" s="162">
        <f t="shared" si="90"/>
        <v>0.4826375</v>
      </c>
      <c r="LT18" s="53">
        <f t="shared" si="91"/>
        <v>37.388599999999997</v>
      </c>
      <c r="LU18" s="231">
        <f t="shared" si="123"/>
        <v>3.3500000000000085E-2</v>
      </c>
      <c r="LW18" s="231"/>
      <c r="LX18" s="231">
        <v>8</v>
      </c>
      <c r="LY18" s="234">
        <v>9998</v>
      </c>
      <c r="LZ18" s="184">
        <v>11.620900000000001</v>
      </c>
      <c r="MA18" s="184">
        <v>1.5571999999999999</v>
      </c>
      <c r="MB18" s="184">
        <v>0.59330000000000005</v>
      </c>
      <c r="MC18" s="162">
        <f t="shared" si="92"/>
        <v>0.48420416666666671</v>
      </c>
      <c r="MD18" s="53">
        <f t="shared" si="93"/>
        <v>37.386699999999998</v>
      </c>
      <c r="ME18" s="231">
        <f t="shared" si="124"/>
        <v>3.7600000000001188E-2</v>
      </c>
      <c r="MF18" s="231"/>
      <c r="MG18" s="231"/>
      <c r="MH18" s="231">
        <v>8</v>
      </c>
      <c r="MI18" s="236">
        <v>9998</v>
      </c>
      <c r="MJ18" s="184">
        <v>11.657999999999999</v>
      </c>
      <c r="MK18" s="184">
        <v>1.5622</v>
      </c>
      <c r="ML18" s="184">
        <v>0.59519999999999995</v>
      </c>
      <c r="MM18" s="162">
        <f t="shared" si="94"/>
        <v>0.48574999999999996</v>
      </c>
      <c r="MN18" s="53">
        <f t="shared" si="95"/>
        <v>37.384799999999998</v>
      </c>
      <c r="MO18" s="231">
        <f t="shared" si="125"/>
        <v>3.7099999999998801E-2</v>
      </c>
      <c r="MP18" s="231"/>
      <c r="MQ18" s="231"/>
      <c r="MR18" s="231">
        <v>8</v>
      </c>
      <c r="MS18" s="34">
        <v>9998</v>
      </c>
      <c r="MT18" s="184">
        <v>11.7287</v>
      </c>
      <c r="MU18" s="184">
        <v>1.5717000000000001</v>
      </c>
      <c r="MV18" s="184">
        <v>0.5988</v>
      </c>
      <c r="MW18" s="162">
        <f t="shared" si="96"/>
        <v>0.48869583333333333</v>
      </c>
      <c r="MX18" s="53">
        <f t="shared" si="97"/>
        <v>37.3812</v>
      </c>
      <c r="MY18" s="231">
        <f t="shared" si="126"/>
        <v>7.0700000000000429E-2</v>
      </c>
      <c r="MZ18" s="246"/>
      <c r="NA18" s="246"/>
      <c r="NB18" s="246">
        <v>8</v>
      </c>
      <c r="NC18" s="34">
        <v>9998</v>
      </c>
      <c r="ND18" s="184">
        <v>11.801</v>
      </c>
      <c r="NE18" s="184">
        <v>1.5813999999999999</v>
      </c>
      <c r="NF18" s="184">
        <v>0.60250000000000004</v>
      </c>
      <c r="NG18" s="162">
        <f t="shared" si="98"/>
        <v>0.49170833333333336</v>
      </c>
      <c r="NH18" s="53">
        <f t="shared" si="99"/>
        <v>37.377499999999998</v>
      </c>
      <c r="NI18" s="232">
        <f t="shared" si="127"/>
        <v>7.2300000000000253E-2</v>
      </c>
      <c r="NK18" s="250"/>
      <c r="NL18" s="250">
        <v>8</v>
      </c>
      <c r="NM18" s="34">
        <v>9998</v>
      </c>
      <c r="NN18" s="184">
        <v>11.8223</v>
      </c>
      <c r="NO18" s="184">
        <v>1.5842000000000001</v>
      </c>
      <c r="NP18" s="184">
        <v>0.60360000000000003</v>
      </c>
      <c r="NQ18" s="162">
        <f t="shared" si="100"/>
        <v>0.49259583333333334</v>
      </c>
      <c r="NR18" s="53">
        <f t="shared" si="101"/>
        <v>37.376399999999997</v>
      </c>
      <c r="NS18" s="232">
        <f t="shared" si="128"/>
        <v>2.1300000000000097E-2</v>
      </c>
      <c r="NU18" s="250"/>
      <c r="NV18" s="250">
        <v>8</v>
      </c>
      <c r="NW18" s="34">
        <v>9998</v>
      </c>
      <c r="NX18" s="184">
        <v>11.856</v>
      </c>
      <c r="NY18" s="184">
        <v>1.5888</v>
      </c>
      <c r="NZ18" s="184">
        <v>0.60529999999999995</v>
      </c>
      <c r="OA18" s="162">
        <f t="shared" si="102"/>
        <v>0.49399999999999999</v>
      </c>
      <c r="OB18" s="53">
        <f t="shared" si="103"/>
        <v>37.374699999999997</v>
      </c>
      <c r="OC18" s="232">
        <f t="shared" si="129"/>
        <v>3.3699999999999619E-2</v>
      </c>
      <c r="OE18" s="250"/>
      <c r="OF18" s="250">
        <v>8</v>
      </c>
      <c r="OG18" s="34">
        <v>9998</v>
      </c>
      <c r="OH18" s="184">
        <v>11.8729</v>
      </c>
      <c r="OI18" s="184">
        <v>1.591</v>
      </c>
      <c r="OJ18" s="184">
        <v>0.60619999999999996</v>
      </c>
      <c r="OK18" s="162">
        <f t="shared" si="104"/>
        <v>0.49470416666666667</v>
      </c>
      <c r="OL18" s="53">
        <f t="shared" si="105"/>
        <v>37.373799999999996</v>
      </c>
      <c r="OM18" s="232">
        <f t="shared" si="130"/>
        <v>1.6899999999999693E-2</v>
      </c>
      <c r="OP18" s="250">
        <v>8</v>
      </c>
      <c r="OQ18" s="34">
        <v>9998</v>
      </c>
      <c r="OR18" s="184">
        <f>VLOOKUP(OQ18,Sheet4!A16:F92,3,0)</f>
        <v>11.9117</v>
      </c>
      <c r="OS18" s="184">
        <f>VLOOKUP(OQ18,Sheet4!A16:F92,4,0)</f>
        <v>1.5962000000000001</v>
      </c>
      <c r="OT18" s="184">
        <f>VLOOKUP(OQ18,Sheet4!A16:F92,5,0)</f>
        <v>0.60819999999999996</v>
      </c>
      <c r="OU18" s="162">
        <f t="shared" si="106"/>
        <v>0.49632083333333332</v>
      </c>
      <c r="OV18" s="53">
        <f t="shared" si="107"/>
        <v>37.3718</v>
      </c>
      <c r="OW18" s="232">
        <f t="shared" si="131"/>
        <v>3.8800000000000168E-2</v>
      </c>
    </row>
    <row r="19" spans="1:413" ht="15.75" x14ac:dyDescent="0.25">
      <c r="A19">
        <v>11</v>
      </c>
      <c r="B19" s="1">
        <v>9981</v>
      </c>
      <c r="C19" s="1" t="s">
        <v>1</v>
      </c>
      <c r="D19" s="2">
        <v>38.04</v>
      </c>
      <c r="E19" s="8"/>
      <c r="F19" s="8"/>
      <c r="G19" s="8"/>
      <c r="H19" s="8"/>
      <c r="J19" s="15">
        <v>9981</v>
      </c>
      <c r="K19" s="15">
        <v>9.7387999999999995</v>
      </c>
      <c r="L19" s="15">
        <v>1.3049999999999999</v>
      </c>
      <c r="M19" s="15">
        <v>0.49719999999999998</v>
      </c>
      <c r="N19" s="24">
        <f t="shared" si="42"/>
        <v>0.40578333333333333</v>
      </c>
      <c r="O19" s="10">
        <f t="shared" si="36"/>
        <v>37.5428</v>
      </c>
      <c r="P19" s="18"/>
      <c r="R19" s="20">
        <v>9981</v>
      </c>
      <c r="S19" s="9">
        <v>9.8254999999999999</v>
      </c>
      <c r="T19" s="9">
        <v>1.3167</v>
      </c>
      <c r="U19" s="9">
        <v>0.50160000000000005</v>
      </c>
      <c r="V19" s="24">
        <f t="shared" si="43"/>
        <v>0.40939583333333335</v>
      </c>
      <c r="W19" s="10">
        <f t="shared" si="44"/>
        <v>37.538399999999996</v>
      </c>
      <c r="X19" s="18"/>
      <c r="Z19" s="27">
        <v>9981</v>
      </c>
      <c r="AA19" s="9">
        <v>10.038600000000001</v>
      </c>
      <c r="AB19" s="9">
        <v>1.3452</v>
      </c>
      <c r="AC19" s="9">
        <v>0.51249999999999996</v>
      </c>
      <c r="AD19" s="24">
        <f t="shared" si="45"/>
        <v>0.41827500000000001</v>
      </c>
      <c r="AE19" s="10">
        <f t="shared" si="46"/>
        <v>37.527499999999996</v>
      </c>
      <c r="AF19" s="79"/>
      <c r="AG19">
        <v>11</v>
      </c>
      <c r="AH19" s="1">
        <v>9981</v>
      </c>
      <c r="AI19" s="1" t="s">
        <v>1</v>
      </c>
      <c r="AJ19" s="2">
        <v>38.04</v>
      </c>
      <c r="AL19" s="32">
        <v>9981</v>
      </c>
      <c r="AM19" s="9">
        <v>10.269500000000001</v>
      </c>
      <c r="AN19" s="9">
        <v>1.3762000000000001</v>
      </c>
      <c r="AO19" s="9">
        <v>0.52429999999999999</v>
      </c>
      <c r="AP19" s="37">
        <f t="shared" si="0"/>
        <v>0.42789583333333336</v>
      </c>
      <c r="AQ19" s="53">
        <f t="shared" si="108"/>
        <v>37.515700000000002</v>
      </c>
      <c r="AT19" s="39"/>
      <c r="AU19" s="38">
        <v>9981</v>
      </c>
      <c r="AV19" s="9">
        <v>10.367699999999999</v>
      </c>
      <c r="AW19" s="43">
        <v>1.3893</v>
      </c>
      <c r="AX19" s="43">
        <v>0.52929999999999999</v>
      </c>
      <c r="AY19" s="47">
        <f t="shared" si="47"/>
        <v>0.43198749999999997</v>
      </c>
      <c r="AZ19" s="56">
        <f t="shared" si="109"/>
        <v>37.5107</v>
      </c>
      <c r="BD19" s="54">
        <v>9981</v>
      </c>
      <c r="BE19" s="53">
        <v>10.3788</v>
      </c>
      <c r="BF19" s="58">
        <v>1.3908</v>
      </c>
      <c r="BG19" s="58">
        <v>0.52990000000000004</v>
      </c>
      <c r="BH19" s="47">
        <f t="shared" si="48"/>
        <v>0.43245</v>
      </c>
      <c r="BI19" s="56">
        <f t="shared" si="49"/>
        <v>37.510100000000001</v>
      </c>
      <c r="BJ19" s="88"/>
      <c r="BK19" s="88"/>
      <c r="BL19" s="88"/>
      <c r="BN19" s="9">
        <v>9981</v>
      </c>
      <c r="BO19" s="53">
        <v>10.420199999999999</v>
      </c>
      <c r="BP19" s="53">
        <v>1.3963000000000001</v>
      </c>
      <c r="BQ19" s="53">
        <v>0.53200000000000003</v>
      </c>
      <c r="BR19" s="53">
        <f t="shared" si="50"/>
        <v>0.43417499999999998</v>
      </c>
      <c r="BS19" s="53">
        <f t="shared" si="51"/>
        <v>37.507999999999996</v>
      </c>
      <c r="BV19" s="88"/>
      <c r="BX19" s="93">
        <v>9981</v>
      </c>
      <c r="BY19" s="9">
        <v>10.501799999999999</v>
      </c>
      <c r="BZ19" s="9">
        <v>1.4073</v>
      </c>
      <c r="CA19" s="9">
        <v>0.53620000000000001</v>
      </c>
      <c r="CB19" s="58">
        <f t="shared" si="52"/>
        <v>0.43757499999999999</v>
      </c>
      <c r="CC19" s="53">
        <f t="shared" si="110"/>
        <v>37.503799999999998</v>
      </c>
      <c r="CF19" s="88"/>
      <c r="CG19">
        <v>9</v>
      </c>
      <c r="CH19" s="93">
        <v>9981</v>
      </c>
      <c r="CI19" s="93">
        <v>10.571999999999999</v>
      </c>
      <c r="CJ19" s="9">
        <v>1.4167000000000001</v>
      </c>
      <c r="CK19" s="9">
        <v>0.53979999999999995</v>
      </c>
      <c r="CL19" s="47">
        <f t="shared" si="5"/>
        <v>0.44049999999999995</v>
      </c>
      <c r="CM19" s="53">
        <f t="shared" si="53"/>
        <v>37.5002</v>
      </c>
      <c r="CQ19">
        <v>9</v>
      </c>
      <c r="CR19" s="98">
        <v>9981</v>
      </c>
      <c r="CS19" s="101">
        <v>10.6602</v>
      </c>
      <c r="CT19" s="101">
        <v>1.4285000000000001</v>
      </c>
      <c r="CU19" s="101">
        <v>0.54430000000000001</v>
      </c>
      <c r="CV19" s="47">
        <f t="shared" si="6"/>
        <v>0.44417499999999999</v>
      </c>
      <c r="CW19" s="53">
        <f t="shared" si="37"/>
        <v>37.495699999999999</v>
      </c>
      <c r="DA19">
        <v>9</v>
      </c>
      <c r="DB19" s="106">
        <v>9981</v>
      </c>
      <c r="DC19" s="107">
        <v>10.668900000000001</v>
      </c>
      <c r="DD19" s="107">
        <v>1.4297</v>
      </c>
      <c r="DE19" s="107">
        <v>0.54469999999999996</v>
      </c>
      <c r="DF19" s="47">
        <f t="shared" si="7"/>
        <v>0.44453750000000003</v>
      </c>
      <c r="DG19" s="53">
        <f t="shared" si="111"/>
        <v>37.4953</v>
      </c>
      <c r="DK19">
        <v>9</v>
      </c>
      <c r="DL19" s="110">
        <v>9981</v>
      </c>
      <c r="DM19" s="53">
        <v>10.769600000000001</v>
      </c>
      <c r="DN19" s="53">
        <v>1.4432</v>
      </c>
      <c r="DO19" s="53">
        <v>0.54979999999999996</v>
      </c>
      <c r="DP19" s="47">
        <f t="shared" si="8"/>
        <v>0.44873333333333337</v>
      </c>
      <c r="DQ19" s="53">
        <f t="shared" si="54"/>
        <v>37.490200000000002</v>
      </c>
      <c r="DS19" s="3">
        <f t="shared" si="55"/>
        <v>0.10069999999999979</v>
      </c>
      <c r="DU19">
        <v>9</v>
      </c>
      <c r="DV19" s="115">
        <v>9981</v>
      </c>
      <c r="DW19" s="9">
        <v>10.8324</v>
      </c>
      <c r="DX19" s="9">
        <v>1.4516</v>
      </c>
      <c r="DY19" s="9">
        <v>0.55310000000000004</v>
      </c>
      <c r="DZ19" s="47">
        <f t="shared" si="9"/>
        <v>0.45134999999999997</v>
      </c>
      <c r="EA19" s="53">
        <f t="shared" si="112"/>
        <v>37.486899999999999</v>
      </c>
      <c r="EB19" s="3"/>
      <c r="EE19">
        <v>9</v>
      </c>
      <c r="EF19" s="118">
        <v>9981</v>
      </c>
      <c r="EG19" s="9">
        <v>10.930400000000001</v>
      </c>
      <c r="EH19" s="9">
        <v>1.4646999999999999</v>
      </c>
      <c r="EI19" s="9">
        <v>0.55810000000000004</v>
      </c>
      <c r="EJ19" s="47">
        <f t="shared" si="10"/>
        <v>0.45543333333333336</v>
      </c>
      <c r="EK19" s="53">
        <f t="shared" si="56"/>
        <v>37.481899999999996</v>
      </c>
      <c r="EM19" s="3">
        <f t="shared" si="57"/>
        <v>-5.000000000002558E-3</v>
      </c>
      <c r="EN19" s="3"/>
      <c r="EO19">
        <v>9</v>
      </c>
      <c r="EP19" s="121">
        <v>9981</v>
      </c>
      <c r="EQ19" s="122">
        <v>11.125299999999999</v>
      </c>
      <c r="ER19" s="122">
        <v>1.4907999999999999</v>
      </c>
      <c r="ES19" s="129">
        <v>0.56799999999999995</v>
      </c>
      <c r="ET19" s="130">
        <f t="shared" si="11"/>
        <v>0.46355416666666666</v>
      </c>
      <c r="EU19" s="131">
        <f t="shared" si="58"/>
        <v>37.472000000000001</v>
      </c>
      <c r="EX19" s="3"/>
      <c r="EY19">
        <v>9</v>
      </c>
      <c r="EZ19" s="135">
        <v>9981</v>
      </c>
      <c r="FA19" s="135">
        <v>11.2172</v>
      </c>
      <c r="FB19" s="135">
        <v>1.5031000000000001</v>
      </c>
      <c r="FC19" s="135">
        <v>0.57269999999999999</v>
      </c>
      <c r="FD19" s="136">
        <f t="shared" si="12"/>
        <v>0.46738333333333332</v>
      </c>
      <c r="FE19" s="131">
        <f t="shared" si="59"/>
        <v>37.467300000000002</v>
      </c>
      <c r="FG19" s="123">
        <f t="shared" si="60"/>
        <v>-4.6999999999997044E-3</v>
      </c>
      <c r="FH19" s="3"/>
      <c r="FI19">
        <v>9</v>
      </c>
      <c r="FJ19" s="145">
        <v>9981</v>
      </c>
      <c r="FK19" s="9">
        <v>11.339600000000001</v>
      </c>
      <c r="FL19" s="9">
        <v>1.5196000000000001</v>
      </c>
      <c r="FM19" s="9">
        <v>0.57889999999999997</v>
      </c>
      <c r="FN19" s="146">
        <f t="shared" si="113"/>
        <v>0.47248333333333337</v>
      </c>
      <c r="FO19" s="131">
        <f t="shared" si="61"/>
        <v>37.461100000000002</v>
      </c>
      <c r="FP19" s="123">
        <f t="shared" si="62"/>
        <v>-6.1999999999997613E-3</v>
      </c>
      <c r="FS19">
        <v>9</v>
      </c>
      <c r="FT19" s="147">
        <v>9981</v>
      </c>
      <c r="FU19" s="148">
        <v>11.364800000000001</v>
      </c>
      <c r="FV19" s="148">
        <v>1.5228999999999999</v>
      </c>
      <c r="FW19" s="148">
        <v>0.58020000000000005</v>
      </c>
      <c r="FX19" s="150">
        <f t="shared" si="114"/>
        <v>0.47353333333333336</v>
      </c>
      <c r="FY19" s="131">
        <f t="shared" si="115"/>
        <v>37.459800000000001</v>
      </c>
      <c r="FZ19">
        <f t="shared" si="63"/>
        <v>2.5199999999999889E-2</v>
      </c>
      <c r="GC19">
        <v>9</v>
      </c>
      <c r="GD19" s="151">
        <v>9981</v>
      </c>
      <c r="GE19" s="151">
        <v>11.427099999999999</v>
      </c>
      <c r="GF19" s="151">
        <v>1.5313000000000001</v>
      </c>
      <c r="GG19" s="151">
        <v>0.58340000000000003</v>
      </c>
      <c r="GH19" s="153">
        <f t="shared" si="132"/>
        <v>0.47612916666666666</v>
      </c>
      <c r="GI19" s="131">
        <f t="shared" si="64"/>
        <v>37.456600000000002</v>
      </c>
      <c r="GJ19">
        <f t="shared" si="38"/>
        <v>6.229999999999869E-2</v>
      </c>
      <c r="GM19">
        <v>9</v>
      </c>
      <c r="GN19" s="155">
        <v>9981</v>
      </c>
      <c r="GO19" s="155">
        <v>11.559100000000001</v>
      </c>
      <c r="GP19" s="155">
        <v>1.5489999999999999</v>
      </c>
      <c r="GQ19" s="155">
        <v>0.59019999999999995</v>
      </c>
      <c r="GR19" s="58">
        <f t="shared" si="65"/>
        <v>0.48162916666666672</v>
      </c>
      <c r="GS19" s="131">
        <f t="shared" si="66"/>
        <v>37.449799999999996</v>
      </c>
      <c r="GT19">
        <f t="shared" si="39"/>
        <v>0.13200000000000145</v>
      </c>
      <c r="GW19">
        <v>9</v>
      </c>
      <c r="GX19" s="157">
        <v>9981</v>
      </c>
      <c r="GY19" s="161">
        <f>VLOOKUP(GX19,Sheet3!$AJ$7:$AN$83,2,0)</f>
        <v>11.726699999999999</v>
      </c>
      <c r="GZ19" s="161">
        <f>VLOOKUP(GX19,Sheet3!$AJ$7:$AN$83,3,0)</f>
        <v>1.5713999999999999</v>
      </c>
      <c r="HA19" s="161">
        <f>VLOOKUP(GX19,Sheet3!$AJ$7:$AN$83,4,0)</f>
        <v>0.59870000000000001</v>
      </c>
      <c r="HB19" s="162">
        <f t="shared" si="17"/>
        <v>0.48861249999999995</v>
      </c>
      <c r="HC19" s="131">
        <f t="shared" si="116"/>
        <v>37.441299999999998</v>
      </c>
      <c r="HD19" s="159">
        <f t="shared" si="40"/>
        <v>0.16759999999999842</v>
      </c>
      <c r="HE19" s="159">
        <f t="shared" si="41"/>
        <v>8.5000000000000631E-3</v>
      </c>
      <c r="HG19" s="159"/>
      <c r="HH19" s="159">
        <v>9</v>
      </c>
      <c r="HI19" s="158">
        <v>9981</v>
      </c>
      <c r="HJ19" s="161">
        <v>11.7943</v>
      </c>
      <c r="HK19" s="161">
        <v>1.5805</v>
      </c>
      <c r="HL19" s="161">
        <v>0.60219999999999996</v>
      </c>
      <c r="HM19" s="162">
        <f t="shared" si="18"/>
        <v>0.49142916666666664</v>
      </c>
      <c r="HN19" s="131">
        <f t="shared" si="67"/>
        <v>37.437799999999996</v>
      </c>
      <c r="HO19" s="159">
        <f t="shared" si="68"/>
        <v>6.7600000000000549E-2</v>
      </c>
      <c r="HQ19" s="183"/>
      <c r="HR19" s="183">
        <v>9</v>
      </c>
      <c r="HS19" s="178">
        <v>9981</v>
      </c>
      <c r="HT19" s="184">
        <v>11.8384</v>
      </c>
      <c r="HU19" s="184">
        <v>1.5864</v>
      </c>
      <c r="HV19" s="184">
        <v>0.60440000000000005</v>
      </c>
      <c r="HW19" s="171">
        <f t="shared" si="19"/>
        <v>0.49326666666666669</v>
      </c>
      <c r="HX19" s="53">
        <f t="shared" si="69"/>
        <v>37.435600000000001</v>
      </c>
      <c r="HY19" s="183">
        <f t="shared" si="70"/>
        <v>4.410000000000025E-2</v>
      </c>
      <c r="IA19" s="194"/>
      <c r="IB19" s="194">
        <v>9</v>
      </c>
      <c r="IC19" s="193">
        <v>9981</v>
      </c>
      <c r="ID19" s="161">
        <v>11.8575</v>
      </c>
      <c r="IE19" s="184">
        <v>1.589</v>
      </c>
      <c r="IF19" s="184">
        <v>0.60540000000000005</v>
      </c>
      <c r="IG19" s="171">
        <f t="shared" si="71"/>
        <v>0.49406250000000002</v>
      </c>
      <c r="IH19" s="53">
        <f t="shared" si="72"/>
        <v>37.434599999999996</v>
      </c>
      <c r="II19" s="194">
        <f t="shared" si="73"/>
        <v>1.9099999999999895E-2</v>
      </c>
      <c r="IK19" s="22"/>
      <c r="IL19" s="199">
        <v>9</v>
      </c>
      <c r="IM19" s="197">
        <v>9981</v>
      </c>
      <c r="IN19" s="161">
        <v>11.9579</v>
      </c>
      <c r="IO19" s="184">
        <v>1.6024</v>
      </c>
      <c r="IP19" s="184">
        <v>0.61050000000000004</v>
      </c>
      <c r="IQ19" s="171">
        <f t="shared" si="74"/>
        <v>0.49824583333333333</v>
      </c>
      <c r="IR19" s="53">
        <f t="shared" si="75"/>
        <v>37.429499999999997</v>
      </c>
      <c r="IS19" s="199">
        <f t="shared" si="76"/>
        <v>0.10040000000000049</v>
      </c>
      <c r="IU19" s="22"/>
      <c r="IV19" s="202">
        <v>9</v>
      </c>
      <c r="IW19" s="201">
        <v>9981</v>
      </c>
      <c r="IX19" s="184">
        <v>12.093500000000001</v>
      </c>
      <c r="IY19" s="184">
        <v>1.6206</v>
      </c>
      <c r="IZ19" s="184">
        <v>0.61739999999999995</v>
      </c>
      <c r="JA19" s="162">
        <f t="shared" si="22"/>
        <v>0.50389583333333332</v>
      </c>
      <c r="JB19" s="53">
        <f t="shared" si="77"/>
        <v>37.422600000000003</v>
      </c>
      <c r="JC19" s="202">
        <f t="shared" si="78"/>
        <v>0.13560000000000016</v>
      </c>
      <c r="JE19" s="22"/>
      <c r="JF19" s="204">
        <v>9</v>
      </c>
      <c r="JG19" s="203">
        <v>9981</v>
      </c>
      <c r="JH19" s="161">
        <v>12.1366</v>
      </c>
      <c r="JI19" s="184">
        <v>1.6264000000000001</v>
      </c>
      <c r="JJ19" s="184">
        <v>0.61960000000000004</v>
      </c>
      <c r="JK19" s="162">
        <f t="shared" si="79"/>
        <v>0.50569166666666665</v>
      </c>
      <c r="JL19" s="53">
        <f t="shared" si="80"/>
        <v>37.420400000000001</v>
      </c>
      <c r="JM19" s="204">
        <f t="shared" si="117"/>
        <v>4.3099999999999028E-2</v>
      </c>
      <c r="JN19" s="204"/>
      <c r="JP19" s="209">
        <v>9</v>
      </c>
      <c r="JQ19" s="205">
        <v>9981</v>
      </c>
      <c r="JR19" s="161">
        <v>12.1713</v>
      </c>
      <c r="JS19" s="184">
        <v>1.631</v>
      </c>
      <c r="JT19" s="184">
        <v>0.62139999999999995</v>
      </c>
      <c r="JU19" s="162">
        <f t="shared" si="81"/>
        <v>0.50713750000000002</v>
      </c>
      <c r="JV19" s="53">
        <f t="shared" si="82"/>
        <v>37.418599999999998</v>
      </c>
      <c r="JW19" s="209">
        <f t="shared" si="118"/>
        <v>3.4700000000000841E-2</v>
      </c>
      <c r="JX19" s="213"/>
      <c r="JY19" s="213"/>
      <c r="JZ19" s="213">
        <v>9</v>
      </c>
      <c r="KA19" s="206">
        <v>9981</v>
      </c>
      <c r="KB19" s="184">
        <v>12.2525</v>
      </c>
      <c r="KC19" s="184">
        <v>1.6418999999999999</v>
      </c>
      <c r="KD19" s="184">
        <v>0.62560000000000004</v>
      </c>
      <c r="KE19" s="162">
        <f t="shared" si="83"/>
        <v>0.51052083333333331</v>
      </c>
      <c r="KF19" s="53">
        <f t="shared" si="84"/>
        <v>37.414400000000001</v>
      </c>
      <c r="KG19" s="213">
        <f t="shared" si="119"/>
        <v>8.1199999999999051E-2</v>
      </c>
      <c r="KI19" s="219"/>
      <c r="KJ19" s="219">
        <v>9</v>
      </c>
      <c r="KK19" s="214">
        <v>9981</v>
      </c>
      <c r="KL19" s="161">
        <v>12.2796</v>
      </c>
      <c r="KM19" s="161">
        <v>1.6455</v>
      </c>
      <c r="KN19" s="161">
        <v>0.62690000000000001</v>
      </c>
      <c r="KO19" s="162">
        <f t="shared" si="24"/>
        <v>0.51165000000000005</v>
      </c>
      <c r="KP19" s="53">
        <f t="shared" si="85"/>
        <v>37.4131</v>
      </c>
      <c r="KQ19" s="219">
        <f t="shared" si="120"/>
        <v>2.710000000000079E-2</v>
      </c>
      <c r="KT19" s="223">
        <v>9</v>
      </c>
      <c r="KU19" s="216">
        <v>9981</v>
      </c>
      <c r="KV19" s="161">
        <v>12.3081</v>
      </c>
      <c r="KW19" s="161">
        <v>1.6492999999999998</v>
      </c>
      <c r="KX19" s="161">
        <v>0.62839999999999996</v>
      </c>
      <c r="KY19" s="162">
        <f t="shared" si="86"/>
        <v>0.51283749999999995</v>
      </c>
      <c r="KZ19" s="53">
        <f t="shared" si="87"/>
        <v>37.4116</v>
      </c>
      <c r="LA19" s="223">
        <f t="shared" si="121"/>
        <v>2.8499999999999304E-2</v>
      </c>
      <c r="LD19" s="228">
        <v>9</v>
      </c>
      <c r="LE19" s="221">
        <v>9981</v>
      </c>
      <c r="LF19" s="161">
        <v>12.332000000000001</v>
      </c>
      <c r="LG19" s="161">
        <v>1.6525000000000001</v>
      </c>
      <c r="LH19" s="161">
        <v>0.62960000000000005</v>
      </c>
      <c r="LI19" s="162">
        <f t="shared" si="88"/>
        <v>0.51383333333333336</v>
      </c>
      <c r="LJ19" s="53">
        <f t="shared" si="89"/>
        <v>37.410399999999996</v>
      </c>
      <c r="LK19" s="228">
        <f t="shared" si="122"/>
        <v>2.3900000000001143E-2</v>
      </c>
      <c r="LL19" s="231"/>
      <c r="LM19" s="231"/>
      <c r="LN19" s="231">
        <v>9</v>
      </c>
      <c r="LO19" s="226">
        <v>9981</v>
      </c>
      <c r="LP19" s="184">
        <v>12.365500000000001</v>
      </c>
      <c r="LQ19" s="184">
        <v>1.657</v>
      </c>
      <c r="LR19" s="184">
        <v>0.63129999999999997</v>
      </c>
      <c r="LS19" s="162">
        <f t="shared" si="90"/>
        <v>0.51522916666666674</v>
      </c>
      <c r="LT19" s="53">
        <f t="shared" si="91"/>
        <v>37.408699999999996</v>
      </c>
      <c r="LU19" s="231">
        <f t="shared" si="123"/>
        <v>3.3500000000000085E-2</v>
      </c>
      <c r="LW19" s="231"/>
      <c r="LX19" s="231">
        <v>9</v>
      </c>
      <c r="LY19" s="234">
        <v>9981</v>
      </c>
      <c r="LZ19" s="184">
        <v>12.4031</v>
      </c>
      <c r="MA19" s="184">
        <v>1.6620999999999999</v>
      </c>
      <c r="MB19" s="184">
        <v>0.63319999999999999</v>
      </c>
      <c r="MC19" s="162">
        <f t="shared" si="92"/>
        <v>0.51679583333333334</v>
      </c>
      <c r="MD19" s="53">
        <f t="shared" si="93"/>
        <v>37.406799999999997</v>
      </c>
      <c r="ME19" s="231">
        <f t="shared" si="124"/>
        <v>3.7599999999999412E-2</v>
      </c>
      <c r="MF19" s="231"/>
      <c r="MG19" s="231"/>
      <c r="MH19" s="231">
        <v>9</v>
      </c>
      <c r="MI19" s="236">
        <v>9981</v>
      </c>
      <c r="MJ19" s="184">
        <v>12.440200000000001</v>
      </c>
      <c r="MK19" s="184">
        <v>1.667</v>
      </c>
      <c r="ML19" s="184">
        <v>0.6351</v>
      </c>
      <c r="MM19" s="162">
        <f t="shared" si="94"/>
        <v>0.5183416666666667</v>
      </c>
      <c r="MN19" s="53">
        <f t="shared" si="95"/>
        <v>37.404899999999998</v>
      </c>
      <c r="MO19" s="231">
        <f t="shared" si="125"/>
        <v>3.7100000000000577E-2</v>
      </c>
      <c r="MP19" s="231"/>
      <c r="MQ19" s="231"/>
      <c r="MR19" s="231">
        <v>9</v>
      </c>
      <c r="MS19" s="34">
        <v>9981</v>
      </c>
      <c r="MT19" s="184">
        <v>12.510899999999999</v>
      </c>
      <c r="MU19" s="184">
        <v>1.6765000000000001</v>
      </c>
      <c r="MV19" s="184">
        <v>0.63880000000000003</v>
      </c>
      <c r="MW19" s="162">
        <f t="shared" si="96"/>
        <v>0.52128750000000001</v>
      </c>
      <c r="MX19" s="53">
        <f t="shared" si="97"/>
        <v>37.401199999999996</v>
      </c>
      <c r="MY19" s="231">
        <f t="shared" si="126"/>
        <v>7.0699999999998653E-2</v>
      </c>
      <c r="MZ19" s="246"/>
      <c r="NA19" s="246"/>
      <c r="NB19" s="246">
        <v>9</v>
      </c>
      <c r="NC19" s="34">
        <v>9981</v>
      </c>
      <c r="ND19" s="184">
        <v>12.5832</v>
      </c>
      <c r="NE19" s="184">
        <v>1.6861999999999999</v>
      </c>
      <c r="NF19" s="184">
        <v>0.64239999999999997</v>
      </c>
      <c r="NG19" s="162">
        <f t="shared" si="98"/>
        <v>0.52429999999999999</v>
      </c>
      <c r="NH19" s="53">
        <f t="shared" si="99"/>
        <v>37.397599999999997</v>
      </c>
      <c r="NI19" s="232">
        <f t="shared" si="127"/>
        <v>7.2300000000000253E-2</v>
      </c>
      <c r="NK19" s="250"/>
      <c r="NL19" s="250">
        <v>9</v>
      </c>
      <c r="NM19" s="34">
        <v>9981</v>
      </c>
      <c r="NN19" s="184">
        <v>12.6045</v>
      </c>
      <c r="NO19" s="184">
        <v>1.6891</v>
      </c>
      <c r="NP19" s="184">
        <v>0.64349999999999996</v>
      </c>
      <c r="NQ19" s="162">
        <f t="shared" si="100"/>
        <v>0.52518750000000003</v>
      </c>
      <c r="NR19" s="53">
        <f t="shared" si="101"/>
        <v>37.396499999999996</v>
      </c>
      <c r="NS19" s="232">
        <f t="shared" si="128"/>
        <v>2.1300000000000097E-2</v>
      </c>
      <c r="NU19" s="250"/>
      <c r="NV19" s="250">
        <v>9</v>
      </c>
      <c r="NW19" s="34">
        <v>9981</v>
      </c>
      <c r="NX19" s="184">
        <v>12.638199999999999</v>
      </c>
      <c r="NY19" s="184">
        <v>1.6936</v>
      </c>
      <c r="NZ19" s="184">
        <v>0.6452</v>
      </c>
      <c r="OA19" s="162">
        <f t="shared" si="102"/>
        <v>0.52659166666666668</v>
      </c>
      <c r="OB19" s="53">
        <f t="shared" si="103"/>
        <v>37.394799999999996</v>
      </c>
      <c r="OC19" s="232">
        <f t="shared" si="129"/>
        <v>3.3699999999999619E-2</v>
      </c>
      <c r="OE19" s="250"/>
      <c r="OF19" s="250">
        <v>9</v>
      </c>
      <c r="OG19" s="34">
        <v>9981</v>
      </c>
      <c r="OH19" s="184">
        <v>12.655099999999999</v>
      </c>
      <c r="OI19" s="184">
        <v>1.6958</v>
      </c>
      <c r="OJ19" s="184">
        <v>0.64610000000000001</v>
      </c>
      <c r="OK19" s="162">
        <f t="shared" si="104"/>
        <v>0.5272958333333333</v>
      </c>
      <c r="OL19" s="53">
        <f t="shared" si="105"/>
        <v>37.393900000000002</v>
      </c>
      <c r="OM19" s="232">
        <f t="shared" si="130"/>
        <v>1.6899999999999693E-2</v>
      </c>
      <c r="OP19" s="250">
        <v>9</v>
      </c>
      <c r="OQ19" s="34">
        <v>9981</v>
      </c>
      <c r="OR19" s="184">
        <f>VLOOKUP(OQ19,Sheet4!A17:F93,3,0)</f>
        <v>12.693899999999999</v>
      </c>
      <c r="OS19" s="184">
        <f>VLOOKUP(OQ19,Sheet4!A17:F93,4,0)</f>
        <v>1.7010000000000001</v>
      </c>
      <c r="OT19" s="184">
        <f>VLOOKUP(OQ19,Sheet4!A17:F93,5,0)</f>
        <v>0.64810000000000001</v>
      </c>
      <c r="OU19" s="162">
        <f t="shared" si="106"/>
        <v>0.52891250000000001</v>
      </c>
      <c r="OV19" s="53">
        <f t="shared" si="107"/>
        <v>37.3919</v>
      </c>
      <c r="OW19" s="232">
        <f t="shared" si="131"/>
        <v>3.8800000000000168E-2</v>
      </c>
    </row>
    <row r="20" spans="1:413" ht="15.75" x14ac:dyDescent="0.25">
      <c r="A20">
        <v>12</v>
      </c>
      <c r="B20" s="1">
        <v>9977</v>
      </c>
      <c r="C20" s="1" t="s">
        <v>1</v>
      </c>
      <c r="D20" s="2">
        <v>38.29</v>
      </c>
      <c r="E20" s="8"/>
      <c r="F20" s="8"/>
      <c r="G20" s="8"/>
      <c r="H20" s="8"/>
      <c r="J20" s="15">
        <v>9977</v>
      </c>
      <c r="K20" s="15">
        <v>9.4783000000000008</v>
      </c>
      <c r="L20" s="15">
        <v>1.2701</v>
      </c>
      <c r="M20" s="15">
        <v>0.4839</v>
      </c>
      <c r="N20" s="24">
        <f t="shared" si="42"/>
        <v>0.39492916666666672</v>
      </c>
      <c r="O20" s="10">
        <f t="shared" si="36"/>
        <v>37.806100000000001</v>
      </c>
      <c r="P20" s="18"/>
      <c r="R20" s="20">
        <v>9977</v>
      </c>
      <c r="S20" s="9">
        <v>9.5649999999999995</v>
      </c>
      <c r="T20" s="9">
        <v>1.2817000000000001</v>
      </c>
      <c r="U20" s="9">
        <v>0.48830000000000001</v>
      </c>
      <c r="V20" s="24">
        <f t="shared" si="43"/>
        <v>0.39854166666666663</v>
      </c>
      <c r="W20" s="10">
        <f t="shared" si="44"/>
        <v>37.801699999999997</v>
      </c>
      <c r="X20" s="18"/>
      <c r="Z20" s="27">
        <v>9977</v>
      </c>
      <c r="AA20" s="9">
        <v>9.7781000000000002</v>
      </c>
      <c r="AB20" s="9">
        <v>1.3103</v>
      </c>
      <c r="AC20" s="9">
        <v>0.49919999999999998</v>
      </c>
      <c r="AD20" s="24">
        <f t="shared" si="45"/>
        <v>0.40742083333333334</v>
      </c>
      <c r="AE20" s="10">
        <f t="shared" si="46"/>
        <v>37.790799999999997</v>
      </c>
      <c r="AF20" s="79"/>
      <c r="AG20">
        <v>12</v>
      </c>
      <c r="AH20" s="1">
        <v>9977</v>
      </c>
      <c r="AI20" s="1" t="s">
        <v>1</v>
      </c>
      <c r="AJ20" s="2">
        <v>38.29</v>
      </c>
      <c r="AL20" s="32">
        <v>9977</v>
      </c>
      <c r="AM20" s="9">
        <v>10.009</v>
      </c>
      <c r="AN20" s="9">
        <v>1.3411999999999999</v>
      </c>
      <c r="AO20" s="9">
        <v>0.51100000000000001</v>
      </c>
      <c r="AP20" s="37">
        <f t="shared" si="0"/>
        <v>0.4170416666666667</v>
      </c>
      <c r="AQ20" s="53">
        <f t="shared" si="108"/>
        <v>37.778999999999996</v>
      </c>
      <c r="AT20" s="39"/>
      <c r="AU20" s="38">
        <v>9977</v>
      </c>
      <c r="AV20" s="9">
        <v>10.107200000000001</v>
      </c>
      <c r="AW20" s="43">
        <v>1.3544</v>
      </c>
      <c r="AX20" s="43">
        <v>0.51600000000000001</v>
      </c>
      <c r="AY20" s="47">
        <f t="shared" si="47"/>
        <v>0.42113333333333336</v>
      </c>
      <c r="AZ20" s="96">
        <f t="shared" si="109"/>
        <v>37.774000000000001</v>
      </c>
      <c r="BD20" s="54">
        <v>9977</v>
      </c>
      <c r="BE20" s="53">
        <v>10.1183</v>
      </c>
      <c r="BF20" s="58">
        <v>1.3559000000000001</v>
      </c>
      <c r="BG20" s="58">
        <v>0.51659999999999995</v>
      </c>
      <c r="BH20" s="47">
        <f t="shared" si="48"/>
        <v>0.42159583333333334</v>
      </c>
      <c r="BI20" s="56">
        <f t="shared" si="49"/>
        <v>37.773400000000002</v>
      </c>
      <c r="BJ20" s="88"/>
      <c r="BK20" s="88"/>
      <c r="BL20" s="88"/>
      <c r="BN20" s="9">
        <v>9977</v>
      </c>
      <c r="BO20" s="53">
        <v>10.159700000000001</v>
      </c>
      <c r="BP20" s="53">
        <v>1.3613999999999999</v>
      </c>
      <c r="BQ20" s="53">
        <v>0.51870000000000005</v>
      </c>
      <c r="BR20" s="53">
        <f t="shared" si="50"/>
        <v>0.42332083333333337</v>
      </c>
      <c r="BS20" s="53">
        <f t="shared" si="51"/>
        <v>37.771299999999997</v>
      </c>
      <c r="BV20" s="88"/>
      <c r="BX20" s="93">
        <v>9977</v>
      </c>
      <c r="BY20" s="9">
        <v>10.241300000000001</v>
      </c>
      <c r="BZ20" s="9">
        <v>1.3724000000000001</v>
      </c>
      <c r="CA20" s="9">
        <v>0.52290000000000003</v>
      </c>
      <c r="CB20" s="58">
        <f t="shared" si="52"/>
        <v>0.42672083333333338</v>
      </c>
      <c r="CC20" s="53">
        <f t="shared" si="110"/>
        <v>37.767099999999999</v>
      </c>
      <c r="CF20" s="88"/>
      <c r="CG20">
        <v>10</v>
      </c>
      <c r="CH20" s="93">
        <v>9977</v>
      </c>
      <c r="CI20" s="93">
        <v>10.311500000000001</v>
      </c>
      <c r="CJ20" s="9">
        <v>1.3817999999999999</v>
      </c>
      <c r="CK20" s="9">
        <v>0.52649999999999997</v>
      </c>
      <c r="CL20" s="47">
        <f t="shared" si="5"/>
        <v>0.42964583333333334</v>
      </c>
      <c r="CM20" s="53">
        <f t="shared" si="53"/>
        <v>37.763500000000001</v>
      </c>
      <c r="CQ20">
        <v>10</v>
      </c>
      <c r="CR20" s="98">
        <v>9977</v>
      </c>
      <c r="CS20" s="101">
        <v>10.399699999999999</v>
      </c>
      <c r="CT20" s="101">
        <v>1.3935999999999999</v>
      </c>
      <c r="CU20" s="101">
        <v>0.53100000000000003</v>
      </c>
      <c r="CV20" s="47">
        <f t="shared" si="6"/>
        <v>0.43332083333333332</v>
      </c>
      <c r="CW20" s="53">
        <f t="shared" si="37"/>
        <v>37.759</v>
      </c>
      <c r="DA20">
        <v>10</v>
      </c>
      <c r="DB20" s="106">
        <v>9977</v>
      </c>
      <c r="DC20" s="107">
        <v>10.4084</v>
      </c>
      <c r="DD20" s="107">
        <v>1.3948</v>
      </c>
      <c r="DE20" s="107">
        <v>0.53139999999999998</v>
      </c>
      <c r="DF20" s="47">
        <f t="shared" si="7"/>
        <v>0.43368333333333337</v>
      </c>
      <c r="DG20" s="53">
        <f t="shared" si="111"/>
        <v>37.758600000000001</v>
      </c>
      <c r="DK20">
        <v>10</v>
      </c>
      <c r="DL20" s="110">
        <v>9977</v>
      </c>
      <c r="DM20" s="53">
        <v>10.5091</v>
      </c>
      <c r="DN20" s="53">
        <v>1.4083000000000001</v>
      </c>
      <c r="DO20" s="53">
        <v>0.53649999999999998</v>
      </c>
      <c r="DP20" s="47">
        <f t="shared" si="8"/>
        <v>0.43787916666666665</v>
      </c>
      <c r="DQ20" s="53">
        <f t="shared" si="54"/>
        <v>37.753500000000003</v>
      </c>
      <c r="DS20" s="3">
        <f t="shared" si="55"/>
        <v>0.10069999999999979</v>
      </c>
      <c r="DU20">
        <v>10</v>
      </c>
      <c r="DV20" s="115">
        <v>9977</v>
      </c>
      <c r="DW20" s="9">
        <v>10.571899999999999</v>
      </c>
      <c r="DX20" s="9">
        <v>1.4167000000000001</v>
      </c>
      <c r="DY20" s="9">
        <v>0.53979999999999995</v>
      </c>
      <c r="DZ20" s="47">
        <f t="shared" si="9"/>
        <v>0.44049583333333331</v>
      </c>
      <c r="EA20" s="53">
        <f t="shared" si="112"/>
        <v>37.7502</v>
      </c>
      <c r="EB20" s="3"/>
      <c r="EE20">
        <v>10</v>
      </c>
      <c r="EF20" s="118">
        <v>9977</v>
      </c>
      <c r="EG20" s="9">
        <v>10.6699</v>
      </c>
      <c r="EH20" s="9">
        <v>1.4298</v>
      </c>
      <c r="EI20" s="9">
        <v>0.54479999999999995</v>
      </c>
      <c r="EJ20" s="47">
        <f t="shared" si="10"/>
        <v>0.44457916666666669</v>
      </c>
      <c r="EK20" s="53">
        <f t="shared" si="56"/>
        <v>37.745199999999997</v>
      </c>
      <c r="EM20" s="3">
        <f t="shared" si="57"/>
        <v>-5.000000000002558E-3</v>
      </c>
      <c r="EN20" s="3"/>
      <c r="EO20">
        <v>10</v>
      </c>
      <c r="EP20" s="121">
        <v>9977</v>
      </c>
      <c r="EQ20" s="122">
        <v>10.864800000000001</v>
      </c>
      <c r="ER20" s="122">
        <v>1.4559</v>
      </c>
      <c r="ES20" s="129">
        <v>0.55469999999999997</v>
      </c>
      <c r="ET20" s="130">
        <f t="shared" si="11"/>
        <v>0.45270000000000005</v>
      </c>
      <c r="EU20" s="131">
        <f t="shared" si="58"/>
        <v>37.735300000000002</v>
      </c>
      <c r="EX20" s="3"/>
      <c r="EY20">
        <v>10</v>
      </c>
      <c r="EZ20" s="135">
        <v>9977</v>
      </c>
      <c r="FA20" s="135">
        <v>10.9567</v>
      </c>
      <c r="FB20" s="135">
        <v>1.4681999999999999</v>
      </c>
      <c r="FC20" s="135">
        <v>0.55940000000000001</v>
      </c>
      <c r="FD20" s="136">
        <f t="shared" si="12"/>
        <v>0.45652916666666665</v>
      </c>
      <c r="FE20" s="131">
        <f t="shared" si="59"/>
        <v>37.730600000000003</v>
      </c>
      <c r="FG20" s="123">
        <f t="shared" si="60"/>
        <v>-4.6999999999997044E-3</v>
      </c>
      <c r="FH20" s="3"/>
      <c r="FI20">
        <v>10</v>
      </c>
      <c r="FJ20" s="145">
        <v>9977</v>
      </c>
      <c r="FK20" s="9">
        <v>11.0791</v>
      </c>
      <c r="FL20" s="9">
        <v>1.4845999999999999</v>
      </c>
      <c r="FM20" s="9">
        <v>0.56559999999999999</v>
      </c>
      <c r="FN20" s="146">
        <f t="shared" si="113"/>
        <v>0.4616291666666667</v>
      </c>
      <c r="FO20" s="131">
        <f t="shared" si="61"/>
        <v>37.724399999999996</v>
      </c>
      <c r="FP20" s="123">
        <f t="shared" si="62"/>
        <v>-6.2000000000068667E-3</v>
      </c>
      <c r="FS20">
        <v>10</v>
      </c>
      <c r="FT20" s="147">
        <v>9977</v>
      </c>
      <c r="FU20" s="148">
        <v>11.1043</v>
      </c>
      <c r="FV20" s="148">
        <v>1.488</v>
      </c>
      <c r="FW20" s="148">
        <v>0.56689999999999996</v>
      </c>
      <c r="FX20" s="150">
        <f t="shared" si="114"/>
        <v>0.4626791666666667</v>
      </c>
      <c r="FY20" s="131">
        <f t="shared" si="115"/>
        <v>37.723100000000002</v>
      </c>
      <c r="FZ20">
        <f t="shared" si="63"/>
        <v>2.5199999999999889E-2</v>
      </c>
      <c r="GC20">
        <v>10</v>
      </c>
      <c r="GD20" s="151">
        <v>9977</v>
      </c>
      <c r="GE20" s="151">
        <v>11.166600000000001</v>
      </c>
      <c r="GF20" s="151">
        <v>1.4964</v>
      </c>
      <c r="GG20" s="151">
        <v>0.57010000000000005</v>
      </c>
      <c r="GH20" s="153">
        <f t="shared" si="132"/>
        <v>0.46527500000000005</v>
      </c>
      <c r="GI20" s="131">
        <f t="shared" si="64"/>
        <v>37.719899999999996</v>
      </c>
      <c r="GJ20">
        <f t="shared" si="38"/>
        <v>6.2300000000000466E-2</v>
      </c>
      <c r="GM20">
        <v>10</v>
      </c>
      <c r="GN20" s="155">
        <v>9977</v>
      </c>
      <c r="GO20" s="155">
        <v>11.2986</v>
      </c>
      <c r="GP20" s="155">
        <v>1.5141</v>
      </c>
      <c r="GQ20" s="155">
        <v>0.57689999999999997</v>
      </c>
      <c r="GR20" s="58">
        <f t="shared" si="65"/>
        <v>0.470775</v>
      </c>
      <c r="GS20" s="131">
        <f t="shared" si="66"/>
        <v>37.713099999999997</v>
      </c>
      <c r="GT20">
        <f t="shared" si="39"/>
        <v>0.13199999999999967</v>
      </c>
      <c r="GW20">
        <v>10</v>
      </c>
      <c r="GX20" s="157">
        <v>9977</v>
      </c>
      <c r="GY20" s="161">
        <f>VLOOKUP(GX20,Sheet3!$AJ$7:$AN$83,2,0)</f>
        <v>11.466200000000001</v>
      </c>
      <c r="GZ20" s="161">
        <f>VLOOKUP(GX20,Sheet3!$AJ$7:$AN$83,3,0)</f>
        <v>1.5365</v>
      </c>
      <c r="HA20" s="161">
        <f>VLOOKUP(GX20,Sheet3!$AJ$7:$AN$83,4,0)</f>
        <v>0.58540000000000003</v>
      </c>
      <c r="HB20" s="162">
        <f t="shared" si="17"/>
        <v>0.47775833333333334</v>
      </c>
      <c r="HC20" s="131">
        <f t="shared" si="116"/>
        <v>37.704599999999999</v>
      </c>
      <c r="HD20" s="159">
        <f t="shared" si="40"/>
        <v>0.16760000000000019</v>
      </c>
      <c r="HE20" s="159">
        <f t="shared" si="41"/>
        <v>8.5000000000000631E-3</v>
      </c>
      <c r="HG20" s="159"/>
      <c r="HH20" s="159">
        <v>10</v>
      </c>
      <c r="HI20" s="158">
        <v>9977</v>
      </c>
      <c r="HJ20" s="161">
        <v>11.533799999999999</v>
      </c>
      <c r="HK20" s="161">
        <v>1.5456000000000001</v>
      </c>
      <c r="HL20" s="161">
        <v>0.58889999999999998</v>
      </c>
      <c r="HM20" s="162">
        <f t="shared" si="18"/>
        <v>0.48057499999999997</v>
      </c>
      <c r="HN20" s="131">
        <f t="shared" si="67"/>
        <v>37.701099999999997</v>
      </c>
      <c r="HO20" s="159">
        <f t="shared" si="68"/>
        <v>6.7599999999998772E-2</v>
      </c>
      <c r="HQ20" s="183"/>
      <c r="HR20" s="183">
        <v>10</v>
      </c>
      <c r="HS20" s="178">
        <v>9977</v>
      </c>
      <c r="HT20" s="184">
        <v>11.5779</v>
      </c>
      <c r="HU20" s="184">
        <v>1.5515000000000001</v>
      </c>
      <c r="HV20" s="184">
        <v>0.59109999999999996</v>
      </c>
      <c r="HW20" s="171">
        <f t="shared" si="19"/>
        <v>0.48241249999999997</v>
      </c>
      <c r="HX20" s="53">
        <f t="shared" si="69"/>
        <v>37.698900000000002</v>
      </c>
      <c r="HY20" s="183">
        <f t="shared" si="70"/>
        <v>4.410000000000025E-2</v>
      </c>
      <c r="IA20" s="194"/>
      <c r="IB20" s="194">
        <v>10</v>
      </c>
      <c r="IC20" s="193">
        <v>9977</v>
      </c>
      <c r="ID20" s="161">
        <v>11.597</v>
      </c>
      <c r="IE20" s="184">
        <v>1.554</v>
      </c>
      <c r="IF20" s="184">
        <v>0.59209999999999996</v>
      </c>
      <c r="IG20" s="171">
        <f t="shared" si="71"/>
        <v>0.4832083333333333</v>
      </c>
      <c r="IH20" s="53">
        <f t="shared" si="72"/>
        <v>37.697899999999997</v>
      </c>
      <c r="II20" s="194">
        <f t="shared" si="73"/>
        <v>1.9099999999999895E-2</v>
      </c>
      <c r="IK20" s="22"/>
      <c r="IL20" s="199">
        <v>10</v>
      </c>
      <c r="IM20" s="197">
        <v>9977</v>
      </c>
      <c r="IN20" s="161">
        <v>11.6974</v>
      </c>
      <c r="IO20" s="184">
        <v>1.5674999999999999</v>
      </c>
      <c r="IP20" s="184">
        <v>0.59719999999999995</v>
      </c>
      <c r="IQ20" s="171">
        <f t="shared" si="74"/>
        <v>0.48739166666666667</v>
      </c>
      <c r="IR20" s="53">
        <f t="shared" si="75"/>
        <v>37.692799999999998</v>
      </c>
      <c r="IS20" s="199">
        <f t="shared" si="76"/>
        <v>0.10040000000000049</v>
      </c>
      <c r="IU20" s="22"/>
      <c r="IV20" s="202">
        <v>10</v>
      </c>
      <c r="IW20" s="201">
        <v>9977</v>
      </c>
      <c r="IX20" s="184">
        <v>11.833</v>
      </c>
      <c r="IY20" s="184">
        <v>1.5857000000000001</v>
      </c>
      <c r="IZ20" s="184">
        <v>0.60409999999999997</v>
      </c>
      <c r="JA20" s="162">
        <f t="shared" si="22"/>
        <v>0.49304166666666666</v>
      </c>
      <c r="JB20" s="53">
        <f t="shared" si="77"/>
        <v>37.685899999999997</v>
      </c>
      <c r="JC20" s="202">
        <f t="shared" si="78"/>
        <v>0.13560000000000016</v>
      </c>
      <c r="JE20" s="22"/>
      <c r="JF20" s="204">
        <v>10</v>
      </c>
      <c r="JG20" s="203">
        <v>9977</v>
      </c>
      <c r="JH20" s="161">
        <v>11.876099999999999</v>
      </c>
      <c r="JI20" s="184">
        <v>1.5913999999999999</v>
      </c>
      <c r="JJ20" s="184">
        <v>0.60629999999999995</v>
      </c>
      <c r="JK20" s="162">
        <f t="shared" si="79"/>
        <v>0.49483749999999999</v>
      </c>
      <c r="JL20" s="53">
        <f t="shared" si="80"/>
        <v>37.683700000000002</v>
      </c>
      <c r="JM20" s="204">
        <f t="shared" si="117"/>
        <v>4.3099999999999028E-2</v>
      </c>
      <c r="JN20" s="204"/>
      <c r="JP20" s="209">
        <v>10</v>
      </c>
      <c r="JQ20" s="205">
        <v>9977</v>
      </c>
      <c r="JR20" s="161">
        <v>11.9108</v>
      </c>
      <c r="JS20" s="184">
        <v>1.5961000000000001</v>
      </c>
      <c r="JT20" s="184">
        <v>0.60809999999999997</v>
      </c>
      <c r="JU20" s="162">
        <f t="shared" si="81"/>
        <v>0.49628333333333335</v>
      </c>
      <c r="JV20" s="53">
        <f t="shared" si="82"/>
        <v>37.681899999999999</v>
      </c>
      <c r="JW20" s="209">
        <f t="shared" si="118"/>
        <v>3.4700000000000841E-2</v>
      </c>
      <c r="JX20" s="213"/>
      <c r="JY20" s="213"/>
      <c r="JZ20" s="213">
        <v>10</v>
      </c>
      <c r="KA20" s="206">
        <v>9977</v>
      </c>
      <c r="KB20" s="184">
        <v>11.992000000000001</v>
      </c>
      <c r="KC20" s="184">
        <v>1.607</v>
      </c>
      <c r="KD20" s="184">
        <v>0.61229999999999996</v>
      </c>
      <c r="KE20" s="162">
        <f t="shared" si="83"/>
        <v>0.4996666666666667</v>
      </c>
      <c r="KF20" s="53">
        <f t="shared" si="84"/>
        <v>37.677700000000002</v>
      </c>
      <c r="KG20" s="213">
        <f t="shared" si="119"/>
        <v>8.1200000000000827E-2</v>
      </c>
      <c r="KI20" s="219"/>
      <c r="KJ20" s="219">
        <v>10</v>
      </c>
      <c r="KK20" s="214">
        <v>9977</v>
      </c>
      <c r="KL20" s="161">
        <v>12.0191</v>
      </c>
      <c r="KM20" s="161">
        <v>1.6106</v>
      </c>
      <c r="KN20" s="161">
        <v>0.61360000000000003</v>
      </c>
      <c r="KO20" s="162">
        <f t="shared" si="24"/>
        <v>0.50079583333333333</v>
      </c>
      <c r="KP20" s="53">
        <f t="shared" si="85"/>
        <v>37.676400000000001</v>
      </c>
      <c r="KQ20" s="219">
        <f t="shared" si="120"/>
        <v>2.7099999999999014E-2</v>
      </c>
      <c r="KT20" s="223">
        <v>10</v>
      </c>
      <c r="KU20" s="216">
        <v>9977</v>
      </c>
      <c r="KV20" s="161">
        <v>12.047599999999999</v>
      </c>
      <c r="KW20" s="161">
        <v>1.6143999999999998</v>
      </c>
      <c r="KX20" s="161">
        <v>0.61509999999999998</v>
      </c>
      <c r="KY20" s="162">
        <f t="shared" si="86"/>
        <v>0.50198333333333334</v>
      </c>
      <c r="KZ20" s="53">
        <f t="shared" si="87"/>
        <v>37.674900000000001</v>
      </c>
      <c r="LA20" s="223">
        <f t="shared" si="121"/>
        <v>2.8499999999999304E-2</v>
      </c>
      <c r="LD20" s="228">
        <v>10</v>
      </c>
      <c r="LE20" s="221">
        <v>9977</v>
      </c>
      <c r="LF20" s="161">
        <v>12.0715</v>
      </c>
      <c r="LG20" s="161">
        <v>1.6175999999999999</v>
      </c>
      <c r="LH20" s="161">
        <v>0.61629999999999996</v>
      </c>
      <c r="LI20" s="162">
        <f t="shared" si="88"/>
        <v>0.50297916666666664</v>
      </c>
      <c r="LJ20" s="53">
        <f t="shared" si="89"/>
        <v>37.673699999999997</v>
      </c>
      <c r="LK20" s="228">
        <f t="shared" si="122"/>
        <v>2.3900000000001143E-2</v>
      </c>
      <c r="LL20" s="231"/>
      <c r="LM20" s="231"/>
      <c r="LN20" s="231">
        <v>10</v>
      </c>
      <c r="LO20" s="226">
        <v>9977</v>
      </c>
      <c r="LP20" s="184">
        <v>12.105</v>
      </c>
      <c r="LQ20" s="184">
        <v>1.6221000000000001</v>
      </c>
      <c r="LR20" s="184">
        <v>0.61799999999999999</v>
      </c>
      <c r="LS20" s="162">
        <f t="shared" si="90"/>
        <v>0.50437500000000002</v>
      </c>
      <c r="LT20" s="53">
        <f t="shared" si="91"/>
        <v>37.671999999999997</v>
      </c>
      <c r="LU20" s="231">
        <f t="shared" si="123"/>
        <v>3.3500000000000085E-2</v>
      </c>
      <c r="LW20" s="231"/>
      <c r="LX20" s="231">
        <v>10</v>
      </c>
      <c r="LY20" s="234">
        <v>9977</v>
      </c>
      <c r="LZ20" s="184">
        <v>12.1426</v>
      </c>
      <c r="MA20" s="184">
        <v>1.6272</v>
      </c>
      <c r="MB20" s="184">
        <v>0.61990000000000001</v>
      </c>
      <c r="MC20" s="162">
        <f t="shared" si="92"/>
        <v>0.50594166666666662</v>
      </c>
      <c r="MD20" s="53">
        <f t="shared" si="93"/>
        <v>37.670099999999998</v>
      </c>
      <c r="ME20" s="231">
        <f t="shared" si="124"/>
        <v>3.7599999999999412E-2</v>
      </c>
      <c r="MF20" s="231"/>
      <c r="MG20" s="231"/>
      <c r="MH20" s="231">
        <v>10</v>
      </c>
      <c r="MI20" s="236">
        <v>9977</v>
      </c>
      <c r="MJ20" s="184">
        <v>12.1797</v>
      </c>
      <c r="MK20" s="184">
        <v>1.6321000000000001</v>
      </c>
      <c r="ML20" s="184">
        <v>0.62180000000000002</v>
      </c>
      <c r="MM20" s="162">
        <f t="shared" si="94"/>
        <v>0.50748749999999998</v>
      </c>
      <c r="MN20" s="53">
        <f t="shared" si="95"/>
        <v>37.668199999999999</v>
      </c>
      <c r="MO20" s="231">
        <f t="shared" si="125"/>
        <v>3.7100000000000577E-2</v>
      </c>
      <c r="MP20" s="231"/>
      <c r="MQ20" s="231"/>
      <c r="MR20" s="231">
        <v>10</v>
      </c>
      <c r="MS20" s="34">
        <v>9977</v>
      </c>
      <c r="MT20" s="184">
        <v>12.250400000000001</v>
      </c>
      <c r="MU20" s="184">
        <v>1.6415999999999999</v>
      </c>
      <c r="MV20" s="184">
        <v>0.62549999999999994</v>
      </c>
      <c r="MW20" s="162">
        <f t="shared" si="96"/>
        <v>0.51043333333333341</v>
      </c>
      <c r="MX20" s="53">
        <f t="shared" si="97"/>
        <v>37.664499999999997</v>
      </c>
      <c r="MY20" s="231">
        <f t="shared" si="126"/>
        <v>7.0700000000000429E-2</v>
      </c>
      <c r="MZ20" s="246"/>
      <c r="NA20" s="246"/>
      <c r="NB20" s="246">
        <v>10</v>
      </c>
      <c r="NC20" s="34">
        <v>9977</v>
      </c>
      <c r="ND20" s="184">
        <v>12.322699999999999</v>
      </c>
      <c r="NE20" s="184">
        <v>1.6513</v>
      </c>
      <c r="NF20" s="184">
        <v>0.62909999999999999</v>
      </c>
      <c r="NG20" s="162">
        <f t="shared" si="98"/>
        <v>0.51344583333333327</v>
      </c>
      <c r="NH20" s="53">
        <f t="shared" si="99"/>
        <v>37.660899999999998</v>
      </c>
      <c r="NI20" s="232">
        <f t="shared" si="127"/>
        <v>7.2299999999998477E-2</v>
      </c>
      <c r="NK20" s="250"/>
      <c r="NL20" s="250">
        <v>10</v>
      </c>
      <c r="NM20" s="34">
        <v>9977</v>
      </c>
      <c r="NN20" s="184">
        <v>12.343999999999999</v>
      </c>
      <c r="NO20" s="184">
        <v>1.6540999999999999</v>
      </c>
      <c r="NP20" s="184">
        <v>0.63019999999999998</v>
      </c>
      <c r="NQ20" s="162">
        <f t="shared" si="100"/>
        <v>0.51433333333333331</v>
      </c>
      <c r="NR20" s="53">
        <f t="shared" si="101"/>
        <v>37.659799999999997</v>
      </c>
      <c r="NS20" s="232">
        <f t="shared" si="128"/>
        <v>2.1300000000000097E-2</v>
      </c>
      <c r="NU20" s="250"/>
      <c r="NV20" s="250">
        <v>10</v>
      </c>
      <c r="NW20" s="34">
        <v>9977</v>
      </c>
      <c r="NX20" s="184">
        <v>12.377700000000001</v>
      </c>
      <c r="NY20" s="184">
        <v>1.6587000000000001</v>
      </c>
      <c r="NZ20" s="184">
        <v>0.63190000000000002</v>
      </c>
      <c r="OA20" s="162">
        <f t="shared" si="102"/>
        <v>0.51573750000000007</v>
      </c>
      <c r="OB20" s="53">
        <f t="shared" si="103"/>
        <v>37.658099999999997</v>
      </c>
      <c r="OC20" s="232">
        <f t="shared" si="129"/>
        <v>3.3700000000001396E-2</v>
      </c>
      <c r="OE20" s="250"/>
      <c r="OF20" s="250">
        <v>10</v>
      </c>
      <c r="OG20" s="34">
        <v>9977</v>
      </c>
      <c r="OH20" s="184">
        <v>12.394600000000001</v>
      </c>
      <c r="OI20" s="184">
        <v>1.6609</v>
      </c>
      <c r="OJ20" s="184">
        <v>0.63280000000000003</v>
      </c>
      <c r="OK20" s="162">
        <f t="shared" si="104"/>
        <v>0.51644166666666669</v>
      </c>
      <c r="OL20" s="53">
        <f t="shared" si="105"/>
        <v>37.657199999999996</v>
      </c>
      <c r="OM20" s="232">
        <f t="shared" si="130"/>
        <v>1.6899999999999693E-2</v>
      </c>
      <c r="OP20" s="250">
        <v>10</v>
      </c>
      <c r="OQ20" s="34">
        <v>9977</v>
      </c>
      <c r="OR20" s="184">
        <f>VLOOKUP(OQ20,Sheet4!A18:F94,3,0)</f>
        <v>12.433400000000001</v>
      </c>
      <c r="OS20" s="184">
        <f>VLOOKUP(OQ20,Sheet4!A18:F94,4,0)</f>
        <v>1.6660999999999999</v>
      </c>
      <c r="OT20" s="184">
        <f>VLOOKUP(OQ20,Sheet4!A18:F94,5,0)</f>
        <v>0.63480000000000003</v>
      </c>
      <c r="OU20" s="162">
        <f t="shared" si="106"/>
        <v>0.5180583333333334</v>
      </c>
      <c r="OV20" s="53">
        <f t="shared" si="107"/>
        <v>37.655200000000001</v>
      </c>
      <c r="OW20" s="232">
        <f t="shared" si="131"/>
        <v>3.8800000000000168E-2</v>
      </c>
    </row>
    <row r="21" spans="1:413" ht="15.75" x14ac:dyDescent="0.25">
      <c r="A21">
        <v>13</v>
      </c>
      <c r="B21" s="1">
        <v>9975</v>
      </c>
      <c r="C21" s="1" t="s">
        <v>1</v>
      </c>
      <c r="D21" s="2">
        <v>38.17</v>
      </c>
      <c r="E21" s="8"/>
      <c r="F21" s="8"/>
      <c r="G21" s="8"/>
      <c r="H21" s="8"/>
      <c r="J21" s="15">
        <v>9975</v>
      </c>
      <c r="K21" s="15">
        <v>9.4783000000000008</v>
      </c>
      <c r="L21" s="15">
        <v>1.2701</v>
      </c>
      <c r="M21" s="15">
        <v>0.4839</v>
      </c>
      <c r="N21" s="24">
        <f t="shared" si="42"/>
        <v>0.39492916666666672</v>
      </c>
      <c r="O21" s="10">
        <f t="shared" si="36"/>
        <v>37.686100000000003</v>
      </c>
      <c r="P21" s="18"/>
      <c r="R21" s="20">
        <v>9975</v>
      </c>
      <c r="S21" s="9">
        <v>9.5649999999999995</v>
      </c>
      <c r="T21" s="9">
        <v>1.2817000000000001</v>
      </c>
      <c r="U21" s="9">
        <v>0.48830000000000001</v>
      </c>
      <c r="V21" s="24">
        <f t="shared" si="43"/>
        <v>0.39854166666666663</v>
      </c>
      <c r="W21" s="10">
        <f t="shared" si="44"/>
        <v>37.681699999999999</v>
      </c>
      <c r="X21" s="18"/>
      <c r="Z21" s="27">
        <v>9975</v>
      </c>
      <c r="AA21" s="9">
        <v>9.7781000000000002</v>
      </c>
      <c r="AB21" s="9">
        <v>1.3103</v>
      </c>
      <c r="AC21" s="9">
        <v>0.49919999999999998</v>
      </c>
      <c r="AD21" s="24">
        <f t="shared" si="45"/>
        <v>0.40742083333333334</v>
      </c>
      <c r="AE21" s="10">
        <f t="shared" si="46"/>
        <v>37.6708</v>
      </c>
      <c r="AF21" s="79"/>
      <c r="AG21">
        <v>13</v>
      </c>
      <c r="AH21" s="1">
        <v>9975</v>
      </c>
      <c r="AI21" s="1" t="s">
        <v>1</v>
      </c>
      <c r="AJ21" s="2">
        <v>38.17</v>
      </c>
      <c r="AL21" s="32">
        <v>9975</v>
      </c>
      <c r="AM21" s="9">
        <v>10.009</v>
      </c>
      <c r="AN21" s="9">
        <v>1.3411999999999999</v>
      </c>
      <c r="AO21" s="9">
        <v>0.51100000000000001</v>
      </c>
      <c r="AP21" s="37">
        <f t="shared" si="0"/>
        <v>0.4170416666666667</v>
      </c>
      <c r="AQ21" s="53">
        <f t="shared" si="108"/>
        <v>37.658999999999999</v>
      </c>
      <c r="AT21" s="39"/>
      <c r="AU21" s="38">
        <v>9975</v>
      </c>
      <c r="AV21" s="9">
        <v>10.107200000000001</v>
      </c>
      <c r="AW21" s="43">
        <v>1.3544</v>
      </c>
      <c r="AX21" s="43">
        <v>0.51600000000000001</v>
      </c>
      <c r="AY21" s="47">
        <f t="shared" si="47"/>
        <v>0.42113333333333336</v>
      </c>
      <c r="AZ21" s="96">
        <f t="shared" si="109"/>
        <v>37.654000000000003</v>
      </c>
      <c r="BD21" s="54">
        <v>9975</v>
      </c>
      <c r="BE21" s="53">
        <v>10.1183</v>
      </c>
      <c r="BF21" s="58">
        <v>1.3559000000000001</v>
      </c>
      <c r="BG21" s="58">
        <v>0.51659999999999995</v>
      </c>
      <c r="BH21" s="47">
        <f t="shared" si="48"/>
        <v>0.42159583333333334</v>
      </c>
      <c r="BI21" s="56">
        <f t="shared" si="49"/>
        <v>37.653400000000005</v>
      </c>
      <c r="BJ21" s="88"/>
      <c r="BK21" s="88"/>
      <c r="BL21" s="88"/>
      <c r="BN21" s="9">
        <v>9975</v>
      </c>
      <c r="BO21" s="53">
        <v>10.159700000000001</v>
      </c>
      <c r="BP21" s="53">
        <v>1.3613999999999999</v>
      </c>
      <c r="BQ21" s="53">
        <v>0.51870000000000005</v>
      </c>
      <c r="BR21" s="53">
        <f t="shared" si="50"/>
        <v>0.42332083333333337</v>
      </c>
      <c r="BS21" s="53">
        <f t="shared" si="51"/>
        <v>37.651299999999999</v>
      </c>
      <c r="BV21" s="88"/>
      <c r="BX21" s="93">
        <v>9975</v>
      </c>
      <c r="BY21" s="9">
        <v>10.241300000000001</v>
      </c>
      <c r="BZ21" s="9">
        <v>1.3724000000000001</v>
      </c>
      <c r="CA21" s="9">
        <v>0.52290000000000003</v>
      </c>
      <c r="CB21" s="58">
        <f t="shared" si="52"/>
        <v>0.42672083333333338</v>
      </c>
      <c r="CC21" s="53">
        <f t="shared" si="110"/>
        <v>37.647100000000002</v>
      </c>
      <c r="CF21" s="88"/>
      <c r="CG21">
        <v>11</v>
      </c>
      <c r="CH21" s="93">
        <v>9975</v>
      </c>
      <c r="CI21" s="93">
        <v>10.311500000000001</v>
      </c>
      <c r="CJ21" s="9">
        <v>1.3817999999999999</v>
      </c>
      <c r="CK21" s="9">
        <v>0.52649999999999997</v>
      </c>
      <c r="CL21" s="47">
        <f t="shared" si="5"/>
        <v>0.42964583333333334</v>
      </c>
      <c r="CM21" s="53">
        <f t="shared" si="53"/>
        <v>37.643500000000003</v>
      </c>
      <c r="CQ21">
        <v>11</v>
      </c>
      <c r="CR21" s="98">
        <v>9975</v>
      </c>
      <c r="CS21" s="101">
        <v>10.399699999999999</v>
      </c>
      <c r="CT21" s="101">
        <v>1.3935999999999999</v>
      </c>
      <c r="CU21" s="101">
        <v>0.53100000000000003</v>
      </c>
      <c r="CV21" s="47">
        <f t="shared" si="6"/>
        <v>0.43332083333333332</v>
      </c>
      <c r="CW21" s="53">
        <f t="shared" si="37"/>
        <v>37.639000000000003</v>
      </c>
      <c r="DA21">
        <v>11</v>
      </c>
      <c r="DB21" s="106">
        <v>9975</v>
      </c>
      <c r="DC21" s="107">
        <v>10.4084</v>
      </c>
      <c r="DD21" s="107">
        <v>1.3948</v>
      </c>
      <c r="DE21" s="107">
        <v>0.53139999999999998</v>
      </c>
      <c r="DF21" s="47">
        <f t="shared" si="7"/>
        <v>0.43368333333333337</v>
      </c>
      <c r="DG21" s="53">
        <f t="shared" si="111"/>
        <v>37.638600000000004</v>
      </c>
      <c r="DK21">
        <v>11</v>
      </c>
      <c r="DL21" s="110">
        <v>9975</v>
      </c>
      <c r="DM21" s="53">
        <v>10.5091</v>
      </c>
      <c r="DN21" s="53">
        <v>1.4083000000000001</v>
      </c>
      <c r="DO21" s="53">
        <v>0.53649999999999998</v>
      </c>
      <c r="DP21" s="47">
        <f t="shared" si="8"/>
        <v>0.43787916666666665</v>
      </c>
      <c r="DQ21" s="53">
        <f t="shared" si="54"/>
        <v>37.633500000000005</v>
      </c>
      <c r="DS21" s="3">
        <f t="shared" si="55"/>
        <v>0.10069999999999979</v>
      </c>
      <c r="DU21">
        <v>11</v>
      </c>
      <c r="DV21" s="115">
        <v>9975</v>
      </c>
      <c r="DW21" s="9">
        <v>10.571899999999999</v>
      </c>
      <c r="DX21" s="9">
        <v>1.4167000000000001</v>
      </c>
      <c r="DY21" s="9">
        <v>0.53979999999999995</v>
      </c>
      <c r="DZ21" s="47">
        <f t="shared" si="9"/>
        <v>0.44049583333333331</v>
      </c>
      <c r="EA21" s="53">
        <f t="shared" si="112"/>
        <v>37.630200000000002</v>
      </c>
      <c r="EB21" s="3"/>
      <c r="EE21">
        <v>11</v>
      </c>
      <c r="EF21" s="118">
        <v>9975</v>
      </c>
      <c r="EG21" s="9">
        <v>10.6699</v>
      </c>
      <c r="EH21" s="9">
        <v>1.4298</v>
      </c>
      <c r="EI21" s="9">
        <v>0.54479999999999995</v>
      </c>
      <c r="EJ21" s="47">
        <f t="shared" si="10"/>
        <v>0.44457916666666669</v>
      </c>
      <c r="EK21" s="53">
        <f t="shared" si="56"/>
        <v>37.6252</v>
      </c>
      <c r="EM21" s="3">
        <f t="shared" si="57"/>
        <v>-5.000000000002558E-3</v>
      </c>
      <c r="EN21" s="3"/>
      <c r="EO21">
        <v>11</v>
      </c>
      <c r="EP21" s="121">
        <v>9975</v>
      </c>
      <c r="EQ21" s="122">
        <v>10.864800000000001</v>
      </c>
      <c r="ER21" s="122">
        <v>1.4559</v>
      </c>
      <c r="ES21" s="129">
        <v>0.55469999999999997</v>
      </c>
      <c r="ET21" s="130">
        <f t="shared" si="11"/>
        <v>0.45270000000000005</v>
      </c>
      <c r="EU21" s="131">
        <f t="shared" si="58"/>
        <v>37.615300000000005</v>
      </c>
      <c r="EX21" s="3"/>
      <c r="EY21">
        <v>11</v>
      </c>
      <c r="EZ21" s="135">
        <v>9975</v>
      </c>
      <c r="FA21" s="135">
        <v>10.9567</v>
      </c>
      <c r="FB21" s="135">
        <v>1.4681999999999999</v>
      </c>
      <c r="FC21" s="135">
        <v>0.55940000000000001</v>
      </c>
      <c r="FD21" s="136">
        <f t="shared" si="12"/>
        <v>0.45652916666666665</v>
      </c>
      <c r="FE21" s="131">
        <f t="shared" si="59"/>
        <v>37.610600000000005</v>
      </c>
      <c r="FG21" s="123">
        <f t="shared" si="60"/>
        <v>-4.6999999999997044E-3</v>
      </c>
      <c r="FH21" s="3"/>
      <c r="FI21">
        <v>11</v>
      </c>
      <c r="FJ21" s="145">
        <v>9975</v>
      </c>
      <c r="FK21" s="9">
        <v>11.0791</v>
      </c>
      <c r="FL21" s="9">
        <v>1.4845999999999999</v>
      </c>
      <c r="FM21" s="9">
        <v>0.56559999999999999</v>
      </c>
      <c r="FN21" s="146">
        <f t="shared" si="113"/>
        <v>0.4616291666666667</v>
      </c>
      <c r="FO21" s="131">
        <f t="shared" si="61"/>
        <v>37.604399999999998</v>
      </c>
      <c r="FP21" s="123">
        <f t="shared" si="62"/>
        <v>-6.2000000000068667E-3</v>
      </c>
      <c r="FS21">
        <v>11</v>
      </c>
      <c r="FT21" s="147">
        <v>9975</v>
      </c>
      <c r="FU21" s="148">
        <v>11.1043</v>
      </c>
      <c r="FV21" s="148">
        <v>1.488</v>
      </c>
      <c r="FW21" s="148">
        <v>0.56689999999999996</v>
      </c>
      <c r="FX21" s="150">
        <f t="shared" si="114"/>
        <v>0.4626791666666667</v>
      </c>
      <c r="FY21" s="131">
        <f t="shared" si="115"/>
        <v>37.603100000000005</v>
      </c>
      <c r="FZ21">
        <f t="shared" si="63"/>
        <v>2.5199999999999889E-2</v>
      </c>
      <c r="GC21">
        <v>11</v>
      </c>
      <c r="GD21" s="151">
        <v>9975</v>
      </c>
      <c r="GE21" s="151">
        <v>11.166600000000001</v>
      </c>
      <c r="GF21" s="151">
        <v>1.4964</v>
      </c>
      <c r="GG21" s="151">
        <v>0.57010000000000005</v>
      </c>
      <c r="GH21" s="153">
        <f t="shared" si="132"/>
        <v>0.46527500000000005</v>
      </c>
      <c r="GI21" s="131">
        <f t="shared" si="64"/>
        <v>37.599900000000005</v>
      </c>
      <c r="GJ21">
        <f t="shared" si="38"/>
        <v>6.2300000000000466E-2</v>
      </c>
      <c r="GM21">
        <v>11</v>
      </c>
      <c r="GN21" s="155">
        <v>9975</v>
      </c>
      <c r="GO21" s="155">
        <v>11.2986</v>
      </c>
      <c r="GP21" s="155">
        <v>1.5141</v>
      </c>
      <c r="GQ21" s="155">
        <v>0.57689999999999997</v>
      </c>
      <c r="GR21" s="58">
        <f t="shared" si="65"/>
        <v>0.470775</v>
      </c>
      <c r="GS21" s="131">
        <f t="shared" si="66"/>
        <v>37.5931</v>
      </c>
      <c r="GT21">
        <f t="shared" si="39"/>
        <v>0.13199999999999967</v>
      </c>
      <c r="GW21">
        <v>11</v>
      </c>
      <c r="GX21" s="157">
        <v>9975</v>
      </c>
      <c r="GY21" s="161">
        <f>VLOOKUP(GX21,Sheet3!$AJ$7:$AN$83,2,0)</f>
        <v>11.466200000000001</v>
      </c>
      <c r="GZ21" s="161">
        <f>VLOOKUP(GX21,Sheet3!$AJ$7:$AN$83,3,0)</f>
        <v>1.5365</v>
      </c>
      <c r="HA21" s="161">
        <f>VLOOKUP(GX21,Sheet3!$AJ$7:$AN$83,4,0)</f>
        <v>0.58540000000000003</v>
      </c>
      <c r="HB21" s="162">
        <f t="shared" si="17"/>
        <v>0.47775833333333334</v>
      </c>
      <c r="HC21" s="131">
        <f t="shared" si="116"/>
        <v>37.584600000000002</v>
      </c>
      <c r="HD21" s="159">
        <f t="shared" si="40"/>
        <v>0.16760000000000019</v>
      </c>
      <c r="HE21" s="159">
        <f t="shared" si="41"/>
        <v>8.5000000000000631E-3</v>
      </c>
      <c r="HG21" s="159"/>
      <c r="HH21" s="159">
        <v>11</v>
      </c>
      <c r="HI21" s="158">
        <v>9975</v>
      </c>
      <c r="HJ21" s="161">
        <v>11.533799999999999</v>
      </c>
      <c r="HK21" s="161">
        <v>1.5456000000000001</v>
      </c>
      <c r="HL21" s="161">
        <v>0.58889999999999998</v>
      </c>
      <c r="HM21" s="162">
        <f t="shared" si="18"/>
        <v>0.48057499999999997</v>
      </c>
      <c r="HN21" s="131">
        <f t="shared" si="67"/>
        <v>37.581099999999999</v>
      </c>
      <c r="HO21" s="159">
        <f t="shared" si="68"/>
        <v>6.7599999999998772E-2</v>
      </c>
      <c r="HQ21" s="183"/>
      <c r="HR21" s="183">
        <v>11</v>
      </c>
      <c r="HS21" s="178">
        <v>9975</v>
      </c>
      <c r="HT21" s="184">
        <v>11.5779</v>
      </c>
      <c r="HU21" s="184">
        <v>1.5515000000000001</v>
      </c>
      <c r="HV21" s="184">
        <v>0.59109999999999996</v>
      </c>
      <c r="HW21" s="171">
        <f t="shared" si="19"/>
        <v>0.48241249999999997</v>
      </c>
      <c r="HX21" s="53">
        <f t="shared" si="69"/>
        <v>37.578900000000004</v>
      </c>
      <c r="HY21" s="183">
        <f t="shared" si="70"/>
        <v>4.410000000000025E-2</v>
      </c>
      <c r="IA21" s="194"/>
      <c r="IB21" s="194">
        <v>11</v>
      </c>
      <c r="IC21" s="193">
        <v>9975</v>
      </c>
      <c r="ID21" s="161">
        <v>11.597</v>
      </c>
      <c r="IE21" s="184">
        <v>1.554</v>
      </c>
      <c r="IF21" s="184">
        <v>0.59209999999999996</v>
      </c>
      <c r="IG21" s="171">
        <f t="shared" si="71"/>
        <v>0.4832083333333333</v>
      </c>
      <c r="IH21" s="53">
        <f t="shared" si="72"/>
        <v>37.5779</v>
      </c>
      <c r="II21" s="194">
        <f t="shared" si="73"/>
        <v>1.9099999999999895E-2</v>
      </c>
      <c r="IK21" s="195"/>
      <c r="IL21" s="199">
        <v>11</v>
      </c>
      <c r="IM21" s="197">
        <v>9975</v>
      </c>
      <c r="IN21" s="161">
        <v>11.6974</v>
      </c>
      <c r="IO21" s="184">
        <v>1.5674999999999999</v>
      </c>
      <c r="IP21" s="184">
        <v>0.59719999999999995</v>
      </c>
      <c r="IQ21" s="171">
        <f t="shared" si="74"/>
        <v>0.48739166666666667</v>
      </c>
      <c r="IR21" s="53">
        <f t="shared" si="75"/>
        <v>37.572800000000001</v>
      </c>
      <c r="IS21" s="199">
        <f t="shared" si="76"/>
        <v>0.10040000000000049</v>
      </c>
      <c r="IU21" s="195"/>
      <c r="IV21" s="202">
        <v>11</v>
      </c>
      <c r="IW21" s="201">
        <v>9975</v>
      </c>
      <c r="IX21" s="184">
        <v>11.833</v>
      </c>
      <c r="IY21" s="184">
        <v>1.5857000000000001</v>
      </c>
      <c r="IZ21" s="184">
        <v>0.60409999999999997</v>
      </c>
      <c r="JA21" s="162">
        <f t="shared" si="22"/>
        <v>0.49304166666666666</v>
      </c>
      <c r="JB21" s="53">
        <f t="shared" si="77"/>
        <v>37.565899999999999</v>
      </c>
      <c r="JC21" s="202">
        <f t="shared" si="78"/>
        <v>0.13560000000000016</v>
      </c>
      <c r="JE21" s="195"/>
      <c r="JF21" s="204">
        <v>11</v>
      </c>
      <c r="JG21" s="203">
        <v>9975</v>
      </c>
      <c r="JH21" s="161">
        <v>11.876099999999999</v>
      </c>
      <c r="JI21" s="184">
        <v>1.5913999999999999</v>
      </c>
      <c r="JJ21" s="184">
        <v>0.60629999999999995</v>
      </c>
      <c r="JK21" s="162">
        <f t="shared" si="79"/>
        <v>0.49483749999999999</v>
      </c>
      <c r="JL21" s="53">
        <f t="shared" si="80"/>
        <v>37.563700000000004</v>
      </c>
      <c r="JM21" s="204">
        <f t="shared" si="117"/>
        <v>4.3099999999999028E-2</v>
      </c>
      <c r="JN21" s="204"/>
      <c r="JP21" s="209">
        <v>11</v>
      </c>
      <c r="JQ21" s="205">
        <v>9975</v>
      </c>
      <c r="JR21" s="161">
        <v>11.9108</v>
      </c>
      <c r="JS21" s="184">
        <v>1.5961000000000001</v>
      </c>
      <c r="JT21" s="184">
        <v>0.60809999999999997</v>
      </c>
      <c r="JU21" s="162">
        <f t="shared" si="81"/>
        <v>0.49628333333333335</v>
      </c>
      <c r="JV21" s="53">
        <f t="shared" si="82"/>
        <v>37.561900000000001</v>
      </c>
      <c r="JW21" s="209">
        <f t="shared" si="118"/>
        <v>3.4700000000000841E-2</v>
      </c>
      <c r="JX21" s="213"/>
      <c r="JY21" s="213"/>
      <c r="JZ21" s="213">
        <v>11</v>
      </c>
      <c r="KA21" s="206">
        <v>9975</v>
      </c>
      <c r="KB21" s="184">
        <v>11.992000000000001</v>
      </c>
      <c r="KC21" s="184">
        <v>1.607</v>
      </c>
      <c r="KD21" s="184">
        <v>0.61229999999999996</v>
      </c>
      <c r="KE21" s="162">
        <f t="shared" si="83"/>
        <v>0.4996666666666667</v>
      </c>
      <c r="KF21" s="53">
        <f t="shared" si="84"/>
        <v>37.557700000000004</v>
      </c>
      <c r="KG21" s="213">
        <f t="shared" si="119"/>
        <v>8.1200000000000827E-2</v>
      </c>
      <c r="KI21" s="219"/>
      <c r="KJ21" s="219">
        <v>11</v>
      </c>
      <c r="KK21" s="214">
        <v>9975</v>
      </c>
      <c r="KL21" s="161">
        <v>12.0191</v>
      </c>
      <c r="KM21" s="161">
        <v>1.6106</v>
      </c>
      <c r="KN21" s="161">
        <v>0.61360000000000003</v>
      </c>
      <c r="KO21" s="162">
        <f t="shared" si="24"/>
        <v>0.50079583333333333</v>
      </c>
      <c r="KP21" s="53">
        <f t="shared" si="85"/>
        <v>37.556400000000004</v>
      </c>
      <c r="KQ21" s="219">
        <f t="shared" si="120"/>
        <v>2.7099999999999014E-2</v>
      </c>
      <c r="KT21" s="223">
        <v>11</v>
      </c>
      <c r="KU21" s="216">
        <v>9975</v>
      </c>
      <c r="KV21" s="161">
        <v>12.047599999999999</v>
      </c>
      <c r="KW21" s="161">
        <v>1.6143999999999998</v>
      </c>
      <c r="KX21" s="161">
        <v>0.61509999999999998</v>
      </c>
      <c r="KY21" s="162">
        <f t="shared" si="86"/>
        <v>0.50198333333333334</v>
      </c>
      <c r="KZ21" s="53">
        <f t="shared" si="87"/>
        <v>37.554900000000004</v>
      </c>
      <c r="LA21" s="223">
        <f t="shared" si="121"/>
        <v>2.8499999999999304E-2</v>
      </c>
      <c r="LD21" s="228">
        <v>11</v>
      </c>
      <c r="LE21" s="221">
        <v>9975</v>
      </c>
      <c r="LF21" s="161">
        <v>12.0715</v>
      </c>
      <c r="LG21" s="161">
        <v>1.6175999999999999</v>
      </c>
      <c r="LH21" s="161">
        <v>0.61629999999999996</v>
      </c>
      <c r="LI21" s="162">
        <f t="shared" si="88"/>
        <v>0.50297916666666664</v>
      </c>
      <c r="LJ21" s="53">
        <f t="shared" si="89"/>
        <v>37.553699999999999</v>
      </c>
      <c r="LK21" s="228">
        <f t="shared" si="122"/>
        <v>2.3900000000001143E-2</v>
      </c>
      <c r="LL21" s="231"/>
      <c r="LM21" s="231"/>
      <c r="LN21" s="231">
        <v>11</v>
      </c>
      <c r="LO21" s="226">
        <v>9975</v>
      </c>
      <c r="LP21" s="184">
        <v>12.105</v>
      </c>
      <c r="LQ21" s="184">
        <v>1.6221000000000001</v>
      </c>
      <c r="LR21" s="184">
        <v>0.61799999999999999</v>
      </c>
      <c r="LS21" s="162">
        <f t="shared" si="90"/>
        <v>0.50437500000000002</v>
      </c>
      <c r="LT21" s="53">
        <f t="shared" si="91"/>
        <v>37.552</v>
      </c>
      <c r="LU21" s="231">
        <f t="shared" si="123"/>
        <v>3.3500000000000085E-2</v>
      </c>
      <c r="LW21" s="231"/>
      <c r="LX21" s="231">
        <v>11</v>
      </c>
      <c r="LY21" s="234">
        <v>9975</v>
      </c>
      <c r="LZ21" s="184">
        <v>12.1426</v>
      </c>
      <c r="MA21" s="184">
        <v>1.6272</v>
      </c>
      <c r="MB21" s="184">
        <v>0.61990000000000001</v>
      </c>
      <c r="MC21" s="162">
        <f t="shared" si="92"/>
        <v>0.50594166666666662</v>
      </c>
      <c r="MD21" s="53">
        <f t="shared" si="93"/>
        <v>37.5501</v>
      </c>
      <c r="ME21" s="231">
        <f t="shared" si="124"/>
        <v>3.7599999999999412E-2</v>
      </c>
      <c r="MF21" s="231"/>
      <c r="MG21" s="231"/>
      <c r="MH21" s="231">
        <v>11</v>
      </c>
      <c r="MI21" s="236">
        <v>9975</v>
      </c>
      <c r="MJ21" s="184">
        <v>12.1797</v>
      </c>
      <c r="MK21" s="184">
        <v>1.6321000000000001</v>
      </c>
      <c r="ML21" s="184">
        <v>0.62180000000000002</v>
      </c>
      <c r="MM21" s="162">
        <f t="shared" si="94"/>
        <v>0.50748749999999998</v>
      </c>
      <c r="MN21" s="53">
        <f t="shared" si="95"/>
        <v>37.548200000000001</v>
      </c>
      <c r="MO21" s="231">
        <f t="shared" si="125"/>
        <v>3.7100000000000577E-2</v>
      </c>
      <c r="MP21" s="231"/>
      <c r="MQ21" s="231"/>
      <c r="MR21" s="231">
        <v>11</v>
      </c>
      <c r="MS21" s="34">
        <v>9975</v>
      </c>
      <c r="MT21" s="184">
        <v>12.250400000000001</v>
      </c>
      <c r="MU21" s="184">
        <v>1.6415999999999999</v>
      </c>
      <c r="MV21" s="184">
        <v>0.62549999999999994</v>
      </c>
      <c r="MW21" s="162">
        <f t="shared" si="96"/>
        <v>0.51043333333333341</v>
      </c>
      <c r="MX21" s="53">
        <f t="shared" si="97"/>
        <v>37.544499999999999</v>
      </c>
      <c r="MY21" s="231">
        <f t="shared" si="126"/>
        <v>7.0700000000000429E-2</v>
      </c>
      <c r="MZ21" s="246"/>
      <c r="NA21" s="246"/>
      <c r="NB21" s="246">
        <v>11</v>
      </c>
      <c r="NC21" s="34">
        <v>9975</v>
      </c>
      <c r="ND21" s="184">
        <v>12.322699999999999</v>
      </c>
      <c r="NE21" s="184">
        <v>1.6513</v>
      </c>
      <c r="NF21" s="184">
        <v>0.62909999999999999</v>
      </c>
      <c r="NG21" s="162">
        <f>ND21/24</f>
        <v>0.51344583333333327</v>
      </c>
      <c r="NH21" s="53">
        <f t="shared" si="99"/>
        <v>37.540900000000001</v>
      </c>
      <c r="NI21" s="232">
        <f t="shared" si="127"/>
        <v>7.2299999999998477E-2</v>
      </c>
      <c r="NK21" s="250"/>
      <c r="NL21" s="250">
        <v>11</v>
      </c>
      <c r="NM21" s="34">
        <v>9975</v>
      </c>
      <c r="NN21" s="184">
        <v>12.343999999999999</v>
      </c>
      <c r="NO21" s="184">
        <v>1.6540999999999999</v>
      </c>
      <c r="NP21" s="184">
        <v>0.63019999999999998</v>
      </c>
      <c r="NQ21" s="162">
        <f>NN21/24</f>
        <v>0.51433333333333331</v>
      </c>
      <c r="NR21" s="53">
        <f t="shared" si="101"/>
        <v>37.5398</v>
      </c>
      <c r="NS21" s="232">
        <f t="shared" si="128"/>
        <v>2.1300000000000097E-2</v>
      </c>
      <c r="NU21" s="250"/>
      <c r="NV21" s="250">
        <v>11</v>
      </c>
      <c r="NW21" s="34">
        <v>9975</v>
      </c>
      <c r="NX21" s="184">
        <v>12.377700000000001</v>
      </c>
      <c r="NY21" s="184">
        <v>1.6587000000000001</v>
      </c>
      <c r="NZ21" s="184">
        <v>0.63190000000000002</v>
      </c>
      <c r="OA21" s="162">
        <f>NX21/24</f>
        <v>0.51573750000000007</v>
      </c>
      <c r="OB21" s="53">
        <f t="shared" si="103"/>
        <v>37.5381</v>
      </c>
      <c r="OC21" s="232">
        <f t="shared" si="129"/>
        <v>3.3700000000001396E-2</v>
      </c>
      <c r="OE21" s="250"/>
      <c r="OF21" s="250">
        <v>11</v>
      </c>
      <c r="OG21" s="34">
        <v>9975</v>
      </c>
      <c r="OH21" s="184">
        <v>12.394600000000001</v>
      </c>
      <c r="OI21" s="184">
        <v>1.6609</v>
      </c>
      <c r="OJ21" s="184">
        <v>0.63280000000000003</v>
      </c>
      <c r="OK21" s="162">
        <f>OH21/24</f>
        <v>0.51644166666666669</v>
      </c>
      <c r="OL21" s="53">
        <f t="shared" si="105"/>
        <v>37.537199999999999</v>
      </c>
      <c r="OM21" s="232">
        <f t="shared" si="130"/>
        <v>1.6899999999999693E-2</v>
      </c>
      <c r="OP21" s="250">
        <v>11</v>
      </c>
      <c r="OQ21" s="34">
        <v>9975</v>
      </c>
      <c r="OR21" s="184">
        <f>VLOOKUP(OQ21,Sheet4!A19:F95,3,0)</f>
        <v>12.433400000000001</v>
      </c>
      <c r="OS21" s="184">
        <f>VLOOKUP(OQ21,Sheet4!A19:F95,4,0)</f>
        <v>1.6660999999999999</v>
      </c>
      <c r="OT21" s="184">
        <f>VLOOKUP(OQ21,Sheet4!A19:F95,5,0)</f>
        <v>0.63480000000000003</v>
      </c>
      <c r="OU21" s="162">
        <f t="shared" si="106"/>
        <v>0.5180583333333334</v>
      </c>
      <c r="OV21" s="53">
        <f t="shared" si="107"/>
        <v>37.535200000000003</v>
      </c>
      <c r="OW21" s="232">
        <f t="shared" si="131"/>
        <v>3.8800000000000168E-2</v>
      </c>
    </row>
    <row r="22" spans="1:413" ht="15.75" x14ac:dyDescent="0.25">
      <c r="A22">
        <v>14</v>
      </c>
      <c r="B22" s="1">
        <v>9983</v>
      </c>
      <c r="C22" s="1" t="s">
        <v>1</v>
      </c>
      <c r="D22" s="2">
        <v>38.1</v>
      </c>
      <c r="E22" s="8"/>
      <c r="F22" s="8"/>
      <c r="G22" s="8"/>
      <c r="H22" s="8"/>
      <c r="J22" s="15">
        <v>9983</v>
      </c>
      <c r="K22" s="15">
        <v>10.048500000000001</v>
      </c>
      <c r="L22" s="15">
        <v>1.3465</v>
      </c>
      <c r="M22" s="15">
        <v>0.51300000000000001</v>
      </c>
      <c r="N22" s="24">
        <f t="shared" si="42"/>
        <v>0.41868750000000005</v>
      </c>
      <c r="O22" s="10">
        <f t="shared" si="36"/>
        <v>37.587000000000003</v>
      </c>
      <c r="P22" s="18"/>
      <c r="R22" s="20">
        <v>9983</v>
      </c>
      <c r="S22" s="9">
        <v>10.135199999999999</v>
      </c>
      <c r="T22" s="9">
        <v>1.3582000000000001</v>
      </c>
      <c r="U22" s="9">
        <v>0.51749999999999996</v>
      </c>
      <c r="V22" s="24">
        <f t="shared" si="43"/>
        <v>0.42229999999999995</v>
      </c>
      <c r="W22" s="10">
        <f t="shared" si="44"/>
        <v>37.582500000000003</v>
      </c>
      <c r="X22" s="18"/>
      <c r="Z22" s="27">
        <v>9983</v>
      </c>
      <c r="AA22" s="9">
        <v>10.3483</v>
      </c>
      <c r="AB22" s="9">
        <v>1.3867</v>
      </c>
      <c r="AC22" s="9">
        <v>0.52829999999999999</v>
      </c>
      <c r="AD22" s="24">
        <f t="shared" si="45"/>
        <v>0.43117916666666667</v>
      </c>
      <c r="AE22" s="10">
        <f t="shared" si="46"/>
        <v>37.5717</v>
      </c>
      <c r="AF22" s="79"/>
      <c r="AG22">
        <v>14</v>
      </c>
      <c r="AH22" s="1">
        <v>9983</v>
      </c>
      <c r="AI22" s="1" t="s">
        <v>1</v>
      </c>
      <c r="AJ22" s="2">
        <v>38.1</v>
      </c>
      <c r="AL22" s="32">
        <v>9983</v>
      </c>
      <c r="AM22" s="9">
        <v>10.5792</v>
      </c>
      <c r="AN22" s="9">
        <v>1.4177</v>
      </c>
      <c r="AO22" s="9">
        <v>0.54010000000000002</v>
      </c>
      <c r="AP22" s="37">
        <f t="shared" si="0"/>
        <v>0.44080000000000003</v>
      </c>
      <c r="AQ22" s="53">
        <f t="shared" si="108"/>
        <v>37.559899999999999</v>
      </c>
      <c r="AT22" s="39"/>
      <c r="AU22" s="38">
        <v>9983</v>
      </c>
      <c r="AV22" s="9">
        <v>10.6774</v>
      </c>
      <c r="AW22" s="43">
        <v>1.4308000000000001</v>
      </c>
      <c r="AX22" s="43">
        <v>0.54510000000000003</v>
      </c>
      <c r="AY22" s="47">
        <f t="shared" si="47"/>
        <v>0.44489166666666669</v>
      </c>
      <c r="AZ22" s="56">
        <f t="shared" si="109"/>
        <v>37.554900000000004</v>
      </c>
      <c r="BD22" s="54">
        <v>9983</v>
      </c>
      <c r="BE22" s="53">
        <v>10.688499999999999</v>
      </c>
      <c r="BF22" s="58">
        <v>1.4322999999999999</v>
      </c>
      <c r="BG22" s="58">
        <v>0.54569999999999996</v>
      </c>
      <c r="BH22" s="47">
        <f t="shared" si="48"/>
        <v>0.44535416666666666</v>
      </c>
      <c r="BI22" s="56">
        <f t="shared" si="49"/>
        <v>37.554300000000005</v>
      </c>
      <c r="BJ22" s="88"/>
      <c r="BK22" s="88"/>
      <c r="BL22" s="88"/>
      <c r="BN22" s="9">
        <v>9983</v>
      </c>
      <c r="BO22" s="53">
        <v>10.729900000000001</v>
      </c>
      <c r="BP22" s="53">
        <v>1.4378</v>
      </c>
      <c r="BQ22" s="53">
        <v>0.54779999999999995</v>
      </c>
      <c r="BR22" s="53">
        <f t="shared" si="50"/>
        <v>0.44707916666666669</v>
      </c>
      <c r="BS22" s="53">
        <f t="shared" si="51"/>
        <v>37.552199999999999</v>
      </c>
      <c r="BV22" s="88"/>
      <c r="BX22" s="93">
        <v>9983</v>
      </c>
      <c r="BY22" s="9">
        <v>10.811500000000001</v>
      </c>
      <c r="BZ22" s="9">
        <v>1.4488000000000001</v>
      </c>
      <c r="CA22" s="9">
        <v>0.55200000000000005</v>
      </c>
      <c r="CB22" s="58">
        <f t="shared" si="52"/>
        <v>0.45047916666666671</v>
      </c>
      <c r="CC22" s="53">
        <f t="shared" si="110"/>
        <v>37.548000000000002</v>
      </c>
      <c r="CF22" s="88"/>
      <c r="CG22">
        <v>12</v>
      </c>
      <c r="CH22" s="93">
        <v>9983</v>
      </c>
      <c r="CI22" s="93">
        <v>10.8817</v>
      </c>
      <c r="CJ22" s="9">
        <v>1.4581999999999999</v>
      </c>
      <c r="CK22" s="9">
        <v>0.55559999999999998</v>
      </c>
      <c r="CL22" s="47">
        <f t="shared" si="5"/>
        <v>0.45340416666666666</v>
      </c>
      <c r="CM22" s="53">
        <f t="shared" si="53"/>
        <v>37.544400000000003</v>
      </c>
      <c r="CQ22">
        <v>12</v>
      </c>
      <c r="CR22" s="98">
        <v>9983</v>
      </c>
      <c r="CS22" s="101">
        <v>10.969900000000001</v>
      </c>
      <c r="CT22" s="101">
        <v>1.47</v>
      </c>
      <c r="CU22" s="101">
        <v>0.56010000000000004</v>
      </c>
      <c r="CV22" s="99">
        <v>0.56010000000000004</v>
      </c>
      <c r="CW22" s="53">
        <f t="shared" si="37"/>
        <v>37.539900000000003</v>
      </c>
      <c r="DA22">
        <v>12</v>
      </c>
      <c r="DB22" s="106">
        <v>9983</v>
      </c>
      <c r="DC22" s="107">
        <v>10.9786</v>
      </c>
      <c r="DD22" s="107">
        <v>1.4712000000000001</v>
      </c>
      <c r="DE22" s="107">
        <v>0.5605</v>
      </c>
      <c r="DF22" s="107">
        <v>0.56010000000000004</v>
      </c>
      <c r="DG22" s="53">
        <f t="shared" si="111"/>
        <v>37.539500000000004</v>
      </c>
      <c r="DK22">
        <v>12</v>
      </c>
      <c r="DL22" s="110">
        <v>9983</v>
      </c>
      <c r="DM22" s="53">
        <v>11.0793</v>
      </c>
      <c r="DN22" s="53">
        <v>1.4846999999999999</v>
      </c>
      <c r="DO22" s="53">
        <v>0.56569999999999998</v>
      </c>
      <c r="DP22" s="47">
        <f t="shared" si="8"/>
        <v>0.46163749999999998</v>
      </c>
      <c r="DQ22" s="53">
        <f t="shared" si="54"/>
        <v>37.534300000000002</v>
      </c>
      <c r="DS22" s="3">
        <f t="shared" si="55"/>
        <v>0.10069999999999979</v>
      </c>
      <c r="DU22">
        <v>12</v>
      </c>
      <c r="DV22" s="115">
        <v>9983</v>
      </c>
      <c r="DW22" s="9">
        <v>11.142099999999999</v>
      </c>
      <c r="DX22" s="9">
        <v>1.4931000000000001</v>
      </c>
      <c r="DY22" s="9">
        <v>0.56889999999999996</v>
      </c>
      <c r="DZ22" s="47">
        <f t="shared" si="9"/>
        <v>0.46425416666666663</v>
      </c>
      <c r="EA22" s="53">
        <f t="shared" si="112"/>
        <v>37.531100000000002</v>
      </c>
      <c r="EB22" s="3"/>
      <c r="EE22">
        <v>12</v>
      </c>
      <c r="EF22" s="118">
        <v>9983</v>
      </c>
      <c r="EG22" s="9">
        <v>11.2401</v>
      </c>
      <c r="EH22" s="9">
        <v>1.5062</v>
      </c>
      <c r="EI22" s="9">
        <v>0.57389999999999997</v>
      </c>
      <c r="EJ22" s="47">
        <f t="shared" si="10"/>
        <v>0.46833750000000002</v>
      </c>
      <c r="EK22" s="53">
        <f t="shared" si="56"/>
        <v>37.5261</v>
      </c>
      <c r="EM22" s="3">
        <f t="shared" si="57"/>
        <v>-5.000000000002558E-3</v>
      </c>
      <c r="EN22" s="3"/>
      <c r="EO22">
        <v>12</v>
      </c>
      <c r="EP22" s="121">
        <v>9983</v>
      </c>
      <c r="EQ22" s="122">
        <v>11.435</v>
      </c>
      <c r="ER22" s="122">
        <v>1.5323</v>
      </c>
      <c r="ES22" s="129">
        <v>0.58379999999999999</v>
      </c>
      <c r="ET22" s="130">
        <f t="shared" si="11"/>
        <v>0.47645833333333337</v>
      </c>
      <c r="EU22" s="131">
        <f t="shared" si="58"/>
        <v>37.516200000000005</v>
      </c>
      <c r="EX22" s="3"/>
      <c r="EY22">
        <v>12</v>
      </c>
      <c r="EZ22" s="135">
        <v>9983</v>
      </c>
      <c r="FA22" s="135">
        <v>11.526899999999999</v>
      </c>
      <c r="FB22" s="135">
        <v>1.5446</v>
      </c>
      <c r="FC22" s="135">
        <v>0.58850000000000002</v>
      </c>
      <c r="FD22" s="136">
        <f t="shared" si="12"/>
        <v>0.48028749999999998</v>
      </c>
      <c r="FE22" s="131">
        <f t="shared" si="59"/>
        <v>37.511499999999998</v>
      </c>
      <c r="FG22" s="123">
        <f t="shared" si="60"/>
        <v>-4.7000000000068098E-3</v>
      </c>
      <c r="FH22" s="3"/>
      <c r="FI22">
        <v>12</v>
      </c>
      <c r="FJ22" s="145">
        <v>9983</v>
      </c>
      <c r="FK22" s="9">
        <v>11.6493</v>
      </c>
      <c r="FL22" s="9">
        <v>1.5610999999999999</v>
      </c>
      <c r="FM22" s="9">
        <v>0.5948</v>
      </c>
      <c r="FN22" s="146">
        <f t="shared" si="113"/>
        <v>0.48538750000000003</v>
      </c>
      <c r="FO22" s="131">
        <f t="shared" si="61"/>
        <v>37.505200000000002</v>
      </c>
      <c r="FP22" s="123">
        <f t="shared" si="62"/>
        <v>-6.2999999999959755E-3</v>
      </c>
      <c r="FS22">
        <v>12</v>
      </c>
      <c r="FT22" s="147">
        <v>9983</v>
      </c>
      <c r="FU22" s="148">
        <v>11.6745</v>
      </c>
      <c r="FV22" s="148">
        <v>1.5644</v>
      </c>
      <c r="FW22" s="148">
        <v>0.59599999999999997</v>
      </c>
      <c r="FX22" s="150">
        <f t="shared" si="114"/>
        <v>0.48643750000000002</v>
      </c>
      <c r="FY22" s="131">
        <f t="shared" si="115"/>
        <v>37.504000000000005</v>
      </c>
      <c r="FZ22">
        <f t="shared" si="63"/>
        <v>2.5199999999999889E-2</v>
      </c>
      <c r="GC22">
        <v>12</v>
      </c>
      <c r="GD22" s="151">
        <v>9983</v>
      </c>
      <c r="GE22" s="151">
        <v>11.736800000000001</v>
      </c>
      <c r="GF22" s="151">
        <v>1.5728</v>
      </c>
      <c r="GG22" s="151">
        <v>0.59919999999999995</v>
      </c>
      <c r="GH22" s="153">
        <f t="shared" si="132"/>
        <v>0.48903333333333338</v>
      </c>
      <c r="GI22" s="131">
        <f t="shared" si="64"/>
        <v>37.500799999999998</v>
      </c>
      <c r="GJ22">
        <f t="shared" si="38"/>
        <v>6.2300000000000466E-2</v>
      </c>
      <c r="GM22">
        <v>12</v>
      </c>
      <c r="GN22" s="155">
        <v>9983</v>
      </c>
      <c r="GO22" s="155">
        <v>11.8688</v>
      </c>
      <c r="GP22" s="155">
        <v>1.5905</v>
      </c>
      <c r="GQ22" s="155">
        <v>0.60599999999999998</v>
      </c>
      <c r="GR22" s="58">
        <f t="shared" si="65"/>
        <v>0.49453333333333332</v>
      </c>
      <c r="GS22" s="131">
        <f t="shared" si="66"/>
        <v>37.494</v>
      </c>
      <c r="GT22">
        <f t="shared" si="39"/>
        <v>0.13199999999999967</v>
      </c>
      <c r="GW22">
        <v>12</v>
      </c>
      <c r="GX22" s="157">
        <v>9983</v>
      </c>
      <c r="GY22" s="161">
        <f>VLOOKUP(GX22,Sheet3!$AJ$7:$AN$83,2,0)</f>
        <v>12.0364</v>
      </c>
      <c r="GZ22" s="161">
        <f>VLOOKUP(GX22,Sheet3!$AJ$7:$AN$83,3,0)</f>
        <v>1.6129</v>
      </c>
      <c r="HA22" s="161">
        <f>VLOOKUP(GX22,Sheet3!$AJ$7:$AN$83,4,0)</f>
        <v>0.61450000000000005</v>
      </c>
      <c r="HB22" s="162">
        <f t="shared" si="17"/>
        <v>0.50151666666666672</v>
      </c>
      <c r="HC22" s="131">
        <f t="shared" si="116"/>
        <v>37.485500000000002</v>
      </c>
      <c r="HD22" s="159">
        <f t="shared" si="40"/>
        <v>0.16760000000000019</v>
      </c>
      <c r="HE22" s="159">
        <f t="shared" si="41"/>
        <v>8.5000000000000631E-3</v>
      </c>
      <c r="HG22" s="159"/>
      <c r="HH22" s="159">
        <v>12</v>
      </c>
      <c r="HI22" s="158">
        <v>9983</v>
      </c>
      <c r="HJ22" s="161">
        <v>12.103999999999999</v>
      </c>
      <c r="HK22" s="161">
        <v>1.6220000000000001</v>
      </c>
      <c r="HL22" s="161">
        <v>0.61799999999999999</v>
      </c>
      <c r="HM22" s="162">
        <f t="shared" si="18"/>
        <v>0.5043333333333333</v>
      </c>
      <c r="HN22" s="131">
        <f t="shared" si="67"/>
        <v>37.481999999999999</v>
      </c>
      <c r="HO22" s="159">
        <f t="shared" si="68"/>
        <v>6.7599999999998772E-2</v>
      </c>
      <c r="HQ22" s="183"/>
      <c r="HR22" s="183">
        <v>12</v>
      </c>
      <c r="HS22" s="178">
        <v>9983</v>
      </c>
      <c r="HT22" s="184">
        <v>12.148099999999999</v>
      </c>
      <c r="HU22" s="184">
        <v>1.6278999999999999</v>
      </c>
      <c r="HV22" s="184">
        <v>0.62019999999999997</v>
      </c>
      <c r="HW22" s="171">
        <f t="shared" si="19"/>
        <v>0.50617083333333335</v>
      </c>
      <c r="HX22" s="53">
        <f t="shared" si="69"/>
        <v>37.479800000000004</v>
      </c>
      <c r="HY22" s="183">
        <f t="shared" si="70"/>
        <v>4.410000000000025E-2</v>
      </c>
      <c r="IA22" s="194"/>
      <c r="IB22" s="194">
        <v>12</v>
      </c>
      <c r="IC22" s="193">
        <v>9983</v>
      </c>
      <c r="ID22" s="161">
        <v>12.167199999999999</v>
      </c>
      <c r="IE22" s="184">
        <v>1.6305000000000001</v>
      </c>
      <c r="IF22" s="184">
        <v>0.62119999999999997</v>
      </c>
      <c r="IG22" s="171">
        <f t="shared" si="71"/>
        <v>0.50696666666666668</v>
      </c>
      <c r="IH22" s="53">
        <f t="shared" si="72"/>
        <v>37.4788</v>
      </c>
      <c r="II22" s="194">
        <f t="shared" si="73"/>
        <v>1.9099999999999895E-2</v>
      </c>
      <c r="IK22" s="22"/>
      <c r="IL22" s="199">
        <v>12</v>
      </c>
      <c r="IM22" s="197">
        <v>9983</v>
      </c>
      <c r="IN22" s="161">
        <v>12.2676</v>
      </c>
      <c r="IO22" s="184">
        <v>1.6438999999999999</v>
      </c>
      <c r="IP22" s="184">
        <v>0.62629999999999997</v>
      </c>
      <c r="IQ22" s="171">
        <f t="shared" si="74"/>
        <v>0.51114999999999999</v>
      </c>
      <c r="IR22" s="53">
        <f t="shared" si="75"/>
        <v>37.473700000000001</v>
      </c>
      <c r="IS22" s="199">
        <f t="shared" si="76"/>
        <v>0.10040000000000049</v>
      </c>
      <c r="IU22" s="22"/>
      <c r="IV22" s="202">
        <v>12</v>
      </c>
      <c r="IW22" s="201">
        <v>9983</v>
      </c>
      <c r="IX22" s="184">
        <v>12.4032</v>
      </c>
      <c r="IY22" s="184">
        <v>1.6620999999999999</v>
      </c>
      <c r="IZ22" s="184">
        <v>0.63329999999999997</v>
      </c>
      <c r="JA22" s="162">
        <f t="shared" si="22"/>
        <v>0.51680000000000004</v>
      </c>
      <c r="JB22" s="53">
        <f t="shared" si="77"/>
        <v>37.466700000000003</v>
      </c>
      <c r="JC22" s="202">
        <f t="shared" si="78"/>
        <v>0.13560000000000016</v>
      </c>
      <c r="JE22" s="22"/>
      <c r="JF22" s="204">
        <v>12</v>
      </c>
      <c r="JG22" s="203">
        <v>9983</v>
      </c>
      <c r="JH22" s="161">
        <v>12.446300000000001</v>
      </c>
      <c r="JI22" s="184">
        <v>1.6678999999999999</v>
      </c>
      <c r="JJ22" s="184">
        <v>0.63549999999999995</v>
      </c>
      <c r="JK22" s="162">
        <f t="shared" si="79"/>
        <v>0.51859583333333337</v>
      </c>
      <c r="JL22" s="53">
        <f t="shared" si="80"/>
        <v>37.464500000000001</v>
      </c>
      <c r="JM22" s="204">
        <f t="shared" si="117"/>
        <v>4.3100000000000804E-2</v>
      </c>
      <c r="JN22" s="204"/>
      <c r="JP22" s="209">
        <v>12</v>
      </c>
      <c r="JQ22" s="205">
        <v>9983</v>
      </c>
      <c r="JR22" s="161">
        <v>12.481</v>
      </c>
      <c r="JS22" s="184">
        <v>1.6725000000000001</v>
      </c>
      <c r="JT22" s="184">
        <v>0.63719999999999999</v>
      </c>
      <c r="JU22" s="162">
        <f t="shared" si="81"/>
        <v>0.52004166666666662</v>
      </c>
      <c r="JV22" s="53">
        <f t="shared" si="82"/>
        <v>37.462800000000001</v>
      </c>
      <c r="JW22" s="209">
        <f t="shared" si="118"/>
        <v>3.4699999999999065E-2</v>
      </c>
      <c r="JX22" s="213"/>
      <c r="JY22" s="213"/>
      <c r="JZ22" s="213">
        <v>12</v>
      </c>
      <c r="KA22" s="206">
        <v>9983</v>
      </c>
      <c r="KB22" s="184">
        <v>12.562200000000001</v>
      </c>
      <c r="KC22" s="184">
        <v>1.6834</v>
      </c>
      <c r="KD22" s="184">
        <v>0.64139999999999997</v>
      </c>
      <c r="KE22" s="162">
        <f t="shared" si="83"/>
        <v>0.52342500000000003</v>
      </c>
      <c r="KF22" s="53">
        <f t="shared" si="84"/>
        <v>37.458600000000004</v>
      </c>
      <c r="KG22" s="213">
        <f t="shared" si="119"/>
        <v>8.1200000000000827E-2</v>
      </c>
      <c r="KI22" s="219"/>
      <c r="KJ22" s="219">
        <v>12</v>
      </c>
      <c r="KK22" s="214">
        <v>9983</v>
      </c>
      <c r="KL22" s="161">
        <v>12.5893</v>
      </c>
      <c r="KM22" s="161">
        <v>1.6870000000000001</v>
      </c>
      <c r="KN22" s="161">
        <v>0.64280000000000004</v>
      </c>
      <c r="KO22" s="162">
        <f t="shared" si="24"/>
        <v>0.52455416666666665</v>
      </c>
      <c r="KP22" s="53">
        <f t="shared" si="85"/>
        <v>37.4572</v>
      </c>
      <c r="KQ22" s="219">
        <f t="shared" si="120"/>
        <v>2.7099999999999014E-2</v>
      </c>
      <c r="KT22" s="223">
        <v>12</v>
      </c>
      <c r="KU22" s="216">
        <v>9983</v>
      </c>
      <c r="KV22" s="161">
        <v>12.617799999999999</v>
      </c>
      <c r="KW22" s="161">
        <v>1.6908000000000001</v>
      </c>
      <c r="KX22" s="161">
        <v>0.64419999999999999</v>
      </c>
      <c r="KY22" s="162">
        <f t="shared" si="86"/>
        <v>0.52574166666666666</v>
      </c>
      <c r="KZ22" s="53">
        <f t="shared" si="87"/>
        <v>37.455800000000004</v>
      </c>
      <c r="LA22" s="223">
        <f t="shared" si="121"/>
        <v>2.8499999999999304E-2</v>
      </c>
      <c r="LD22" s="228">
        <v>12</v>
      </c>
      <c r="LE22" s="221">
        <v>9983</v>
      </c>
      <c r="LF22" s="161">
        <v>12.6417</v>
      </c>
      <c r="LG22" s="161">
        <v>1.694</v>
      </c>
      <c r="LH22" s="161">
        <v>0.64539999999999997</v>
      </c>
      <c r="LI22" s="162">
        <f t="shared" si="88"/>
        <v>0.52673749999999997</v>
      </c>
      <c r="LJ22" s="53">
        <f t="shared" si="89"/>
        <v>37.454599999999999</v>
      </c>
      <c r="LK22" s="228">
        <f t="shared" si="122"/>
        <v>2.3900000000001143E-2</v>
      </c>
      <c r="LL22" s="231"/>
      <c r="LM22" s="231"/>
      <c r="LN22" s="231">
        <v>12</v>
      </c>
      <c r="LO22" s="226">
        <v>9983</v>
      </c>
      <c r="LP22" s="184">
        <v>12.6752</v>
      </c>
      <c r="LQ22" s="184">
        <v>1.6984999999999999</v>
      </c>
      <c r="LR22" s="184">
        <v>0.64710000000000001</v>
      </c>
      <c r="LS22" s="162">
        <f t="shared" si="90"/>
        <v>0.52813333333333334</v>
      </c>
      <c r="LT22" s="53">
        <f t="shared" si="91"/>
        <v>37.4529</v>
      </c>
      <c r="LU22" s="231">
        <f t="shared" si="123"/>
        <v>3.3500000000000085E-2</v>
      </c>
      <c r="LW22" s="231"/>
      <c r="LX22" s="231">
        <v>12</v>
      </c>
      <c r="LY22" s="234">
        <v>9983</v>
      </c>
      <c r="LZ22" s="184">
        <v>12.7128</v>
      </c>
      <c r="MA22" s="184">
        <v>1.7036</v>
      </c>
      <c r="MB22" s="184">
        <v>0.64910000000000001</v>
      </c>
      <c r="MC22" s="162">
        <f t="shared" si="92"/>
        <v>0.52969999999999995</v>
      </c>
      <c r="MD22" s="53">
        <f t="shared" si="93"/>
        <v>37.450900000000004</v>
      </c>
      <c r="ME22" s="231">
        <f t="shared" si="124"/>
        <v>3.7599999999999412E-2</v>
      </c>
      <c r="MF22" s="231"/>
      <c r="MG22" s="231"/>
      <c r="MH22" s="231">
        <v>12</v>
      </c>
      <c r="MI22" s="236">
        <v>9983</v>
      </c>
      <c r="MJ22" s="184">
        <v>12.7499</v>
      </c>
      <c r="MK22" s="184">
        <v>1.7084999999999999</v>
      </c>
      <c r="ML22" s="184">
        <v>0.65100000000000002</v>
      </c>
      <c r="MM22" s="162">
        <f t="shared" si="94"/>
        <v>0.53124583333333331</v>
      </c>
      <c r="MN22" s="53">
        <f t="shared" si="95"/>
        <v>37.448999999999998</v>
      </c>
      <c r="MO22" s="231">
        <f t="shared" si="125"/>
        <v>3.7100000000000577E-2</v>
      </c>
      <c r="MP22" s="231"/>
      <c r="MQ22" s="231"/>
      <c r="MR22" s="231">
        <v>12</v>
      </c>
      <c r="MS22" s="34">
        <v>9983</v>
      </c>
      <c r="MT22" s="184">
        <v>12.820600000000001</v>
      </c>
      <c r="MU22" s="184">
        <v>1.718</v>
      </c>
      <c r="MV22" s="184">
        <v>0.65459999999999996</v>
      </c>
      <c r="MW22" s="162">
        <f t="shared" si="96"/>
        <v>0.53419166666666673</v>
      </c>
      <c r="MX22" s="53">
        <f t="shared" si="97"/>
        <v>37.445399999999999</v>
      </c>
      <c r="MY22" s="231">
        <f t="shared" si="126"/>
        <v>7.0700000000000429E-2</v>
      </c>
      <c r="MZ22" s="246"/>
      <c r="NA22" s="246"/>
      <c r="NB22" s="246">
        <v>12</v>
      </c>
      <c r="NC22" s="34">
        <v>9983</v>
      </c>
      <c r="ND22" s="184">
        <v>12.892899999999999</v>
      </c>
      <c r="NE22" s="184">
        <v>1.7277</v>
      </c>
      <c r="NF22" s="184">
        <v>0.6583</v>
      </c>
      <c r="NG22" s="162">
        <f t="shared" si="98"/>
        <v>0.53720416666666659</v>
      </c>
      <c r="NH22" s="53">
        <f t="shared" si="99"/>
        <v>37.441700000000004</v>
      </c>
      <c r="NI22" s="232">
        <f t="shared" si="127"/>
        <v>7.2299999999998477E-2</v>
      </c>
      <c r="NK22" s="250"/>
      <c r="NL22" s="250">
        <v>12</v>
      </c>
      <c r="NM22" s="34">
        <v>9983</v>
      </c>
      <c r="NN22" s="184">
        <v>12.914199999999999</v>
      </c>
      <c r="NO22" s="184">
        <v>1.7305999999999999</v>
      </c>
      <c r="NP22" s="184">
        <v>0.6593</v>
      </c>
      <c r="NQ22" s="162">
        <f t="shared" ref="NQ22:NQ81" si="133">NN22/24</f>
        <v>0.53809166666666663</v>
      </c>
      <c r="NR22" s="53">
        <f t="shared" si="101"/>
        <v>37.4407</v>
      </c>
      <c r="NS22" s="232">
        <f t="shared" si="128"/>
        <v>2.1300000000000097E-2</v>
      </c>
      <c r="NU22" s="250"/>
      <c r="NV22" s="250">
        <v>12</v>
      </c>
      <c r="NW22" s="34">
        <v>9983</v>
      </c>
      <c r="NX22" s="184">
        <v>12.947900000000001</v>
      </c>
      <c r="NY22" s="184">
        <v>1.7351000000000001</v>
      </c>
      <c r="NZ22" s="184">
        <v>0.66110000000000002</v>
      </c>
      <c r="OA22" s="162">
        <f t="shared" ref="OA22:OA81" si="134">NX22/24</f>
        <v>0.5394958333333334</v>
      </c>
      <c r="OB22" s="53">
        <f t="shared" si="103"/>
        <v>37.438900000000004</v>
      </c>
      <c r="OC22" s="232">
        <f t="shared" si="129"/>
        <v>3.3700000000001396E-2</v>
      </c>
      <c r="OE22" s="250"/>
      <c r="OF22" s="250">
        <v>12</v>
      </c>
      <c r="OG22" s="34">
        <v>9983</v>
      </c>
      <c r="OH22" s="184">
        <v>12.9648</v>
      </c>
      <c r="OI22" s="184">
        <v>1.7373000000000001</v>
      </c>
      <c r="OJ22" s="184">
        <v>0.66190000000000004</v>
      </c>
      <c r="OK22" s="162">
        <f t="shared" ref="OK22:OK81" si="135">OH22/24</f>
        <v>0.54020000000000001</v>
      </c>
      <c r="OL22" s="53">
        <f t="shared" si="105"/>
        <v>37.438099999999999</v>
      </c>
      <c r="OM22" s="232">
        <f t="shared" si="130"/>
        <v>1.6899999999999693E-2</v>
      </c>
      <c r="OP22" s="250">
        <v>12</v>
      </c>
      <c r="OQ22" s="34">
        <v>9983</v>
      </c>
      <c r="OR22" s="184">
        <f>VLOOKUP(OQ22,Sheet4!A20:F96,3,0)</f>
        <v>13.0036</v>
      </c>
      <c r="OS22" s="184">
        <f>VLOOKUP(OQ22,Sheet4!A20:F96,4,0)</f>
        <v>1.7424999999999999</v>
      </c>
      <c r="OT22" s="184">
        <f>VLOOKUP(OQ22,Sheet4!A20:F96,5,0)</f>
        <v>0.66390000000000005</v>
      </c>
      <c r="OU22" s="162">
        <f t="shared" si="106"/>
        <v>0.54181666666666672</v>
      </c>
      <c r="OV22" s="53">
        <f t="shared" si="107"/>
        <v>37.436100000000003</v>
      </c>
      <c r="OW22" s="232">
        <f t="shared" si="131"/>
        <v>3.8800000000000168E-2</v>
      </c>
    </row>
    <row r="23" spans="1:413" ht="15.75" x14ac:dyDescent="0.25">
      <c r="A23">
        <v>15</v>
      </c>
      <c r="B23" s="1">
        <v>9986</v>
      </c>
      <c r="C23" s="1" t="s">
        <v>1</v>
      </c>
      <c r="D23" s="2">
        <v>37.99</v>
      </c>
      <c r="E23" s="8"/>
      <c r="F23" s="8"/>
      <c r="G23" s="8"/>
      <c r="H23" s="8"/>
      <c r="J23" s="15">
        <v>9986</v>
      </c>
      <c r="K23" s="15">
        <v>9.2792999999999992</v>
      </c>
      <c r="L23" s="15">
        <v>1.2435</v>
      </c>
      <c r="M23" s="15">
        <v>0.4738</v>
      </c>
      <c r="N23" s="24">
        <f t="shared" si="42"/>
        <v>0.38663749999999997</v>
      </c>
      <c r="O23" s="10">
        <f t="shared" si="36"/>
        <v>37.516200000000005</v>
      </c>
      <c r="P23" s="18"/>
      <c r="R23" s="20">
        <v>9986</v>
      </c>
      <c r="S23" s="9">
        <v>9.3659999999999997</v>
      </c>
      <c r="T23" s="9">
        <v>1.2551000000000001</v>
      </c>
      <c r="U23" s="9">
        <v>0.47820000000000001</v>
      </c>
      <c r="V23" s="24">
        <f t="shared" si="43"/>
        <v>0.39024999999999999</v>
      </c>
      <c r="W23" s="10">
        <f t="shared" si="44"/>
        <v>37.511800000000001</v>
      </c>
      <c r="X23" s="18"/>
      <c r="Z23" s="27">
        <v>9986</v>
      </c>
      <c r="AA23" s="9">
        <v>9.5791000000000004</v>
      </c>
      <c r="AB23" s="9">
        <v>1.2836000000000001</v>
      </c>
      <c r="AC23" s="9">
        <v>0.48909999999999998</v>
      </c>
      <c r="AD23" s="24">
        <f t="shared" si="45"/>
        <v>0.3991291666666667</v>
      </c>
      <c r="AE23" s="10">
        <f t="shared" si="46"/>
        <v>37.500900000000001</v>
      </c>
      <c r="AF23" s="79"/>
      <c r="AG23">
        <v>15</v>
      </c>
      <c r="AH23" s="1">
        <v>9986</v>
      </c>
      <c r="AI23" s="1" t="s">
        <v>1</v>
      </c>
      <c r="AJ23" s="2">
        <v>37.99</v>
      </c>
      <c r="AL23" s="32">
        <v>9986</v>
      </c>
      <c r="AM23" s="9">
        <v>9.81</v>
      </c>
      <c r="AN23" s="9">
        <v>1.3146</v>
      </c>
      <c r="AO23" s="9">
        <v>0.50090000000000001</v>
      </c>
      <c r="AP23" s="37">
        <f t="shared" si="0"/>
        <v>0.40875</v>
      </c>
      <c r="AQ23" s="53">
        <f t="shared" si="108"/>
        <v>37.489100000000001</v>
      </c>
      <c r="AT23" s="39"/>
      <c r="AU23" s="38">
        <v>9986</v>
      </c>
      <c r="AV23" s="9">
        <v>9.9082000000000008</v>
      </c>
      <c r="AW23" s="43">
        <v>1.3277000000000001</v>
      </c>
      <c r="AX23" s="43">
        <v>0.50590000000000002</v>
      </c>
      <c r="AY23" s="47">
        <f t="shared" si="47"/>
        <v>0.41284166666666672</v>
      </c>
      <c r="AZ23" s="56">
        <f t="shared" si="109"/>
        <v>37.484100000000005</v>
      </c>
      <c r="BD23" s="54">
        <v>9986</v>
      </c>
      <c r="BE23" s="53">
        <v>9.9192999999999998</v>
      </c>
      <c r="BF23" s="58">
        <v>1.3291999999999999</v>
      </c>
      <c r="BG23" s="58">
        <v>0.50639999999999996</v>
      </c>
      <c r="BH23" s="47">
        <f t="shared" si="48"/>
        <v>0.41330416666666664</v>
      </c>
      <c r="BI23" s="56">
        <f t="shared" si="49"/>
        <v>37.483600000000003</v>
      </c>
      <c r="BJ23" s="88"/>
      <c r="BK23" s="88"/>
      <c r="BL23" s="88"/>
      <c r="BN23" s="9">
        <v>9986</v>
      </c>
      <c r="BO23" s="53">
        <v>9.9606999999999992</v>
      </c>
      <c r="BP23" s="53">
        <v>1.3348</v>
      </c>
      <c r="BQ23" s="53">
        <v>0.50849999999999995</v>
      </c>
      <c r="BR23" s="53">
        <f t="shared" si="50"/>
        <v>0.41502916666666662</v>
      </c>
      <c r="BS23" s="53">
        <f t="shared" si="51"/>
        <v>37.481500000000004</v>
      </c>
      <c r="BV23" s="88"/>
      <c r="BX23" s="93">
        <v>9986</v>
      </c>
      <c r="BY23" s="9">
        <v>10.042299999999999</v>
      </c>
      <c r="BZ23" s="9">
        <v>1.3456999999999999</v>
      </c>
      <c r="CA23" s="9">
        <v>0.51270000000000004</v>
      </c>
      <c r="CB23" s="58">
        <f t="shared" si="52"/>
        <v>0.41842916666666663</v>
      </c>
      <c r="CC23" s="53">
        <f t="shared" si="110"/>
        <v>37.4773</v>
      </c>
      <c r="CF23" s="88"/>
      <c r="CG23">
        <v>13</v>
      </c>
      <c r="CH23" s="93">
        <v>9986</v>
      </c>
      <c r="CI23" s="93">
        <v>10.112500000000001</v>
      </c>
      <c r="CJ23" s="9">
        <v>1.3551</v>
      </c>
      <c r="CK23" s="9">
        <v>0.51629999999999998</v>
      </c>
      <c r="CL23" s="47">
        <f t="shared" si="5"/>
        <v>0.4213541666666667</v>
      </c>
      <c r="CM23" s="53">
        <f t="shared" si="53"/>
        <v>37.473700000000001</v>
      </c>
      <c r="CQ23">
        <v>13</v>
      </c>
      <c r="CR23" s="98">
        <v>9986</v>
      </c>
      <c r="CS23" s="101">
        <v>10.200699999999999</v>
      </c>
      <c r="CT23" s="101">
        <v>1.3669</v>
      </c>
      <c r="CU23" s="101">
        <v>0.52080000000000004</v>
      </c>
      <c r="CV23" s="47">
        <f t="shared" si="6"/>
        <v>0.42502916666666662</v>
      </c>
      <c r="CW23" s="53">
        <f t="shared" si="37"/>
        <v>37.469200000000001</v>
      </c>
      <c r="DA23">
        <v>13</v>
      </c>
      <c r="DB23" s="106">
        <v>9986</v>
      </c>
      <c r="DC23" s="107">
        <v>10.2094</v>
      </c>
      <c r="DD23" s="107">
        <v>1.3681000000000001</v>
      </c>
      <c r="DE23" s="107">
        <v>0.5212</v>
      </c>
      <c r="DF23" s="47">
        <f t="shared" ref="DF23:DF82" si="136">DC23/24</f>
        <v>0.42539166666666667</v>
      </c>
      <c r="DG23" s="53">
        <f t="shared" si="111"/>
        <v>37.468800000000002</v>
      </c>
      <c r="DK23">
        <v>13</v>
      </c>
      <c r="DL23" s="110">
        <v>9986</v>
      </c>
      <c r="DM23" s="53">
        <v>10.3101</v>
      </c>
      <c r="DN23" s="53">
        <v>1.3815999999999999</v>
      </c>
      <c r="DO23" s="53">
        <v>0.52639999999999998</v>
      </c>
      <c r="DP23" s="47">
        <f t="shared" ref="DP23:DP82" si="137">DM23/24</f>
        <v>0.42958750000000001</v>
      </c>
      <c r="DQ23" s="53">
        <f t="shared" si="54"/>
        <v>37.4636</v>
      </c>
      <c r="DS23" s="3">
        <f t="shared" si="55"/>
        <v>0.10069999999999979</v>
      </c>
      <c r="DU23">
        <v>13</v>
      </c>
      <c r="DV23" s="115">
        <v>9986</v>
      </c>
      <c r="DW23" s="9">
        <v>10.3729</v>
      </c>
      <c r="DX23" s="9">
        <v>1.39</v>
      </c>
      <c r="DY23" s="9">
        <v>0.52959999999999996</v>
      </c>
      <c r="DZ23" s="47">
        <f t="shared" ref="DZ23:DZ82" si="138">DW23/24</f>
        <v>0.43220416666666667</v>
      </c>
      <c r="EA23" s="53">
        <f t="shared" si="112"/>
        <v>37.4604</v>
      </c>
      <c r="EB23" s="3"/>
      <c r="EE23">
        <v>13</v>
      </c>
      <c r="EF23" s="118">
        <v>9986</v>
      </c>
      <c r="EG23" s="9">
        <v>10.4709</v>
      </c>
      <c r="EH23" s="9">
        <v>1.4031</v>
      </c>
      <c r="EI23" s="9">
        <v>0.53459999999999996</v>
      </c>
      <c r="EJ23" s="47">
        <f t="shared" si="10"/>
        <v>0.43628749999999999</v>
      </c>
      <c r="EK23" s="53">
        <f t="shared" si="56"/>
        <v>37.455400000000004</v>
      </c>
      <c r="EM23" s="3">
        <f t="shared" si="57"/>
        <v>-4.9999999999954525E-3</v>
      </c>
      <c r="EN23" s="3"/>
      <c r="EO23">
        <v>13</v>
      </c>
      <c r="EP23" s="121">
        <v>9986</v>
      </c>
      <c r="EQ23" s="122">
        <v>10.665800000000001</v>
      </c>
      <c r="ER23" s="122">
        <v>1.4293</v>
      </c>
      <c r="ES23" s="129">
        <v>0.54449999999999998</v>
      </c>
      <c r="ET23" s="130">
        <f t="shared" si="11"/>
        <v>0.44440833333333335</v>
      </c>
      <c r="EU23" s="131">
        <f t="shared" si="58"/>
        <v>37.445500000000003</v>
      </c>
      <c r="EX23" s="3"/>
      <c r="EY23">
        <v>13</v>
      </c>
      <c r="EZ23" s="135">
        <v>9986</v>
      </c>
      <c r="FA23" s="135">
        <v>10.7577</v>
      </c>
      <c r="FB23" s="135">
        <v>1.4416</v>
      </c>
      <c r="FC23" s="135">
        <v>0.54920000000000002</v>
      </c>
      <c r="FD23" s="136">
        <f t="shared" si="12"/>
        <v>0.44823750000000001</v>
      </c>
      <c r="FE23" s="131">
        <f t="shared" si="59"/>
        <v>37.440800000000003</v>
      </c>
      <c r="FG23" s="123">
        <f t="shared" si="60"/>
        <v>-4.6999999999997044E-3</v>
      </c>
      <c r="FH23" s="3"/>
      <c r="FI23">
        <v>13</v>
      </c>
      <c r="FJ23" s="145">
        <v>9986</v>
      </c>
      <c r="FK23" s="9">
        <v>10.880100000000001</v>
      </c>
      <c r="FL23" s="9">
        <v>1.458</v>
      </c>
      <c r="FM23" s="9">
        <v>0.55549999999999999</v>
      </c>
      <c r="FN23" s="146">
        <f t="shared" si="113"/>
        <v>0.4533375</v>
      </c>
      <c r="FO23" s="131">
        <f t="shared" si="61"/>
        <v>37.4345</v>
      </c>
      <c r="FP23" s="123">
        <f t="shared" si="62"/>
        <v>-6.3000000000030809E-3</v>
      </c>
      <c r="FS23">
        <v>13</v>
      </c>
      <c r="FT23" s="147">
        <v>9986</v>
      </c>
      <c r="FU23" s="148">
        <v>10.9053</v>
      </c>
      <c r="FV23" s="148">
        <v>1.4614</v>
      </c>
      <c r="FW23" s="148">
        <v>0.55679999999999996</v>
      </c>
      <c r="FX23" s="150">
        <f t="shared" si="114"/>
        <v>0.4543875</v>
      </c>
      <c r="FY23" s="131">
        <f t="shared" si="115"/>
        <v>37.433199999999999</v>
      </c>
      <c r="FZ23">
        <f t="shared" si="63"/>
        <v>2.5199999999999889E-2</v>
      </c>
      <c r="GC23">
        <v>13</v>
      </c>
      <c r="GD23" s="151">
        <v>9986</v>
      </c>
      <c r="GE23" s="151">
        <v>10.967599999999999</v>
      </c>
      <c r="GF23" s="151">
        <v>1.4697</v>
      </c>
      <c r="GG23" s="151">
        <v>0.56000000000000005</v>
      </c>
      <c r="GH23" s="153">
        <f t="shared" si="132"/>
        <v>0.4569833333333333</v>
      </c>
      <c r="GI23" s="131">
        <f t="shared" si="64"/>
        <v>37.43</v>
      </c>
      <c r="GJ23">
        <f t="shared" si="38"/>
        <v>6.229999999999869E-2</v>
      </c>
      <c r="GM23">
        <v>13</v>
      </c>
      <c r="GN23" s="155">
        <v>9986</v>
      </c>
      <c r="GO23" s="155">
        <v>11.099600000000001</v>
      </c>
      <c r="GP23" s="155">
        <v>1.4874000000000001</v>
      </c>
      <c r="GQ23" s="155">
        <v>0.56669999999999998</v>
      </c>
      <c r="GR23" s="58">
        <f t="shared" si="65"/>
        <v>0.46248333333333336</v>
      </c>
      <c r="GS23" s="131">
        <f t="shared" si="66"/>
        <v>37.423300000000005</v>
      </c>
      <c r="GT23">
        <f t="shared" si="39"/>
        <v>0.13200000000000145</v>
      </c>
      <c r="GW23">
        <v>13</v>
      </c>
      <c r="GX23" s="157">
        <v>9986</v>
      </c>
      <c r="GY23" s="161">
        <f>VLOOKUP(GX23,Sheet3!$AJ$7:$AN$83,2,0)</f>
        <v>11.267200000000001</v>
      </c>
      <c r="GZ23" s="161">
        <f>VLOOKUP(GX23,Sheet3!$AJ$7:$AN$83,3,0)</f>
        <v>1.5098</v>
      </c>
      <c r="HA23" s="161">
        <f>VLOOKUP(GX23,Sheet3!$AJ$7:$AN$83,4,0)</f>
        <v>0.57530000000000003</v>
      </c>
      <c r="HB23" s="162">
        <f t="shared" si="17"/>
        <v>0.4694666666666667</v>
      </c>
      <c r="HC23" s="131">
        <f t="shared" si="116"/>
        <v>37.414700000000003</v>
      </c>
      <c r="HD23" s="159">
        <f t="shared" si="40"/>
        <v>0.16760000000000019</v>
      </c>
      <c r="HE23" s="159">
        <f t="shared" si="41"/>
        <v>8.600000000000052E-3</v>
      </c>
      <c r="HG23" s="159"/>
      <c r="HH23" s="159">
        <v>13</v>
      </c>
      <c r="HI23" s="158">
        <v>9986</v>
      </c>
      <c r="HJ23" s="161">
        <v>11.3348</v>
      </c>
      <c r="HK23" s="161">
        <v>1.5188999999999999</v>
      </c>
      <c r="HL23" s="161">
        <v>0.57869999999999999</v>
      </c>
      <c r="HM23" s="162">
        <f t="shared" si="18"/>
        <v>0.47228333333333333</v>
      </c>
      <c r="HN23" s="131">
        <f t="shared" si="67"/>
        <v>37.411300000000004</v>
      </c>
      <c r="HO23" s="159">
        <f t="shared" si="68"/>
        <v>6.7599999999998772E-2</v>
      </c>
      <c r="HQ23" s="183"/>
      <c r="HR23" s="183">
        <v>13</v>
      </c>
      <c r="HS23" s="178">
        <v>9986</v>
      </c>
      <c r="HT23" s="184">
        <v>11.3789</v>
      </c>
      <c r="HU23" s="184">
        <v>1.5247999999999999</v>
      </c>
      <c r="HV23" s="184">
        <v>0.58099999999999996</v>
      </c>
      <c r="HW23" s="171">
        <f t="shared" si="19"/>
        <v>0.47412083333333332</v>
      </c>
      <c r="HX23" s="53">
        <f t="shared" si="69"/>
        <v>37.408999999999999</v>
      </c>
      <c r="HY23" s="183">
        <f t="shared" si="70"/>
        <v>4.410000000000025E-2</v>
      </c>
      <c r="IA23" s="194"/>
      <c r="IB23" s="194">
        <v>13</v>
      </c>
      <c r="IC23" s="193">
        <v>9986</v>
      </c>
      <c r="ID23" s="161">
        <v>11.398</v>
      </c>
      <c r="IE23" s="184">
        <v>1.5274000000000001</v>
      </c>
      <c r="IF23" s="184">
        <v>0.58189999999999997</v>
      </c>
      <c r="IG23" s="171">
        <f t="shared" si="71"/>
        <v>0.47491666666666665</v>
      </c>
      <c r="IH23" s="53">
        <f t="shared" si="72"/>
        <v>37.408100000000005</v>
      </c>
      <c r="II23" s="194">
        <f t="shared" si="73"/>
        <v>1.9099999999999895E-2</v>
      </c>
      <c r="IK23" s="83"/>
      <c r="IL23" s="199">
        <v>13</v>
      </c>
      <c r="IM23" s="197">
        <v>9986</v>
      </c>
      <c r="IN23" s="161">
        <v>11.4984</v>
      </c>
      <c r="IO23" s="184">
        <v>1.5407999999999999</v>
      </c>
      <c r="IP23" s="184">
        <v>0.58709999999999996</v>
      </c>
      <c r="IQ23" s="171">
        <f t="shared" si="74"/>
        <v>0.47910000000000003</v>
      </c>
      <c r="IR23" s="53">
        <f t="shared" si="75"/>
        <v>37.402900000000002</v>
      </c>
      <c r="IS23" s="199">
        <f t="shared" si="76"/>
        <v>0.10040000000000049</v>
      </c>
      <c r="IU23" s="83"/>
      <c r="IV23" s="202">
        <v>13</v>
      </c>
      <c r="IW23" s="201">
        <v>9986</v>
      </c>
      <c r="IX23" s="184">
        <v>11.634</v>
      </c>
      <c r="IY23" s="184">
        <v>1.5589999999999999</v>
      </c>
      <c r="IZ23" s="184">
        <v>0.59399999999999997</v>
      </c>
      <c r="JA23" s="162">
        <f t="shared" si="22"/>
        <v>0.48475000000000001</v>
      </c>
      <c r="JB23" s="53">
        <f t="shared" si="77"/>
        <v>37.396000000000001</v>
      </c>
      <c r="JC23" s="202">
        <f t="shared" si="78"/>
        <v>0.13560000000000016</v>
      </c>
      <c r="JE23" s="83"/>
      <c r="JF23" s="204">
        <v>13</v>
      </c>
      <c r="JG23" s="203">
        <v>9986</v>
      </c>
      <c r="JH23" s="161">
        <v>11.677099999999999</v>
      </c>
      <c r="JI23" s="184">
        <v>1.5648</v>
      </c>
      <c r="JJ23" s="184">
        <v>0.59619999999999995</v>
      </c>
      <c r="JK23" s="162">
        <f t="shared" si="79"/>
        <v>0.48654583333333329</v>
      </c>
      <c r="JL23" s="53">
        <f t="shared" si="80"/>
        <v>37.393799999999999</v>
      </c>
      <c r="JM23" s="204">
        <f t="shared" si="117"/>
        <v>4.3099999999999028E-2</v>
      </c>
      <c r="JN23" s="204"/>
      <c r="JP23" s="209">
        <v>13</v>
      </c>
      <c r="JQ23" s="205">
        <v>9986</v>
      </c>
      <c r="JR23" s="161">
        <v>11.7118</v>
      </c>
      <c r="JS23" s="184">
        <v>1.5693999999999999</v>
      </c>
      <c r="JT23" s="184">
        <v>0.59799999999999998</v>
      </c>
      <c r="JU23" s="162">
        <f t="shared" si="81"/>
        <v>0.48799166666666666</v>
      </c>
      <c r="JV23" s="53">
        <f t="shared" si="82"/>
        <v>37.392000000000003</v>
      </c>
      <c r="JW23" s="209">
        <f t="shared" si="118"/>
        <v>3.4700000000000841E-2</v>
      </c>
      <c r="JX23" s="213"/>
      <c r="JY23" s="213"/>
      <c r="JZ23" s="213">
        <v>13</v>
      </c>
      <c r="KA23" s="206">
        <v>9986</v>
      </c>
      <c r="KB23" s="184">
        <v>11.792999999999999</v>
      </c>
      <c r="KC23" s="184">
        <v>1.5803</v>
      </c>
      <c r="KD23" s="184">
        <v>0.60209999999999997</v>
      </c>
      <c r="KE23" s="162">
        <f t="shared" si="83"/>
        <v>0.49137499999999995</v>
      </c>
      <c r="KF23" s="53">
        <f t="shared" si="84"/>
        <v>37.387900000000002</v>
      </c>
      <c r="KG23" s="213">
        <f t="shared" si="119"/>
        <v>8.1199999999999051E-2</v>
      </c>
      <c r="KI23" s="219"/>
      <c r="KJ23" s="219">
        <v>13</v>
      </c>
      <c r="KK23" s="214">
        <v>9986</v>
      </c>
      <c r="KL23" s="161">
        <v>11.8201</v>
      </c>
      <c r="KM23" s="161">
        <v>1.5839000000000001</v>
      </c>
      <c r="KN23" s="161">
        <v>0.60350000000000004</v>
      </c>
      <c r="KO23" s="162">
        <f t="shared" si="24"/>
        <v>0.49250416666666669</v>
      </c>
      <c r="KP23" s="53">
        <f t="shared" si="85"/>
        <v>37.386500000000005</v>
      </c>
      <c r="KQ23" s="219">
        <f t="shared" si="120"/>
        <v>2.710000000000079E-2</v>
      </c>
      <c r="KT23" s="223">
        <v>13</v>
      </c>
      <c r="KU23" s="216">
        <v>9986</v>
      </c>
      <c r="KV23" s="161">
        <v>11.848600000000001</v>
      </c>
      <c r="KW23" s="161">
        <v>1.5878000000000001</v>
      </c>
      <c r="KX23" s="161">
        <v>0.60489999999999999</v>
      </c>
      <c r="KY23" s="162">
        <f t="shared" si="86"/>
        <v>0.4936916666666667</v>
      </c>
      <c r="KZ23" s="53">
        <f t="shared" si="87"/>
        <v>37.385100000000001</v>
      </c>
      <c r="LA23" s="223">
        <f t="shared" si="121"/>
        <v>2.850000000000108E-2</v>
      </c>
      <c r="LD23" s="228">
        <v>13</v>
      </c>
      <c r="LE23" s="221">
        <v>9986</v>
      </c>
      <c r="LF23" s="161">
        <v>11.8725</v>
      </c>
      <c r="LG23" s="161">
        <v>1.591</v>
      </c>
      <c r="LH23" s="161">
        <v>0.60619999999999996</v>
      </c>
      <c r="LI23" s="162">
        <f t="shared" si="88"/>
        <v>0.4946875</v>
      </c>
      <c r="LJ23" s="53">
        <f t="shared" si="89"/>
        <v>37.383800000000001</v>
      </c>
      <c r="LK23" s="228">
        <f t="shared" si="122"/>
        <v>2.3899999999999366E-2</v>
      </c>
      <c r="LL23" s="231"/>
      <c r="LM23" s="231"/>
      <c r="LN23" s="231">
        <v>13</v>
      </c>
      <c r="LO23" s="226">
        <v>9986</v>
      </c>
      <c r="LP23" s="184">
        <v>11.906000000000001</v>
      </c>
      <c r="LQ23" s="184">
        <v>1.5954999999999999</v>
      </c>
      <c r="LR23" s="184">
        <v>0.6079</v>
      </c>
      <c r="LS23" s="162">
        <f t="shared" si="90"/>
        <v>0.49608333333333338</v>
      </c>
      <c r="LT23" s="53">
        <f t="shared" si="91"/>
        <v>37.382100000000001</v>
      </c>
      <c r="LU23" s="231">
        <f t="shared" si="123"/>
        <v>3.3500000000000085E-2</v>
      </c>
      <c r="LW23" s="231"/>
      <c r="LX23" s="231">
        <v>13</v>
      </c>
      <c r="LY23" s="234">
        <v>9986</v>
      </c>
      <c r="LZ23" s="184">
        <v>11.9436</v>
      </c>
      <c r="MA23" s="184">
        <v>1.6005</v>
      </c>
      <c r="MB23" s="184">
        <v>0.60980000000000001</v>
      </c>
      <c r="MC23" s="162">
        <f t="shared" si="92"/>
        <v>0.49764999999999998</v>
      </c>
      <c r="MD23" s="53">
        <f t="shared" si="93"/>
        <v>37.380200000000002</v>
      </c>
      <c r="ME23" s="231">
        <f t="shared" si="124"/>
        <v>3.7599999999999412E-2</v>
      </c>
      <c r="MF23" s="231"/>
      <c r="MG23" s="231"/>
      <c r="MH23" s="231">
        <v>13</v>
      </c>
      <c r="MI23" s="236">
        <v>9986</v>
      </c>
      <c r="MJ23" s="184">
        <v>11.980700000000001</v>
      </c>
      <c r="MK23" s="184">
        <v>1.6054999999999999</v>
      </c>
      <c r="ML23" s="184">
        <v>0.61170000000000002</v>
      </c>
      <c r="MM23" s="162">
        <f t="shared" si="94"/>
        <v>0.49919583333333334</v>
      </c>
      <c r="MN23" s="53">
        <f t="shared" si="95"/>
        <v>37.378300000000003</v>
      </c>
      <c r="MO23" s="231">
        <f t="shared" si="125"/>
        <v>3.7100000000000577E-2</v>
      </c>
      <c r="MP23" s="231"/>
      <c r="MQ23" s="231"/>
      <c r="MR23" s="231">
        <v>13</v>
      </c>
      <c r="MS23" s="34">
        <v>9986</v>
      </c>
      <c r="MT23" s="184">
        <v>12.051399999999999</v>
      </c>
      <c r="MU23" s="184">
        <v>1.6149</v>
      </c>
      <c r="MV23" s="184">
        <v>0.61529999999999996</v>
      </c>
      <c r="MW23" s="162">
        <f t="shared" si="96"/>
        <v>0.5021416666666666</v>
      </c>
      <c r="MX23" s="53">
        <f t="shared" si="97"/>
        <v>37.374700000000004</v>
      </c>
      <c r="MY23" s="231">
        <f t="shared" si="126"/>
        <v>7.0699999999998653E-2</v>
      </c>
      <c r="MZ23" s="246"/>
      <c r="NA23" s="246"/>
      <c r="NB23" s="246">
        <v>13</v>
      </c>
      <c r="NC23" s="34">
        <v>9986</v>
      </c>
      <c r="ND23" s="184">
        <v>12.123699999999999</v>
      </c>
      <c r="NE23" s="184">
        <v>1.6246</v>
      </c>
      <c r="NF23" s="184">
        <v>0.61899999999999999</v>
      </c>
      <c r="NG23" s="162">
        <f t="shared" si="98"/>
        <v>0.50515416666666668</v>
      </c>
      <c r="NH23" s="53">
        <f t="shared" si="99"/>
        <v>37.371000000000002</v>
      </c>
      <c r="NI23" s="232">
        <f t="shared" si="127"/>
        <v>7.2300000000000253E-2</v>
      </c>
      <c r="NK23" s="250"/>
      <c r="NL23" s="250">
        <v>13</v>
      </c>
      <c r="NM23" s="34">
        <v>9986</v>
      </c>
      <c r="NN23" s="184">
        <v>12.145</v>
      </c>
      <c r="NO23" s="184">
        <v>1.6274999999999999</v>
      </c>
      <c r="NP23" s="184">
        <v>0.62009999999999998</v>
      </c>
      <c r="NQ23" s="162">
        <f t="shared" si="133"/>
        <v>0.50604166666666661</v>
      </c>
      <c r="NR23" s="53">
        <f t="shared" si="101"/>
        <v>37.369900000000001</v>
      </c>
      <c r="NS23" s="232">
        <f t="shared" si="128"/>
        <v>2.1300000000000097E-2</v>
      </c>
      <c r="NU23" s="250"/>
      <c r="NV23" s="250">
        <v>13</v>
      </c>
      <c r="NW23" s="34">
        <v>9986</v>
      </c>
      <c r="NX23" s="184">
        <v>12.178699999999999</v>
      </c>
      <c r="NY23" s="184">
        <v>1.6319999999999999</v>
      </c>
      <c r="NZ23" s="184">
        <v>0.62180000000000002</v>
      </c>
      <c r="OA23" s="162">
        <f t="shared" si="134"/>
        <v>0.50744583333333326</v>
      </c>
      <c r="OB23" s="53">
        <f t="shared" si="103"/>
        <v>37.368200000000002</v>
      </c>
      <c r="OC23" s="232">
        <f t="shared" si="129"/>
        <v>3.3699999999999619E-2</v>
      </c>
      <c r="OE23" s="250"/>
      <c r="OF23" s="250">
        <v>13</v>
      </c>
      <c r="OG23" s="34">
        <v>9986</v>
      </c>
      <c r="OH23" s="184">
        <v>12.195600000000001</v>
      </c>
      <c r="OI23" s="184">
        <v>1.6343000000000001</v>
      </c>
      <c r="OJ23" s="184">
        <v>0.62270000000000003</v>
      </c>
      <c r="OK23" s="162">
        <f t="shared" si="135"/>
        <v>0.50814999999999999</v>
      </c>
      <c r="OL23" s="53">
        <f t="shared" si="105"/>
        <v>37.3673</v>
      </c>
      <c r="OM23" s="232">
        <f t="shared" si="130"/>
        <v>1.6900000000001469E-2</v>
      </c>
      <c r="OP23" s="250">
        <v>13</v>
      </c>
      <c r="OQ23" s="34">
        <v>9986</v>
      </c>
      <c r="OR23" s="184">
        <f>VLOOKUP(OQ23,Sheet4!A21:F97,3,0)</f>
        <v>12.234400000000001</v>
      </c>
      <c r="OS23" s="184">
        <f>VLOOKUP(OQ23,Sheet4!A21:F97,4,0)</f>
        <v>1.6395</v>
      </c>
      <c r="OT23" s="184">
        <f>VLOOKUP(OQ23,Sheet4!A21:F97,5,0)</f>
        <v>0.62460000000000004</v>
      </c>
      <c r="OU23" s="162">
        <f t="shared" si="106"/>
        <v>0.5097666666666667</v>
      </c>
      <c r="OV23" s="53">
        <f t="shared" si="107"/>
        <v>37.365400000000001</v>
      </c>
      <c r="OW23" s="232">
        <f t="shared" si="131"/>
        <v>3.8800000000000168E-2</v>
      </c>
    </row>
    <row r="24" spans="1:413" ht="15.75" x14ac:dyDescent="0.25">
      <c r="A24">
        <v>16</v>
      </c>
      <c r="B24" s="1">
        <v>9976</v>
      </c>
      <c r="C24" s="1" t="s">
        <v>1</v>
      </c>
      <c r="D24" s="2">
        <v>38.18</v>
      </c>
      <c r="E24" s="8"/>
      <c r="F24" s="8"/>
      <c r="G24" s="8"/>
      <c r="H24" s="8"/>
      <c r="J24" s="15">
        <v>9976</v>
      </c>
      <c r="K24" s="15">
        <v>9.4783000000000008</v>
      </c>
      <c r="L24" s="15">
        <v>1.2701</v>
      </c>
      <c r="M24" s="15">
        <v>0.4839</v>
      </c>
      <c r="N24" s="24">
        <f t="shared" si="42"/>
        <v>0.39492916666666672</v>
      </c>
      <c r="O24" s="10">
        <f t="shared" si="36"/>
        <v>37.696100000000001</v>
      </c>
      <c r="P24" s="18"/>
      <c r="R24" s="20">
        <v>9976</v>
      </c>
      <c r="S24" s="9">
        <v>9.5649999999999995</v>
      </c>
      <c r="T24" s="9">
        <v>1.2817000000000001</v>
      </c>
      <c r="U24" s="9">
        <v>0.48830000000000001</v>
      </c>
      <c r="V24" s="24">
        <f t="shared" si="43"/>
        <v>0.39854166666666663</v>
      </c>
      <c r="W24" s="10">
        <f t="shared" si="44"/>
        <v>37.691699999999997</v>
      </c>
      <c r="X24" s="18"/>
      <c r="Z24" s="27">
        <v>9976</v>
      </c>
      <c r="AA24" s="9">
        <v>9.7781000000000002</v>
      </c>
      <c r="AB24" s="9">
        <v>1.3103</v>
      </c>
      <c r="AC24" s="9">
        <v>0.49919999999999998</v>
      </c>
      <c r="AD24" s="24">
        <f t="shared" si="45"/>
        <v>0.40742083333333334</v>
      </c>
      <c r="AE24" s="10">
        <f t="shared" si="46"/>
        <v>37.680799999999998</v>
      </c>
      <c r="AF24" s="79"/>
      <c r="AG24">
        <v>16</v>
      </c>
      <c r="AH24" s="1">
        <v>9976</v>
      </c>
      <c r="AI24" s="1" t="s">
        <v>1</v>
      </c>
      <c r="AJ24" s="2">
        <v>38.18</v>
      </c>
      <c r="AL24" s="32">
        <v>9976</v>
      </c>
      <c r="AM24" s="9">
        <v>10.009</v>
      </c>
      <c r="AN24" s="9">
        <v>1.3411999999999999</v>
      </c>
      <c r="AO24" s="9">
        <v>0.51100000000000001</v>
      </c>
      <c r="AP24" s="37">
        <f t="shared" si="0"/>
        <v>0.4170416666666667</v>
      </c>
      <c r="AQ24" s="53">
        <f t="shared" si="108"/>
        <v>37.668999999999997</v>
      </c>
      <c r="AT24" s="39"/>
      <c r="AU24" s="38">
        <v>9976</v>
      </c>
      <c r="AV24" s="9">
        <v>10.107200000000001</v>
      </c>
      <c r="AW24" s="43">
        <v>1.3544</v>
      </c>
      <c r="AX24" s="43">
        <v>0.51600000000000001</v>
      </c>
      <c r="AY24" s="47">
        <f t="shared" si="47"/>
        <v>0.42113333333333336</v>
      </c>
      <c r="AZ24" s="96">
        <f t="shared" si="109"/>
        <v>37.664000000000001</v>
      </c>
      <c r="BD24" s="54">
        <v>9976</v>
      </c>
      <c r="BE24" s="53">
        <v>10.1183</v>
      </c>
      <c r="BF24" s="58">
        <v>1.3559000000000001</v>
      </c>
      <c r="BG24" s="58">
        <v>0.51659999999999995</v>
      </c>
      <c r="BH24" s="47">
        <f t="shared" si="48"/>
        <v>0.42159583333333334</v>
      </c>
      <c r="BI24" s="56">
        <f t="shared" si="49"/>
        <v>37.663400000000003</v>
      </c>
      <c r="BJ24" s="88"/>
      <c r="BK24" s="88"/>
      <c r="BL24" s="88"/>
      <c r="BN24" s="9">
        <v>9976</v>
      </c>
      <c r="BO24" s="53">
        <v>10.159700000000001</v>
      </c>
      <c r="BP24" s="53">
        <v>1.3613999999999999</v>
      </c>
      <c r="BQ24" s="53">
        <v>0.51870000000000005</v>
      </c>
      <c r="BR24" s="53">
        <f t="shared" si="50"/>
        <v>0.42332083333333337</v>
      </c>
      <c r="BS24" s="53">
        <f t="shared" si="51"/>
        <v>37.661299999999997</v>
      </c>
      <c r="BV24" s="88"/>
      <c r="BX24" s="93">
        <v>9976</v>
      </c>
      <c r="BY24" s="9">
        <v>10.241300000000001</v>
      </c>
      <c r="BZ24" s="9">
        <v>1.3724000000000001</v>
      </c>
      <c r="CA24" s="9">
        <v>0.52290000000000003</v>
      </c>
      <c r="CB24" s="58">
        <f t="shared" si="52"/>
        <v>0.42672083333333338</v>
      </c>
      <c r="CC24" s="53">
        <f t="shared" si="110"/>
        <v>37.6571</v>
      </c>
      <c r="CF24" s="88"/>
      <c r="CG24">
        <v>14</v>
      </c>
      <c r="CH24" s="93">
        <v>9976</v>
      </c>
      <c r="CI24" s="93">
        <v>10.311500000000001</v>
      </c>
      <c r="CJ24" s="9">
        <v>1.3817999999999999</v>
      </c>
      <c r="CK24" s="9">
        <v>0.52649999999999997</v>
      </c>
      <c r="CL24" s="47">
        <f t="shared" si="5"/>
        <v>0.42964583333333334</v>
      </c>
      <c r="CM24" s="53">
        <f t="shared" si="53"/>
        <v>37.653500000000001</v>
      </c>
      <c r="CQ24">
        <v>14</v>
      </c>
      <c r="CR24" s="98">
        <v>9976</v>
      </c>
      <c r="CS24" s="101">
        <v>10.399699999999999</v>
      </c>
      <c r="CT24" s="101">
        <v>1.3935999999999999</v>
      </c>
      <c r="CU24" s="101">
        <v>0.53100000000000003</v>
      </c>
      <c r="CV24" s="47">
        <f t="shared" si="6"/>
        <v>0.43332083333333332</v>
      </c>
      <c r="CW24" s="53">
        <f t="shared" si="37"/>
        <v>37.649000000000001</v>
      </c>
      <c r="DA24">
        <v>14</v>
      </c>
      <c r="DB24" s="106">
        <v>9976</v>
      </c>
      <c r="DC24" s="107">
        <v>10.4084</v>
      </c>
      <c r="DD24" s="107">
        <v>1.3948</v>
      </c>
      <c r="DE24" s="107">
        <v>0.53139999999999998</v>
      </c>
      <c r="DF24" s="47">
        <f t="shared" si="136"/>
        <v>0.43368333333333337</v>
      </c>
      <c r="DG24" s="53">
        <f t="shared" si="111"/>
        <v>37.648600000000002</v>
      </c>
      <c r="DK24">
        <v>14</v>
      </c>
      <c r="DL24" s="110">
        <v>9976</v>
      </c>
      <c r="DM24" s="53">
        <v>10.5091</v>
      </c>
      <c r="DN24" s="53">
        <v>1.4083000000000001</v>
      </c>
      <c r="DO24" s="53">
        <v>0.53649999999999998</v>
      </c>
      <c r="DP24" s="47">
        <f t="shared" si="137"/>
        <v>0.43787916666666665</v>
      </c>
      <c r="DQ24" s="53">
        <f t="shared" si="54"/>
        <v>37.643500000000003</v>
      </c>
      <c r="DS24" s="3">
        <f t="shared" si="55"/>
        <v>0.10069999999999979</v>
      </c>
      <c r="DU24">
        <v>14</v>
      </c>
      <c r="DV24" s="115">
        <v>9976</v>
      </c>
      <c r="DW24" s="9">
        <v>10.571899999999999</v>
      </c>
      <c r="DX24" s="9">
        <v>1.4167000000000001</v>
      </c>
      <c r="DY24" s="9">
        <v>0.53979999999999995</v>
      </c>
      <c r="DZ24" s="47">
        <f t="shared" si="138"/>
        <v>0.44049583333333331</v>
      </c>
      <c r="EA24" s="53">
        <f t="shared" si="112"/>
        <v>37.6402</v>
      </c>
      <c r="EB24" s="3"/>
      <c r="EE24">
        <v>14</v>
      </c>
      <c r="EF24" s="118">
        <v>9976</v>
      </c>
      <c r="EG24" s="9">
        <v>10.6699</v>
      </c>
      <c r="EH24" s="9">
        <v>1.4298</v>
      </c>
      <c r="EI24" s="9">
        <v>0.54479999999999995</v>
      </c>
      <c r="EJ24" s="47">
        <f t="shared" si="10"/>
        <v>0.44457916666666669</v>
      </c>
      <c r="EK24" s="53">
        <f t="shared" si="56"/>
        <v>37.635199999999998</v>
      </c>
      <c r="EM24" s="3">
        <f t="shared" si="57"/>
        <v>-5.000000000002558E-3</v>
      </c>
      <c r="EN24" s="3"/>
      <c r="EO24">
        <v>14</v>
      </c>
      <c r="EP24" s="121">
        <v>9976</v>
      </c>
      <c r="EQ24" s="122">
        <v>10.864800000000001</v>
      </c>
      <c r="ER24" s="122">
        <v>1.4559</v>
      </c>
      <c r="ES24" s="129">
        <v>0.55469999999999997</v>
      </c>
      <c r="ET24" s="130">
        <f t="shared" si="11"/>
        <v>0.45270000000000005</v>
      </c>
      <c r="EU24" s="131">
        <f t="shared" si="58"/>
        <v>37.625300000000003</v>
      </c>
      <c r="EX24" s="3"/>
      <c r="EY24">
        <v>14</v>
      </c>
      <c r="EZ24" s="135">
        <v>9976</v>
      </c>
      <c r="FA24" s="135">
        <v>10.9567</v>
      </c>
      <c r="FB24" s="135">
        <v>1.4681999999999999</v>
      </c>
      <c r="FC24" s="135">
        <v>0.55940000000000001</v>
      </c>
      <c r="FD24" s="136">
        <f t="shared" si="12"/>
        <v>0.45652916666666665</v>
      </c>
      <c r="FE24" s="131">
        <f t="shared" si="59"/>
        <v>37.620600000000003</v>
      </c>
      <c r="FG24" s="123">
        <f t="shared" si="60"/>
        <v>-4.6999999999997044E-3</v>
      </c>
      <c r="FH24" s="3"/>
      <c r="FI24">
        <v>14</v>
      </c>
      <c r="FJ24" s="145">
        <v>9976</v>
      </c>
      <c r="FK24" s="9">
        <v>11.0791</v>
      </c>
      <c r="FL24" s="9">
        <v>1.4845999999999999</v>
      </c>
      <c r="FM24" s="9">
        <v>0.56559999999999999</v>
      </c>
      <c r="FN24" s="146">
        <f t="shared" si="113"/>
        <v>0.4616291666666667</v>
      </c>
      <c r="FO24" s="131">
        <f t="shared" si="61"/>
        <v>37.614399999999996</v>
      </c>
      <c r="FP24" s="123">
        <f t="shared" si="62"/>
        <v>-6.2000000000068667E-3</v>
      </c>
      <c r="FS24">
        <v>14</v>
      </c>
      <c r="FT24" s="147">
        <v>9976</v>
      </c>
      <c r="FU24" s="148">
        <v>11.1043</v>
      </c>
      <c r="FV24" s="148">
        <v>1.488</v>
      </c>
      <c r="FW24" s="148">
        <v>0.56689999999999996</v>
      </c>
      <c r="FX24" s="150">
        <f t="shared" si="114"/>
        <v>0.4626791666666667</v>
      </c>
      <c r="FY24" s="131">
        <f t="shared" si="115"/>
        <v>37.613100000000003</v>
      </c>
      <c r="FZ24">
        <f t="shared" si="63"/>
        <v>2.5199999999999889E-2</v>
      </c>
      <c r="GC24">
        <v>14</v>
      </c>
      <c r="GD24" s="151">
        <v>9976</v>
      </c>
      <c r="GE24" s="151">
        <v>11.166600000000001</v>
      </c>
      <c r="GF24" s="151">
        <v>1.4964</v>
      </c>
      <c r="GG24" s="151">
        <v>0.57010000000000005</v>
      </c>
      <c r="GH24" s="153">
        <f t="shared" si="132"/>
        <v>0.46527500000000005</v>
      </c>
      <c r="GI24" s="131">
        <f t="shared" si="64"/>
        <v>37.609899999999996</v>
      </c>
      <c r="GJ24">
        <f t="shared" si="38"/>
        <v>6.2300000000000466E-2</v>
      </c>
      <c r="GM24">
        <v>14</v>
      </c>
      <c r="GN24" s="155">
        <v>9976</v>
      </c>
      <c r="GO24" s="155">
        <v>11.2986</v>
      </c>
      <c r="GP24" s="155">
        <v>1.5141</v>
      </c>
      <c r="GQ24" s="155">
        <v>0.57689999999999997</v>
      </c>
      <c r="GR24" s="58">
        <f t="shared" si="65"/>
        <v>0.470775</v>
      </c>
      <c r="GS24" s="131">
        <f t="shared" si="66"/>
        <v>37.603099999999998</v>
      </c>
      <c r="GT24">
        <f t="shared" si="39"/>
        <v>0.13199999999999967</v>
      </c>
      <c r="GW24">
        <v>14</v>
      </c>
      <c r="GX24" s="157">
        <v>9976</v>
      </c>
      <c r="GY24" s="161">
        <f>VLOOKUP(GX24,Sheet3!$AJ$7:$AN$83,2,0)</f>
        <v>11.466200000000001</v>
      </c>
      <c r="GZ24" s="161">
        <f>VLOOKUP(GX24,Sheet3!$AJ$7:$AN$83,3,0)</f>
        <v>1.5365</v>
      </c>
      <c r="HA24" s="161">
        <f>VLOOKUP(GX24,Sheet3!$AJ$7:$AN$83,4,0)</f>
        <v>0.58540000000000003</v>
      </c>
      <c r="HB24" s="162">
        <f t="shared" si="17"/>
        <v>0.47775833333333334</v>
      </c>
      <c r="HC24" s="131">
        <f t="shared" si="116"/>
        <v>37.5946</v>
      </c>
      <c r="HD24" s="159">
        <f t="shared" si="40"/>
        <v>0.16760000000000019</v>
      </c>
      <c r="HE24" s="159">
        <f t="shared" si="41"/>
        <v>8.5000000000000631E-3</v>
      </c>
      <c r="HG24" s="159"/>
      <c r="HH24" s="159">
        <v>14</v>
      </c>
      <c r="HI24" s="158">
        <v>9976</v>
      </c>
      <c r="HJ24" s="161">
        <v>11.533799999999999</v>
      </c>
      <c r="HK24" s="161">
        <v>1.5456000000000001</v>
      </c>
      <c r="HL24" s="161">
        <v>0.58889999999999998</v>
      </c>
      <c r="HM24" s="162">
        <f t="shared" si="18"/>
        <v>0.48057499999999997</v>
      </c>
      <c r="HN24" s="131">
        <f t="shared" si="67"/>
        <v>37.591099999999997</v>
      </c>
      <c r="HO24" s="159">
        <f t="shared" si="68"/>
        <v>6.7599999999998772E-2</v>
      </c>
      <c r="HQ24" s="183"/>
      <c r="HR24" s="183">
        <v>14</v>
      </c>
      <c r="HS24" s="178">
        <v>9976</v>
      </c>
      <c r="HT24" s="184">
        <v>11.5779</v>
      </c>
      <c r="HU24" s="184">
        <v>1.5515000000000001</v>
      </c>
      <c r="HV24" s="184">
        <v>0.59109999999999996</v>
      </c>
      <c r="HW24" s="171">
        <f t="shared" si="19"/>
        <v>0.48241249999999997</v>
      </c>
      <c r="HX24" s="53">
        <f t="shared" si="69"/>
        <v>37.588900000000002</v>
      </c>
      <c r="HY24" s="183">
        <f t="shared" si="70"/>
        <v>4.410000000000025E-2</v>
      </c>
      <c r="IA24" s="194"/>
      <c r="IB24" s="194">
        <v>14</v>
      </c>
      <c r="IC24" s="193">
        <v>9976</v>
      </c>
      <c r="ID24" s="161">
        <v>11.597</v>
      </c>
      <c r="IE24" s="184">
        <v>1.554</v>
      </c>
      <c r="IF24" s="184">
        <v>0.59209999999999996</v>
      </c>
      <c r="IG24" s="171">
        <f t="shared" si="71"/>
        <v>0.4832083333333333</v>
      </c>
      <c r="IH24" s="53">
        <f t="shared" si="72"/>
        <v>37.587899999999998</v>
      </c>
      <c r="II24" s="194">
        <f t="shared" si="73"/>
        <v>1.9099999999999895E-2</v>
      </c>
      <c r="IK24" s="22"/>
      <c r="IL24" s="199">
        <v>14</v>
      </c>
      <c r="IM24" s="197">
        <v>9976</v>
      </c>
      <c r="IN24" s="161">
        <v>11.6974</v>
      </c>
      <c r="IO24" s="184">
        <v>1.5674999999999999</v>
      </c>
      <c r="IP24" s="184">
        <v>0.59719999999999995</v>
      </c>
      <c r="IQ24" s="171">
        <f t="shared" si="74"/>
        <v>0.48739166666666667</v>
      </c>
      <c r="IR24" s="53">
        <f t="shared" si="75"/>
        <v>37.582799999999999</v>
      </c>
      <c r="IS24" s="199">
        <f t="shared" si="76"/>
        <v>0.10040000000000049</v>
      </c>
      <c r="IU24" s="22"/>
      <c r="IV24" s="202">
        <v>14</v>
      </c>
      <c r="IW24" s="201">
        <v>9976</v>
      </c>
      <c r="IX24" s="184">
        <v>11.833</v>
      </c>
      <c r="IY24" s="184">
        <v>1.5857000000000001</v>
      </c>
      <c r="IZ24" s="184">
        <v>0.60409999999999997</v>
      </c>
      <c r="JA24" s="162">
        <f t="shared" si="22"/>
        <v>0.49304166666666666</v>
      </c>
      <c r="JB24" s="53">
        <f t="shared" si="77"/>
        <v>37.575899999999997</v>
      </c>
      <c r="JC24" s="202">
        <f t="shared" si="78"/>
        <v>0.13560000000000016</v>
      </c>
      <c r="JE24" s="22"/>
      <c r="JF24" s="204">
        <v>14</v>
      </c>
      <c r="JG24" s="203">
        <v>9976</v>
      </c>
      <c r="JH24" s="161">
        <v>11.876099999999999</v>
      </c>
      <c r="JI24" s="184">
        <v>1.5913999999999999</v>
      </c>
      <c r="JJ24" s="184">
        <v>0.60629999999999995</v>
      </c>
      <c r="JK24" s="162">
        <f t="shared" si="79"/>
        <v>0.49483749999999999</v>
      </c>
      <c r="JL24" s="53">
        <f t="shared" si="80"/>
        <v>37.573700000000002</v>
      </c>
      <c r="JM24" s="204">
        <f t="shared" si="117"/>
        <v>4.3099999999999028E-2</v>
      </c>
      <c r="JN24" s="204"/>
      <c r="JP24" s="209">
        <v>14</v>
      </c>
      <c r="JQ24" s="205">
        <v>9976</v>
      </c>
      <c r="JR24" s="161">
        <v>11.9108</v>
      </c>
      <c r="JS24" s="184">
        <v>1.5961000000000001</v>
      </c>
      <c r="JT24" s="184">
        <v>0.60809999999999997</v>
      </c>
      <c r="JU24" s="162">
        <f t="shared" si="81"/>
        <v>0.49628333333333335</v>
      </c>
      <c r="JV24" s="53">
        <f t="shared" si="82"/>
        <v>37.571899999999999</v>
      </c>
      <c r="JW24" s="209">
        <f t="shared" si="118"/>
        <v>3.4700000000000841E-2</v>
      </c>
      <c r="JX24" s="213"/>
      <c r="JY24" s="213"/>
      <c r="JZ24" s="213">
        <v>14</v>
      </c>
      <c r="KA24" s="206">
        <v>9976</v>
      </c>
      <c r="KB24" s="184">
        <v>11.992000000000001</v>
      </c>
      <c r="KC24" s="184">
        <v>1.607</v>
      </c>
      <c r="KD24" s="184">
        <v>0.61229999999999996</v>
      </c>
      <c r="KE24" s="162">
        <f t="shared" si="83"/>
        <v>0.4996666666666667</v>
      </c>
      <c r="KF24" s="53">
        <f t="shared" si="84"/>
        <v>37.567700000000002</v>
      </c>
      <c r="KG24" s="213">
        <f t="shared" si="119"/>
        <v>8.1200000000000827E-2</v>
      </c>
      <c r="KI24" s="219"/>
      <c r="KJ24" s="219">
        <v>14</v>
      </c>
      <c r="KK24" s="214">
        <v>9976</v>
      </c>
      <c r="KL24" s="161">
        <v>12.0191</v>
      </c>
      <c r="KM24" s="161">
        <v>1.6106</v>
      </c>
      <c r="KN24" s="161">
        <v>0.61360000000000003</v>
      </c>
      <c r="KO24" s="162">
        <f t="shared" si="24"/>
        <v>0.50079583333333333</v>
      </c>
      <c r="KP24" s="53">
        <f t="shared" si="85"/>
        <v>37.566400000000002</v>
      </c>
      <c r="KQ24" s="219">
        <f t="shared" si="120"/>
        <v>2.7099999999999014E-2</v>
      </c>
      <c r="KT24" s="223">
        <v>14</v>
      </c>
      <c r="KU24" s="216">
        <v>9976</v>
      </c>
      <c r="KV24" s="161">
        <v>12.047599999999999</v>
      </c>
      <c r="KW24" s="161">
        <v>1.6143999999999998</v>
      </c>
      <c r="KX24" s="161">
        <v>0.61509999999999998</v>
      </c>
      <c r="KY24" s="162">
        <f t="shared" si="86"/>
        <v>0.50198333333333334</v>
      </c>
      <c r="KZ24" s="53">
        <f t="shared" si="87"/>
        <v>37.564900000000002</v>
      </c>
      <c r="LA24" s="223">
        <f t="shared" si="121"/>
        <v>2.8499999999999304E-2</v>
      </c>
      <c r="LD24" s="228">
        <v>14</v>
      </c>
      <c r="LE24" s="221">
        <v>9976</v>
      </c>
      <c r="LF24" s="161">
        <v>12.0715</v>
      </c>
      <c r="LG24" s="161">
        <v>1.6175999999999999</v>
      </c>
      <c r="LH24" s="161">
        <v>0.61629999999999996</v>
      </c>
      <c r="LI24" s="162">
        <f t="shared" si="88"/>
        <v>0.50297916666666664</v>
      </c>
      <c r="LJ24" s="53">
        <f t="shared" si="89"/>
        <v>37.563699999999997</v>
      </c>
      <c r="LK24" s="228">
        <f t="shared" si="122"/>
        <v>2.3900000000001143E-2</v>
      </c>
      <c r="LL24" s="231"/>
      <c r="LM24" s="231"/>
      <c r="LN24" s="231">
        <v>14</v>
      </c>
      <c r="LO24" s="226">
        <v>9976</v>
      </c>
      <c r="LP24" s="184">
        <v>12.105</v>
      </c>
      <c r="LQ24" s="184">
        <v>1.6221000000000001</v>
      </c>
      <c r="LR24" s="184">
        <v>0.61799999999999999</v>
      </c>
      <c r="LS24" s="162">
        <f t="shared" si="90"/>
        <v>0.50437500000000002</v>
      </c>
      <c r="LT24" s="53">
        <f t="shared" si="91"/>
        <v>37.561999999999998</v>
      </c>
      <c r="LU24" s="231">
        <f t="shared" si="123"/>
        <v>3.3500000000000085E-2</v>
      </c>
      <c r="LW24" s="231"/>
      <c r="LX24" s="231">
        <v>14</v>
      </c>
      <c r="LY24" s="234">
        <v>9976</v>
      </c>
      <c r="LZ24" s="184">
        <v>12.1426</v>
      </c>
      <c r="MA24" s="184">
        <v>1.6272</v>
      </c>
      <c r="MB24" s="184">
        <v>0.61990000000000001</v>
      </c>
      <c r="MC24" s="162">
        <f t="shared" si="92"/>
        <v>0.50594166666666662</v>
      </c>
      <c r="MD24" s="53">
        <f t="shared" si="93"/>
        <v>37.560099999999998</v>
      </c>
      <c r="ME24" s="231">
        <f t="shared" si="124"/>
        <v>3.7599999999999412E-2</v>
      </c>
      <c r="MF24" s="231"/>
      <c r="MG24" s="231"/>
      <c r="MH24" s="231">
        <v>14</v>
      </c>
      <c r="MI24" s="236">
        <v>9976</v>
      </c>
      <c r="MJ24" s="184">
        <v>12.1797</v>
      </c>
      <c r="MK24" s="184">
        <v>1.6321000000000001</v>
      </c>
      <c r="ML24" s="184">
        <v>0.62180000000000002</v>
      </c>
      <c r="MM24" s="162">
        <f t="shared" si="94"/>
        <v>0.50748749999999998</v>
      </c>
      <c r="MN24" s="53">
        <f t="shared" si="95"/>
        <v>37.558199999999999</v>
      </c>
      <c r="MO24" s="231">
        <f t="shared" si="125"/>
        <v>3.7100000000000577E-2</v>
      </c>
      <c r="MP24" s="231"/>
      <c r="MQ24" s="231"/>
      <c r="MR24" s="231">
        <v>14</v>
      </c>
      <c r="MS24" s="34">
        <v>9976</v>
      </c>
      <c r="MT24" s="184">
        <v>12.250400000000001</v>
      </c>
      <c r="MU24" s="184">
        <v>1.6415999999999999</v>
      </c>
      <c r="MV24" s="184">
        <v>0.62549999999999994</v>
      </c>
      <c r="MW24" s="162">
        <f t="shared" si="96"/>
        <v>0.51043333333333341</v>
      </c>
      <c r="MX24" s="53">
        <f t="shared" si="97"/>
        <v>37.554499999999997</v>
      </c>
      <c r="MY24" s="231">
        <f t="shared" si="126"/>
        <v>7.0700000000000429E-2</v>
      </c>
      <c r="MZ24" s="246"/>
      <c r="NA24" s="246"/>
      <c r="NB24" s="246">
        <v>14</v>
      </c>
      <c r="NC24" s="34">
        <v>9976</v>
      </c>
      <c r="ND24" s="184">
        <v>12.322699999999999</v>
      </c>
      <c r="NE24" s="184">
        <v>1.6513</v>
      </c>
      <c r="NF24" s="184">
        <v>0.62909999999999999</v>
      </c>
      <c r="NG24" s="162">
        <f t="shared" si="98"/>
        <v>0.51344583333333327</v>
      </c>
      <c r="NH24" s="53">
        <f t="shared" si="99"/>
        <v>37.550899999999999</v>
      </c>
      <c r="NI24" s="232">
        <f t="shared" si="127"/>
        <v>7.2299999999998477E-2</v>
      </c>
      <c r="NK24" s="250"/>
      <c r="NL24" s="250">
        <v>14</v>
      </c>
      <c r="NM24" s="34">
        <v>9976</v>
      </c>
      <c r="NN24" s="184">
        <v>12.343999999999999</v>
      </c>
      <c r="NO24" s="184">
        <v>1.6540999999999999</v>
      </c>
      <c r="NP24" s="184">
        <v>0.63019999999999998</v>
      </c>
      <c r="NQ24" s="162">
        <f t="shared" si="133"/>
        <v>0.51433333333333331</v>
      </c>
      <c r="NR24" s="53">
        <f t="shared" si="101"/>
        <v>37.549799999999998</v>
      </c>
      <c r="NS24" s="232">
        <f t="shared" si="128"/>
        <v>2.1300000000000097E-2</v>
      </c>
      <c r="NU24" s="250"/>
      <c r="NV24" s="250">
        <v>14</v>
      </c>
      <c r="NW24" s="34">
        <v>9976</v>
      </c>
      <c r="NX24" s="184">
        <v>12.377700000000001</v>
      </c>
      <c r="NY24" s="184">
        <v>1.6587000000000001</v>
      </c>
      <c r="NZ24" s="184">
        <v>0.63190000000000002</v>
      </c>
      <c r="OA24" s="162">
        <f t="shared" si="134"/>
        <v>0.51573750000000007</v>
      </c>
      <c r="OB24" s="53">
        <f t="shared" si="103"/>
        <v>37.548099999999998</v>
      </c>
      <c r="OC24" s="232">
        <f t="shared" si="129"/>
        <v>3.3700000000001396E-2</v>
      </c>
      <c r="OE24" s="250"/>
      <c r="OF24" s="250">
        <v>14</v>
      </c>
      <c r="OG24" s="34">
        <v>9976</v>
      </c>
      <c r="OH24" s="184">
        <v>12.394600000000001</v>
      </c>
      <c r="OI24" s="184">
        <v>1.6609</v>
      </c>
      <c r="OJ24" s="184">
        <v>0.63280000000000003</v>
      </c>
      <c r="OK24" s="162">
        <f t="shared" si="135"/>
        <v>0.51644166666666669</v>
      </c>
      <c r="OL24" s="53">
        <f t="shared" si="105"/>
        <v>37.547199999999997</v>
      </c>
      <c r="OM24" s="232">
        <f t="shared" si="130"/>
        <v>1.6899999999999693E-2</v>
      </c>
      <c r="OP24" s="250">
        <v>14</v>
      </c>
      <c r="OQ24" s="34">
        <v>9976</v>
      </c>
      <c r="OR24" s="184">
        <f>VLOOKUP(OQ24,Sheet4!A22:F98,3,0)</f>
        <v>12.433400000000001</v>
      </c>
      <c r="OS24" s="184">
        <f>VLOOKUP(OQ24,Sheet4!A22:F98,4,0)</f>
        <v>1.6660999999999999</v>
      </c>
      <c r="OT24" s="184">
        <f>VLOOKUP(OQ24,Sheet4!A22:F98,5,0)</f>
        <v>0.63480000000000003</v>
      </c>
      <c r="OU24" s="162">
        <f t="shared" si="106"/>
        <v>0.5180583333333334</v>
      </c>
      <c r="OV24" s="53">
        <f t="shared" si="107"/>
        <v>37.545200000000001</v>
      </c>
      <c r="OW24" s="232">
        <f t="shared" si="131"/>
        <v>3.8800000000000168E-2</v>
      </c>
    </row>
    <row r="25" spans="1:413" ht="15.75" x14ac:dyDescent="0.25">
      <c r="A25">
        <v>17</v>
      </c>
      <c r="B25" s="1">
        <v>9598</v>
      </c>
      <c r="C25" s="1" t="s">
        <v>1</v>
      </c>
      <c r="D25" s="2">
        <v>38.21</v>
      </c>
      <c r="E25" s="8"/>
      <c r="F25" s="8"/>
      <c r="G25" s="8"/>
      <c r="H25" s="8"/>
      <c r="J25" s="15">
        <v>9598</v>
      </c>
      <c r="K25" s="15">
        <v>13.210699999999999</v>
      </c>
      <c r="L25" s="15">
        <v>1.7703</v>
      </c>
      <c r="M25" s="15">
        <v>0.67449999999999999</v>
      </c>
      <c r="N25" s="24">
        <f t="shared" si="42"/>
        <v>0.5504458333333333</v>
      </c>
      <c r="O25" s="10">
        <f t="shared" si="36"/>
        <v>37.535499999999999</v>
      </c>
      <c r="P25" s="18"/>
      <c r="R25" s="20">
        <v>9598</v>
      </c>
      <c r="S25" s="9">
        <v>13.2974</v>
      </c>
      <c r="T25" s="9">
        <v>1.7819</v>
      </c>
      <c r="U25" s="9">
        <v>0.67889999999999995</v>
      </c>
      <c r="V25" s="24">
        <f t="shared" si="43"/>
        <v>0.55405833333333332</v>
      </c>
      <c r="W25" s="10">
        <f t="shared" si="44"/>
        <v>37.531100000000002</v>
      </c>
      <c r="X25" s="18"/>
      <c r="Z25" s="27">
        <v>9598</v>
      </c>
      <c r="AA25" s="9">
        <v>13.5105</v>
      </c>
      <c r="AB25" s="9">
        <v>1.8105</v>
      </c>
      <c r="AC25" s="9">
        <v>0.68979999999999997</v>
      </c>
      <c r="AD25" s="24">
        <f t="shared" si="45"/>
        <v>0.56293749999999998</v>
      </c>
      <c r="AE25" s="10">
        <f t="shared" si="46"/>
        <v>37.520200000000003</v>
      </c>
      <c r="AF25" s="79"/>
      <c r="AG25">
        <v>17</v>
      </c>
      <c r="AH25" s="1">
        <v>9598</v>
      </c>
      <c r="AI25" s="1" t="s">
        <v>1</v>
      </c>
      <c r="AJ25" s="2">
        <v>38.21</v>
      </c>
      <c r="AL25" s="32">
        <v>9598</v>
      </c>
      <c r="AM25" s="9">
        <v>13.741400000000001</v>
      </c>
      <c r="AN25" s="9">
        <v>1.8413999999999999</v>
      </c>
      <c r="AO25" s="9">
        <v>0.7016</v>
      </c>
      <c r="AP25" s="37">
        <f t="shared" si="0"/>
        <v>0.57255833333333339</v>
      </c>
      <c r="AQ25" s="53">
        <f t="shared" si="108"/>
        <v>37.508400000000002</v>
      </c>
      <c r="AT25" s="39"/>
      <c r="AU25" s="38">
        <v>9598</v>
      </c>
      <c r="AV25" s="9">
        <v>13.839600000000001</v>
      </c>
      <c r="AW25" s="43">
        <v>1.8546</v>
      </c>
      <c r="AX25" s="43">
        <v>0.70660000000000001</v>
      </c>
      <c r="AY25" s="47">
        <f t="shared" si="47"/>
        <v>0.57665</v>
      </c>
      <c r="AZ25" s="56">
        <f t="shared" si="109"/>
        <v>37.503399999999999</v>
      </c>
      <c r="BD25" s="54">
        <v>9598</v>
      </c>
      <c r="BE25" s="53">
        <v>13.8507</v>
      </c>
      <c r="BF25" s="58">
        <v>1.8560000000000001</v>
      </c>
      <c r="BG25" s="58">
        <v>0.70720000000000005</v>
      </c>
      <c r="BH25" s="47">
        <f t="shared" si="48"/>
        <v>0.57711250000000003</v>
      </c>
      <c r="BI25" s="56">
        <f t="shared" si="49"/>
        <v>37.502800000000001</v>
      </c>
      <c r="BJ25" s="88"/>
      <c r="BK25" s="88"/>
      <c r="BL25" s="88"/>
      <c r="BN25" s="9">
        <v>9598</v>
      </c>
      <c r="BO25" s="53">
        <v>13.892099999999999</v>
      </c>
      <c r="BP25" s="53">
        <v>1.8615999999999999</v>
      </c>
      <c r="BQ25" s="53">
        <v>0.70930000000000004</v>
      </c>
      <c r="BR25" s="53">
        <f t="shared" si="50"/>
        <v>0.5788375</v>
      </c>
      <c r="BS25" s="53">
        <f t="shared" si="51"/>
        <v>37.500700000000002</v>
      </c>
      <c r="BV25" s="88"/>
      <c r="BX25" s="93">
        <v>9598</v>
      </c>
      <c r="BY25" s="9">
        <v>13.973699999999999</v>
      </c>
      <c r="BZ25" s="9">
        <v>1.8725000000000001</v>
      </c>
      <c r="CA25" s="9">
        <v>0.71340000000000003</v>
      </c>
      <c r="CB25" s="58">
        <f t="shared" si="52"/>
        <v>0.58223749999999996</v>
      </c>
      <c r="CC25" s="53">
        <f t="shared" si="110"/>
        <v>37.496600000000001</v>
      </c>
      <c r="CF25" s="88"/>
      <c r="CG25">
        <v>15</v>
      </c>
      <c r="CH25" s="93">
        <v>9598</v>
      </c>
      <c r="CI25" s="93">
        <v>14.043900000000001</v>
      </c>
      <c r="CJ25" s="9">
        <v>1.8818999999999999</v>
      </c>
      <c r="CK25" s="9">
        <v>0.71699999999999997</v>
      </c>
      <c r="CL25" s="47">
        <f t="shared" si="5"/>
        <v>0.58516250000000003</v>
      </c>
      <c r="CM25" s="53">
        <f t="shared" si="53"/>
        <v>37.493000000000002</v>
      </c>
      <c r="CQ25">
        <v>15</v>
      </c>
      <c r="CR25" s="98">
        <v>9598</v>
      </c>
      <c r="CS25" s="101">
        <v>14.132099999999999</v>
      </c>
      <c r="CT25" s="101">
        <v>1.8937999999999999</v>
      </c>
      <c r="CU25" s="101">
        <v>0.72150000000000003</v>
      </c>
      <c r="CV25" s="47">
        <f t="shared" si="6"/>
        <v>0.58883750000000001</v>
      </c>
      <c r="CW25" s="53">
        <f t="shared" si="37"/>
        <v>37.488500000000002</v>
      </c>
      <c r="DA25">
        <v>15</v>
      </c>
      <c r="DB25" s="106">
        <v>9598</v>
      </c>
      <c r="DC25" s="107">
        <v>14.1408</v>
      </c>
      <c r="DD25" s="107">
        <v>1.8949</v>
      </c>
      <c r="DE25" s="107">
        <v>0.72199999999999998</v>
      </c>
      <c r="DF25" s="47">
        <f t="shared" si="136"/>
        <v>0.58920000000000006</v>
      </c>
      <c r="DG25" s="53">
        <f t="shared" si="111"/>
        <v>37.488</v>
      </c>
      <c r="DK25">
        <v>15</v>
      </c>
      <c r="DL25" s="110">
        <v>9598</v>
      </c>
      <c r="DM25" s="53">
        <v>14.2415</v>
      </c>
      <c r="DN25" s="53">
        <v>1.9084000000000001</v>
      </c>
      <c r="DO25" s="53">
        <v>0.72709999999999997</v>
      </c>
      <c r="DP25" s="47">
        <f t="shared" si="137"/>
        <v>0.59339583333333334</v>
      </c>
      <c r="DQ25" s="53">
        <f t="shared" si="54"/>
        <v>37.482900000000001</v>
      </c>
      <c r="DS25" s="3">
        <f t="shared" si="55"/>
        <v>0.10069999999999979</v>
      </c>
      <c r="DU25">
        <v>15</v>
      </c>
      <c r="DV25" s="115">
        <v>9598</v>
      </c>
      <c r="DW25" s="9">
        <v>14.3043</v>
      </c>
      <c r="DX25" s="9">
        <v>1.9168000000000001</v>
      </c>
      <c r="DY25" s="9">
        <v>0.73029999999999995</v>
      </c>
      <c r="DZ25" s="47">
        <f t="shared" si="138"/>
        <v>0.59601249999999995</v>
      </c>
      <c r="EA25" s="53">
        <f t="shared" si="112"/>
        <v>37.479700000000001</v>
      </c>
      <c r="EB25" s="3"/>
      <c r="EE25">
        <v>15</v>
      </c>
      <c r="EF25" s="118">
        <v>9598</v>
      </c>
      <c r="EG25" s="9">
        <v>14.4023</v>
      </c>
      <c r="EH25" s="9">
        <v>1.93</v>
      </c>
      <c r="EI25" s="9">
        <v>0.73529999999999995</v>
      </c>
      <c r="EJ25" s="47">
        <f t="shared" si="10"/>
        <v>0.60009583333333338</v>
      </c>
      <c r="EK25" s="53">
        <f t="shared" si="56"/>
        <v>37.474699999999999</v>
      </c>
      <c r="EM25" s="3">
        <f t="shared" si="57"/>
        <v>-5.000000000002558E-3</v>
      </c>
      <c r="EN25" s="3"/>
      <c r="EO25">
        <v>15</v>
      </c>
      <c r="EP25" s="121">
        <v>9598</v>
      </c>
      <c r="EQ25" s="122">
        <v>14.597200000000001</v>
      </c>
      <c r="ER25" s="122">
        <v>1.9560999999999999</v>
      </c>
      <c r="ES25" s="129">
        <v>0.74529999999999996</v>
      </c>
      <c r="ET25" s="130">
        <f t="shared" si="11"/>
        <v>0.60821666666666674</v>
      </c>
      <c r="EU25" s="131">
        <f t="shared" si="58"/>
        <v>37.464700000000001</v>
      </c>
      <c r="EX25" s="3"/>
      <c r="EY25">
        <v>15</v>
      </c>
      <c r="EZ25" s="135">
        <v>9598</v>
      </c>
      <c r="FA25" s="135">
        <v>14.6891</v>
      </c>
      <c r="FB25" s="135">
        <v>1.9683999999999999</v>
      </c>
      <c r="FC25" s="135">
        <v>0.75</v>
      </c>
      <c r="FD25" s="136">
        <f t="shared" si="12"/>
        <v>0.61204583333333329</v>
      </c>
      <c r="FE25" s="131">
        <f t="shared" si="59"/>
        <v>37.46</v>
      </c>
      <c r="FG25" s="123">
        <f t="shared" si="60"/>
        <v>-4.6999999999997044E-3</v>
      </c>
      <c r="FH25" s="3"/>
      <c r="FI25">
        <v>15</v>
      </c>
      <c r="FJ25" s="145">
        <v>9598</v>
      </c>
      <c r="FK25" s="9">
        <v>14.811500000000001</v>
      </c>
      <c r="FL25" s="9">
        <v>1.9847999999999999</v>
      </c>
      <c r="FM25" s="9">
        <v>0.75619999999999998</v>
      </c>
      <c r="FN25" s="146">
        <f t="shared" si="113"/>
        <v>0.61714583333333339</v>
      </c>
      <c r="FO25" s="131">
        <f t="shared" si="61"/>
        <v>37.453800000000001</v>
      </c>
      <c r="FP25" s="123">
        <f t="shared" si="62"/>
        <v>-6.1999999999997613E-3</v>
      </c>
      <c r="FS25">
        <v>15</v>
      </c>
      <c r="FT25" s="147">
        <v>9598</v>
      </c>
      <c r="FU25" s="148">
        <v>14.8367</v>
      </c>
      <c r="FV25" s="148">
        <v>1.9882</v>
      </c>
      <c r="FW25" s="148">
        <v>0.75749999999999995</v>
      </c>
      <c r="FX25" s="150">
        <f t="shared" si="114"/>
        <v>0.61819583333333339</v>
      </c>
      <c r="FY25" s="131">
        <f t="shared" si="115"/>
        <v>37.452500000000001</v>
      </c>
      <c r="FZ25">
        <f t="shared" si="63"/>
        <v>2.5199999999999889E-2</v>
      </c>
      <c r="GC25">
        <v>15</v>
      </c>
      <c r="GD25" s="151">
        <v>9598</v>
      </c>
      <c r="GE25" s="151">
        <v>14.898999999999999</v>
      </c>
      <c r="GF25" s="151">
        <v>1.9964999999999999</v>
      </c>
      <c r="GG25" s="151">
        <v>0.76070000000000004</v>
      </c>
      <c r="GH25" s="153">
        <f t="shared" si="132"/>
        <v>0.62079166666666663</v>
      </c>
      <c r="GI25" s="131">
        <f t="shared" si="64"/>
        <v>37.449300000000001</v>
      </c>
      <c r="GJ25">
        <f t="shared" si="38"/>
        <v>6.229999999999869E-2</v>
      </c>
      <c r="GM25">
        <v>15</v>
      </c>
      <c r="GN25" s="155">
        <v>9598</v>
      </c>
      <c r="GO25" s="155">
        <v>15.031000000000001</v>
      </c>
      <c r="GP25" s="155">
        <v>2.0142000000000002</v>
      </c>
      <c r="GQ25" s="155">
        <v>0.76739999999999997</v>
      </c>
      <c r="GR25" s="58">
        <f t="shared" si="65"/>
        <v>0.62629166666666669</v>
      </c>
      <c r="GS25" s="131">
        <f t="shared" si="66"/>
        <v>37.442599999999999</v>
      </c>
      <c r="GT25">
        <f t="shared" si="39"/>
        <v>0.13200000000000145</v>
      </c>
      <c r="GW25">
        <v>15</v>
      </c>
      <c r="GX25" s="157">
        <v>9598</v>
      </c>
      <c r="GY25" s="161">
        <f>VLOOKUP(GX25,Sheet3!$AJ$7:$AN$83,2,0)</f>
        <v>15.198600000000001</v>
      </c>
      <c r="GZ25" s="161">
        <f>VLOOKUP(GX25,Sheet3!$AJ$7:$AN$83,3,0)</f>
        <v>2.0367000000000002</v>
      </c>
      <c r="HA25" s="161">
        <f>VLOOKUP(GX25,Sheet3!$AJ$7:$AN$83,4,0)</f>
        <v>0.77600000000000002</v>
      </c>
      <c r="HB25" s="162">
        <f t="shared" si="17"/>
        <v>0.63327500000000003</v>
      </c>
      <c r="HC25" s="131">
        <f t="shared" si="116"/>
        <v>37.433999999999997</v>
      </c>
      <c r="HD25" s="159">
        <f t="shared" si="40"/>
        <v>0.16760000000000019</v>
      </c>
      <c r="HE25" s="159">
        <f t="shared" si="41"/>
        <v>8.600000000000052E-3</v>
      </c>
      <c r="HG25" s="159"/>
      <c r="HH25" s="159">
        <v>15</v>
      </c>
      <c r="HI25" s="158">
        <v>9598</v>
      </c>
      <c r="HJ25" s="161">
        <v>15.2662</v>
      </c>
      <c r="HK25" s="161">
        <v>2.0457000000000001</v>
      </c>
      <c r="HL25" s="161">
        <v>0.77939999999999998</v>
      </c>
      <c r="HM25" s="162">
        <f t="shared" si="18"/>
        <v>0.63609166666666661</v>
      </c>
      <c r="HN25" s="131">
        <f t="shared" si="67"/>
        <v>37.430599999999998</v>
      </c>
      <c r="HO25" s="159">
        <f t="shared" si="68"/>
        <v>6.7599999999998772E-2</v>
      </c>
      <c r="HQ25" s="183"/>
      <c r="HR25" s="183">
        <v>15</v>
      </c>
      <c r="HS25" s="178">
        <v>9598</v>
      </c>
      <c r="HT25" s="184">
        <v>15.3103</v>
      </c>
      <c r="HU25" s="184">
        <v>2.0516000000000001</v>
      </c>
      <c r="HV25" s="184">
        <v>0.78169999999999995</v>
      </c>
      <c r="HW25" s="171">
        <f t="shared" si="19"/>
        <v>0.63792916666666666</v>
      </c>
      <c r="HX25" s="53">
        <f t="shared" si="69"/>
        <v>37.4283</v>
      </c>
      <c r="HY25" s="183">
        <f t="shared" si="70"/>
        <v>4.410000000000025E-2</v>
      </c>
      <c r="IA25" s="194"/>
      <c r="IB25" s="194">
        <v>15</v>
      </c>
      <c r="IC25" s="193">
        <v>9598</v>
      </c>
      <c r="ID25" s="161">
        <v>15.3294</v>
      </c>
      <c r="IE25" s="184">
        <v>2.0541999999999998</v>
      </c>
      <c r="IF25" s="184">
        <v>0.78259999999999996</v>
      </c>
      <c r="IG25" s="171">
        <f t="shared" si="71"/>
        <v>0.63872499999999999</v>
      </c>
      <c r="IH25" s="53">
        <f t="shared" si="72"/>
        <v>37.427399999999999</v>
      </c>
      <c r="II25" s="194">
        <f t="shared" si="73"/>
        <v>1.9099999999999895E-2</v>
      </c>
      <c r="IK25" s="22"/>
      <c r="IL25" s="199">
        <v>15</v>
      </c>
      <c r="IM25" s="197">
        <v>9598</v>
      </c>
      <c r="IN25" s="161">
        <v>15.4298</v>
      </c>
      <c r="IO25" s="184">
        <v>2.0676999999999999</v>
      </c>
      <c r="IP25" s="184">
        <v>0.78779999999999994</v>
      </c>
      <c r="IQ25" s="171">
        <f t="shared" si="74"/>
        <v>0.6429083333333333</v>
      </c>
      <c r="IR25" s="53">
        <f t="shared" si="75"/>
        <v>37.422200000000004</v>
      </c>
      <c r="IS25" s="199">
        <f t="shared" si="76"/>
        <v>0.10040000000000049</v>
      </c>
      <c r="IU25" s="22"/>
      <c r="IV25" s="202">
        <v>15</v>
      </c>
      <c r="IW25" s="201">
        <v>9598</v>
      </c>
      <c r="IX25" s="184">
        <v>15.5654</v>
      </c>
      <c r="IY25" s="184">
        <v>2.0857999999999999</v>
      </c>
      <c r="IZ25" s="184">
        <v>0.79469999999999996</v>
      </c>
      <c r="JA25" s="162">
        <f t="shared" si="22"/>
        <v>0.64855833333333335</v>
      </c>
      <c r="JB25" s="53">
        <f t="shared" si="77"/>
        <v>37.415300000000002</v>
      </c>
      <c r="JC25" s="202">
        <f t="shared" si="78"/>
        <v>0.13560000000000016</v>
      </c>
      <c r="JE25" s="22"/>
      <c r="JF25" s="204">
        <v>15</v>
      </c>
      <c r="JG25" s="203">
        <v>9598</v>
      </c>
      <c r="JH25" s="161">
        <v>15.608499999999999</v>
      </c>
      <c r="JI25" s="184">
        <v>2.0916000000000001</v>
      </c>
      <c r="JJ25" s="184">
        <v>0.79690000000000005</v>
      </c>
      <c r="JK25" s="162">
        <f t="shared" si="79"/>
        <v>0.65035416666666668</v>
      </c>
      <c r="JL25" s="53">
        <f t="shared" si="80"/>
        <v>37.4131</v>
      </c>
      <c r="JM25" s="204">
        <f t="shared" si="117"/>
        <v>4.3099999999999028E-2</v>
      </c>
      <c r="JN25" s="204"/>
      <c r="JP25" s="209">
        <v>15</v>
      </c>
      <c r="JQ25" s="205">
        <v>9598</v>
      </c>
      <c r="JR25" s="161">
        <v>15.6432</v>
      </c>
      <c r="JS25" s="184">
        <v>2.0962000000000001</v>
      </c>
      <c r="JT25" s="184">
        <v>0.79869999999999997</v>
      </c>
      <c r="JU25" s="162">
        <f t="shared" si="81"/>
        <v>0.65180000000000005</v>
      </c>
      <c r="JV25" s="53">
        <f t="shared" si="82"/>
        <v>37.411300000000004</v>
      </c>
      <c r="JW25" s="209">
        <f t="shared" si="118"/>
        <v>3.4700000000000841E-2</v>
      </c>
      <c r="JX25" s="213"/>
      <c r="JY25" s="213"/>
      <c r="JZ25" s="213">
        <v>15</v>
      </c>
      <c r="KA25" s="206">
        <v>9598</v>
      </c>
      <c r="KB25" s="184">
        <v>15.724399999999999</v>
      </c>
      <c r="KC25" s="184">
        <v>2.1071</v>
      </c>
      <c r="KD25" s="184">
        <v>0.80279999999999996</v>
      </c>
      <c r="KE25" s="162">
        <f t="shared" si="83"/>
        <v>0.65518333333333334</v>
      </c>
      <c r="KF25" s="53">
        <f t="shared" si="84"/>
        <v>37.407200000000003</v>
      </c>
      <c r="KG25" s="213">
        <f t="shared" si="119"/>
        <v>8.1199999999999051E-2</v>
      </c>
      <c r="KI25" s="219"/>
      <c r="KJ25" s="219">
        <v>15</v>
      </c>
      <c r="KK25" s="214">
        <v>9598</v>
      </c>
      <c r="KL25" s="161">
        <v>15.7515</v>
      </c>
      <c r="KM25" s="161">
        <v>2.1107999999999998</v>
      </c>
      <c r="KN25" s="161">
        <v>0.80420000000000003</v>
      </c>
      <c r="KO25" s="162">
        <f t="shared" si="24"/>
        <v>0.65631249999999997</v>
      </c>
      <c r="KP25" s="53">
        <f t="shared" si="85"/>
        <v>37.405799999999999</v>
      </c>
      <c r="KQ25" s="219">
        <f t="shared" si="120"/>
        <v>2.710000000000079E-2</v>
      </c>
      <c r="KT25" s="223">
        <v>15</v>
      </c>
      <c r="KU25" s="216">
        <v>9598</v>
      </c>
      <c r="KV25" s="161">
        <v>15.780000000000001</v>
      </c>
      <c r="KW25" s="161">
        <v>2.1146000000000003</v>
      </c>
      <c r="KX25" s="161">
        <v>0.80569999999999997</v>
      </c>
      <c r="KY25" s="162">
        <f t="shared" si="86"/>
        <v>0.65750000000000008</v>
      </c>
      <c r="KZ25" s="53">
        <f t="shared" si="87"/>
        <v>37.404299999999999</v>
      </c>
      <c r="LA25" s="223">
        <f t="shared" si="121"/>
        <v>2.850000000000108E-2</v>
      </c>
      <c r="LD25" s="228">
        <v>15</v>
      </c>
      <c r="LE25" s="221">
        <v>9598</v>
      </c>
      <c r="LF25" s="161">
        <v>15.803900000000001</v>
      </c>
      <c r="LG25" s="161">
        <v>2.1177999999999999</v>
      </c>
      <c r="LH25" s="161">
        <v>0.80689999999999995</v>
      </c>
      <c r="LI25" s="162">
        <f t="shared" si="88"/>
        <v>0.65849583333333339</v>
      </c>
      <c r="LJ25" s="53">
        <f t="shared" si="89"/>
        <v>37.403100000000002</v>
      </c>
      <c r="LK25" s="228">
        <f t="shared" si="122"/>
        <v>2.3899999999999366E-2</v>
      </c>
      <c r="LL25" s="231"/>
      <c r="LM25" s="231"/>
      <c r="LN25" s="231">
        <v>15</v>
      </c>
      <c r="LO25" s="226">
        <v>9598</v>
      </c>
      <c r="LP25" s="184">
        <v>15.837400000000001</v>
      </c>
      <c r="LQ25" s="184">
        <v>2.1223000000000001</v>
      </c>
      <c r="LR25" s="184">
        <v>0.80859999999999999</v>
      </c>
      <c r="LS25" s="162">
        <f t="shared" si="90"/>
        <v>0.65989166666666665</v>
      </c>
      <c r="LT25" s="53">
        <f t="shared" si="91"/>
        <v>37.401400000000002</v>
      </c>
      <c r="LU25" s="231">
        <f t="shared" si="123"/>
        <v>3.3500000000000085E-2</v>
      </c>
      <c r="LW25" s="231"/>
      <c r="LX25" s="231">
        <v>15</v>
      </c>
      <c r="LY25" s="234">
        <v>9598</v>
      </c>
      <c r="LZ25" s="184">
        <v>15.875</v>
      </c>
      <c r="MA25" s="184">
        <v>2.1273</v>
      </c>
      <c r="MB25" s="184">
        <v>0.8105</v>
      </c>
      <c r="MC25" s="162">
        <f t="shared" si="92"/>
        <v>0.66145833333333337</v>
      </c>
      <c r="MD25" s="53">
        <f t="shared" si="93"/>
        <v>37.399500000000003</v>
      </c>
      <c r="ME25" s="231">
        <f t="shared" si="124"/>
        <v>3.7599999999999412E-2</v>
      </c>
      <c r="MF25" s="231"/>
      <c r="MG25" s="231"/>
      <c r="MH25" s="231">
        <v>15</v>
      </c>
      <c r="MI25" s="236">
        <v>9598</v>
      </c>
      <c r="MJ25" s="184">
        <v>15.912100000000001</v>
      </c>
      <c r="MK25" s="184">
        <v>2.1322999999999999</v>
      </c>
      <c r="ML25" s="184">
        <v>0.81240000000000001</v>
      </c>
      <c r="MM25" s="162">
        <f t="shared" si="94"/>
        <v>0.66300416666666673</v>
      </c>
      <c r="MN25" s="53">
        <f t="shared" si="95"/>
        <v>37.397600000000004</v>
      </c>
      <c r="MO25" s="231">
        <f t="shared" si="125"/>
        <v>3.7100000000000577E-2</v>
      </c>
      <c r="MP25" s="231"/>
      <c r="MQ25" s="231"/>
      <c r="MR25" s="231">
        <v>15</v>
      </c>
      <c r="MS25" s="34">
        <v>9598</v>
      </c>
      <c r="MT25" s="184">
        <v>15.982799999999999</v>
      </c>
      <c r="MU25" s="184">
        <v>2.1417999999999999</v>
      </c>
      <c r="MV25" s="184">
        <v>0.81599999999999995</v>
      </c>
      <c r="MW25" s="162">
        <f t="shared" si="96"/>
        <v>0.66594999999999993</v>
      </c>
      <c r="MX25" s="53">
        <f t="shared" si="97"/>
        <v>37.393999999999998</v>
      </c>
      <c r="MY25" s="231">
        <f t="shared" si="126"/>
        <v>7.0699999999998653E-2</v>
      </c>
      <c r="MZ25" s="246"/>
      <c r="NA25" s="246"/>
      <c r="NB25" s="246">
        <v>15</v>
      </c>
      <c r="NC25" s="34">
        <v>9598</v>
      </c>
      <c r="ND25" s="184">
        <v>16.055099999999999</v>
      </c>
      <c r="NE25" s="184">
        <v>2.1514000000000002</v>
      </c>
      <c r="NF25" s="184">
        <v>0.81969999999999998</v>
      </c>
      <c r="NG25" s="162">
        <f t="shared" si="98"/>
        <v>0.66896250000000002</v>
      </c>
      <c r="NH25" s="53">
        <f t="shared" si="99"/>
        <v>37.390300000000003</v>
      </c>
      <c r="NI25" s="232">
        <f t="shared" si="127"/>
        <v>7.2300000000000253E-2</v>
      </c>
      <c r="NK25" s="250"/>
      <c r="NL25" s="250">
        <v>15</v>
      </c>
      <c r="NM25" s="34">
        <v>9598</v>
      </c>
      <c r="NN25" s="184">
        <v>16.0764</v>
      </c>
      <c r="NO25" s="184">
        <v>2.1543000000000001</v>
      </c>
      <c r="NP25" s="184">
        <v>0.82079999999999997</v>
      </c>
      <c r="NQ25" s="162">
        <f t="shared" si="133"/>
        <v>0.66984999999999995</v>
      </c>
      <c r="NR25" s="53">
        <f t="shared" si="101"/>
        <v>37.389200000000002</v>
      </c>
      <c r="NS25" s="232">
        <f t="shared" si="128"/>
        <v>2.1300000000000097E-2</v>
      </c>
      <c r="NU25" s="250"/>
      <c r="NV25" s="250">
        <v>15</v>
      </c>
      <c r="NW25" s="34">
        <v>9598</v>
      </c>
      <c r="NX25" s="184">
        <v>16.110099999999999</v>
      </c>
      <c r="NY25" s="184">
        <v>2.1587999999999998</v>
      </c>
      <c r="NZ25" s="184">
        <v>0.82250000000000001</v>
      </c>
      <c r="OA25" s="162">
        <f t="shared" si="134"/>
        <v>0.6712541666666666</v>
      </c>
      <c r="OB25" s="53">
        <f t="shared" si="103"/>
        <v>37.387500000000003</v>
      </c>
      <c r="OC25" s="232">
        <f t="shared" si="129"/>
        <v>3.3699999999999619E-2</v>
      </c>
      <c r="OE25" s="250"/>
      <c r="OF25" s="250">
        <v>15</v>
      </c>
      <c r="OG25" s="34">
        <v>9598</v>
      </c>
      <c r="OH25" s="184">
        <v>16.126999999999999</v>
      </c>
      <c r="OI25" s="184">
        <v>2.1610999999999998</v>
      </c>
      <c r="OJ25" s="184">
        <v>0.82340000000000002</v>
      </c>
      <c r="OK25" s="162">
        <f t="shared" si="135"/>
        <v>0.67195833333333332</v>
      </c>
      <c r="OL25" s="53">
        <f t="shared" si="105"/>
        <v>37.386600000000001</v>
      </c>
      <c r="OM25" s="232">
        <f t="shared" si="130"/>
        <v>1.6899999999999693E-2</v>
      </c>
      <c r="OP25" s="250">
        <v>15</v>
      </c>
      <c r="OQ25" s="34">
        <v>9598</v>
      </c>
      <c r="OR25" s="184">
        <f>VLOOKUP(OQ25,Sheet4!A23:F99,3,0)</f>
        <v>16.165800000000001</v>
      </c>
      <c r="OS25" s="184">
        <f>VLOOKUP(OQ25,Sheet4!A23:F99,4,0)</f>
        <v>2.1663000000000001</v>
      </c>
      <c r="OT25" s="184">
        <f>VLOOKUP(OQ25,Sheet4!A23:F99,5,0)</f>
        <v>0.82540000000000002</v>
      </c>
      <c r="OU25" s="162">
        <f t="shared" si="106"/>
        <v>0.67357500000000003</v>
      </c>
      <c r="OV25" s="53">
        <f t="shared" si="107"/>
        <v>37.384599999999999</v>
      </c>
      <c r="OW25" s="232">
        <f t="shared" si="131"/>
        <v>3.8800000000001944E-2</v>
      </c>
    </row>
    <row r="26" spans="1:413" ht="15.75" x14ac:dyDescent="0.25">
      <c r="A26">
        <v>18</v>
      </c>
      <c r="B26" s="1">
        <v>9597</v>
      </c>
      <c r="C26" s="1" t="s">
        <v>1</v>
      </c>
      <c r="D26" s="2">
        <v>38.21</v>
      </c>
      <c r="E26" s="8"/>
      <c r="F26" s="8"/>
      <c r="G26" s="8"/>
      <c r="H26" s="8"/>
      <c r="J26" s="15">
        <v>9597</v>
      </c>
      <c r="K26" s="15">
        <v>13.638400000000001</v>
      </c>
      <c r="L26" s="15">
        <v>1.8275999999999999</v>
      </c>
      <c r="M26" s="15">
        <v>0.69630000000000003</v>
      </c>
      <c r="N26" s="24">
        <f t="shared" si="42"/>
        <v>0.5682666666666667</v>
      </c>
      <c r="O26" s="10">
        <f t="shared" si="36"/>
        <v>37.5137</v>
      </c>
      <c r="P26" s="18"/>
      <c r="R26" s="20">
        <v>9597</v>
      </c>
      <c r="S26" s="9">
        <v>13.725099999999999</v>
      </c>
      <c r="T26" s="9">
        <v>1.8391999999999999</v>
      </c>
      <c r="U26" s="9">
        <v>0.70069999999999999</v>
      </c>
      <c r="V26" s="24">
        <f t="shared" si="43"/>
        <v>0.57187916666666661</v>
      </c>
      <c r="W26" s="10">
        <f t="shared" si="44"/>
        <v>37.509300000000003</v>
      </c>
      <c r="X26" s="18"/>
      <c r="Z26" s="27">
        <v>9597</v>
      </c>
      <c r="AA26" s="9">
        <v>13.9382</v>
      </c>
      <c r="AB26" s="9">
        <v>1.8677999999999999</v>
      </c>
      <c r="AC26" s="9">
        <v>0.71160000000000001</v>
      </c>
      <c r="AD26" s="24">
        <f t="shared" si="45"/>
        <v>0.58075833333333338</v>
      </c>
      <c r="AE26" s="10">
        <f t="shared" si="46"/>
        <v>37.498400000000004</v>
      </c>
      <c r="AF26" s="79"/>
      <c r="AG26">
        <v>18</v>
      </c>
      <c r="AH26" s="1">
        <v>9597</v>
      </c>
      <c r="AI26" s="1" t="s">
        <v>1</v>
      </c>
      <c r="AJ26" s="2">
        <v>38.21</v>
      </c>
      <c r="AL26" s="32">
        <v>9597</v>
      </c>
      <c r="AM26" s="9">
        <v>14.1691</v>
      </c>
      <c r="AN26" s="9">
        <v>1.8987000000000001</v>
      </c>
      <c r="AO26" s="9">
        <v>0.72340000000000004</v>
      </c>
      <c r="AP26" s="37">
        <f t="shared" si="0"/>
        <v>0.59037916666666668</v>
      </c>
      <c r="AQ26" s="53">
        <f t="shared" si="108"/>
        <v>37.486600000000003</v>
      </c>
      <c r="AT26" s="39"/>
      <c r="AU26" s="38">
        <v>9597</v>
      </c>
      <c r="AV26" s="9">
        <v>14.267300000000001</v>
      </c>
      <c r="AW26" s="43">
        <v>1.9118999999999999</v>
      </c>
      <c r="AX26" s="43">
        <v>0.72840000000000005</v>
      </c>
      <c r="AY26" s="47">
        <f t="shared" si="47"/>
        <v>0.59447083333333339</v>
      </c>
      <c r="AZ26" s="56">
        <f t="shared" si="109"/>
        <v>37.4816</v>
      </c>
      <c r="BD26" s="54">
        <v>9597</v>
      </c>
      <c r="BE26" s="53">
        <v>14.2784</v>
      </c>
      <c r="BF26" s="58">
        <v>1.9134</v>
      </c>
      <c r="BG26" s="58">
        <v>0.72899999999999998</v>
      </c>
      <c r="BH26" s="47">
        <f t="shared" si="48"/>
        <v>0.59493333333333331</v>
      </c>
      <c r="BI26" s="56">
        <f t="shared" si="49"/>
        <v>37.481000000000002</v>
      </c>
      <c r="BJ26" s="88"/>
      <c r="BK26" s="88"/>
      <c r="BL26" s="88"/>
      <c r="BN26" s="9">
        <v>9597</v>
      </c>
      <c r="BO26" s="53">
        <v>14.319800000000001</v>
      </c>
      <c r="BP26" s="53">
        <v>1.9189000000000001</v>
      </c>
      <c r="BQ26" s="53">
        <v>0.73109999999999997</v>
      </c>
      <c r="BR26" s="53">
        <f t="shared" si="50"/>
        <v>0.5966583333333334</v>
      </c>
      <c r="BS26" s="53">
        <f t="shared" si="51"/>
        <v>37.478900000000003</v>
      </c>
      <c r="BV26" s="88"/>
      <c r="BX26" s="93">
        <v>9597</v>
      </c>
      <c r="BY26" s="9">
        <v>14.401400000000001</v>
      </c>
      <c r="BZ26" s="9">
        <v>1.9298</v>
      </c>
      <c r="CA26" s="9">
        <v>0.73529999999999995</v>
      </c>
      <c r="CB26" s="58">
        <f t="shared" si="52"/>
        <v>0.60005833333333336</v>
      </c>
      <c r="CC26" s="53">
        <f t="shared" si="110"/>
        <v>37.474699999999999</v>
      </c>
      <c r="CF26" s="88"/>
      <c r="CG26">
        <v>16</v>
      </c>
      <c r="CH26" s="93">
        <v>9597</v>
      </c>
      <c r="CI26" s="93">
        <v>14.4716</v>
      </c>
      <c r="CJ26" s="9">
        <v>1.9393</v>
      </c>
      <c r="CK26" s="9">
        <v>0.7389</v>
      </c>
      <c r="CL26" s="47">
        <f t="shared" si="5"/>
        <v>0.60298333333333332</v>
      </c>
      <c r="CM26" s="53">
        <f t="shared" si="53"/>
        <v>37.4711</v>
      </c>
      <c r="CQ26">
        <v>16</v>
      </c>
      <c r="CR26" s="98">
        <v>9597</v>
      </c>
      <c r="CS26" s="101">
        <v>14.559799999999999</v>
      </c>
      <c r="CT26" s="101">
        <v>1.9511000000000001</v>
      </c>
      <c r="CU26" s="101">
        <v>0.74339999999999995</v>
      </c>
      <c r="CV26" s="47">
        <f t="shared" si="6"/>
        <v>0.6066583333333333</v>
      </c>
      <c r="CW26" s="53">
        <f t="shared" si="37"/>
        <v>37.4666</v>
      </c>
      <c r="DA26">
        <v>16</v>
      </c>
      <c r="DB26" s="106">
        <v>9597</v>
      </c>
      <c r="DC26" s="107">
        <v>14.5685</v>
      </c>
      <c r="DD26" s="107">
        <v>1.9521999999999999</v>
      </c>
      <c r="DE26" s="107">
        <v>0.74380000000000002</v>
      </c>
      <c r="DF26" s="47">
        <f t="shared" si="136"/>
        <v>0.60702083333333334</v>
      </c>
      <c r="DG26" s="53">
        <f t="shared" si="111"/>
        <v>37.466200000000001</v>
      </c>
      <c r="DK26">
        <v>16</v>
      </c>
      <c r="DL26" s="110">
        <v>9597</v>
      </c>
      <c r="DM26" s="53">
        <v>14.6692</v>
      </c>
      <c r="DN26" s="53">
        <v>1.9657</v>
      </c>
      <c r="DO26" s="53">
        <v>0.74890000000000001</v>
      </c>
      <c r="DP26" s="47">
        <f t="shared" si="137"/>
        <v>0.61121666666666663</v>
      </c>
      <c r="DQ26" s="53">
        <f t="shared" si="54"/>
        <v>37.461100000000002</v>
      </c>
      <c r="DS26" s="3">
        <f t="shared" si="55"/>
        <v>0.10069999999999979</v>
      </c>
      <c r="DU26">
        <v>16</v>
      </c>
      <c r="DV26" s="115">
        <v>9597</v>
      </c>
      <c r="DW26" s="9">
        <v>14.731999999999999</v>
      </c>
      <c r="DX26" s="9">
        <v>1.9741</v>
      </c>
      <c r="DY26" s="9">
        <v>0.75209999999999999</v>
      </c>
      <c r="DZ26" s="47">
        <f t="shared" si="138"/>
        <v>0.61383333333333334</v>
      </c>
      <c r="EA26" s="53">
        <f t="shared" si="112"/>
        <v>37.457900000000002</v>
      </c>
      <c r="EB26" s="3"/>
      <c r="EE26">
        <v>16</v>
      </c>
      <c r="EF26" s="118">
        <v>9597</v>
      </c>
      <c r="EG26" s="9">
        <v>14.83</v>
      </c>
      <c r="EH26" s="9">
        <v>1.9873000000000001</v>
      </c>
      <c r="EI26" s="9">
        <v>0.75719999999999998</v>
      </c>
      <c r="EJ26" s="47">
        <f t="shared" si="10"/>
        <v>0.61791666666666667</v>
      </c>
      <c r="EK26" s="53">
        <f t="shared" si="56"/>
        <v>37.452800000000003</v>
      </c>
      <c r="EM26" s="3">
        <f t="shared" si="57"/>
        <v>-5.0999999999987722E-3</v>
      </c>
      <c r="EN26" s="3"/>
      <c r="EO26">
        <v>16</v>
      </c>
      <c r="EP26" s="121">
        <v>9597</v>
      </c>
      <c r="EQ26" s="122">
        <v>15.024900000000001</v>
      </c>
      <c r="ER26" s="122">
        <v>2.0133999999999999</v>
      </c>
      <c r="ES26" s="129">
        <v>0.7671</v>
      </c>
      <c r="ET26" s="130">
        <f t="shared" si="11"/>
        <v>0.62603750000000002</v>
      </c>
      <c r="EU26" s="131">
        <f t="shared" si="58"/>
        <v>37.442900000000002</v>
      </c>
      <c r="EX26" s="3"/>
      <c r="EY26">
        <v>16</v>
      </c>
      <c r="EZ26" s="135">
        <v>9597</v>
      </c>
      <c r="FA26" s="135">
        <v>15.1168</v>
      </c>
      <c r="FB26" s="135">
        <v>2.0257000000000001</v>
      </c>
      <c r="FC26" s="135">
        <v>0.77180000000000004</v>
      </c>
      <c r="FD26" s="136">
        <f t="shared" si="12"/>
        <v>0.62986666666666669</v>
      </c>
      <c r="FE26" s="131">
        <f t="shared" si="59"/>
        <v>37.438200000000002</v>
      </c>
      <c r="FG26" s="123">
        <f t="shared" si="60"/>
        <v>-4.6999999999997044E-3</v>
      </c>
      <c r="FH26" s="3"/>
      <c r="FI26">
        <v>16</v>
      </c>
      <c r="FJ26" s="145">
        <v>9597</v>
      </c>
      <c r="FK26" s="9">
        <v>15.2392</v>
      </c>
      <c r="FL26" s="9">
        <v>2.0421</v>
      </c>
      <c r="FM26" s="9">
        <v>0.77800000000000002</v>
      </c>
      <c r="FN26" s="146">
        <f t="shared" si="113"/>
        <v>0.63496666666666668</v>
      </c>
      <c r="FO26" s="131">
        <f t="shared" si="61"/>
        <v>37.432000000000002</v>
      </c>
      <c r="FP26" s="123">
        <f t="shared" si="62"/>
        <v>-6.1999999999997613E-3</v>
      </c>
      <c r="FS26">
        <v>16</v>
      </c>
      <c r="FT26" s="147">
        <v>9597</v>
      </c>
      <c r="FU26" s="148">
        <v>15.2644</v>
      </c>
      <c r="FV26" s="148">
        <v>2.0455000000000001</v>
      </c>
      <c r="FW26" s="148">
        <v>0.77929999999999999</v>
      </c>
      <c r="FX26" s="150">
        <f t="shared" si="114"/>
        <v>0.63601666666666667</v>
      </c>
      <c r="FY26" s="131">
        <f t="shared" si="115"/>
        <v>37.430700000000002</v>
      </c>
      <c r="FZ26">
        <f t="shared" si="63"/>
        <v>2.5199999999999889E-2</v>
      </c>
      <c r="GC26">
        <v>16</v>
      </c>
      <c r="GD26" s="151">
        <v>9597</v>
      </c>
      <c r="GE26" s="151">
        <v>15.326700000000001</v>
      </c>
      <c r="GF26" s="151">
        <v>2.0537999999999998</v>
      </c>
      <c r="GG26" s="151">
        <v>0.78249999999999997</v>
      </c>
      <c r="GH26" s="153">
        <f t="shared" si="132"/>
        <v>0.63861250000000003</v>
      </c>
      <c r="GI26" s="131">
        <f t="shared" si="64"/>
        <v>37.427500000000002</v>
      </c>
      <c r="GJ26">
        <f t="shared" si="38"/>
        <v>6.2300000000000466E-2</v>
      </c>
      <c r="GM26">
        <v>16</v>
      </c>
      <c r="GN26" s="155">
        <v>9597</v>
      </c>
      <c r="GO26" s="155">
        <v>15.4587</v>
      </c>
      <c r="GP26" s="155">
        <v>2.0714999999999999</v>
      </c>
      <c r="GQ26" s="155">
        <v>0.7893</v>
      </c>
      <c r="GR26" s="58">
        <f t="shared" si="65"/>
        <v>0.64411249999999998</v>
      </c>
      <c r="GS26" s="131">
        <f t="shared" si="66"/>
        <v>37.420700000000004</v>
      </c>
      <c r="GT26">
        <f t="shared" si="39"/>
        <v>0.13199999999999967</v>
      </c>
      <c r="GW26">
        <v>16</v>
      </c>
      <c r="GX26" s="157">
        <v>9597</v>
      </c>
      <c r="GY26" s="161">
        <f>VLOOKUP(GX26,Sheet3!$AJ$7:$AN$83,2,0)</f>
        <v>15.626300000000001</v>
      </c>
      <c r="GZ26" s="161">
        <f>VLOOKUP(GX26,Sheet3!$AJ$7:$AN$83,3,0)</f>
        <v>2.0939999999999999</v>
      </c>
      <c r="HA26" s="161">
        <f>VLOOKUP(GX26,Sheet3!$AJ$7:$AN$83,4,0)</f>
        <v>0.79779999999999995</v>
      </c>
      <c r="HB26" s="162">
        <f t="shared" si="17"/>
        <v>0.65109583333333332</v>
      </c>
      <c r="HC26" s="131">
        <f t="shared" si="116"/>
        <v>37.412199999999999</v>
      </c>
      <c r="HD26" s="159">
        <f t="shared" si="40"/>
        <v>0.16760000000000019</v>
      </c>
      <c r="HE26" s="159">
        <f t="shared" si="41"/>
        <v>8.499999999999952E-3</v>
      </c>
      <c r="HG26" s="159"/>
      <c r="HH26" s="159">
        <v>16</v>
      </c>
      <c r="HI26" s="158">
        <v>9597</v>
      </c>
      <c r="HJ26" s="161">
        <v>15.693899999999999</v>
      </c>
      <c r="HK26" s="161">
        <v>2.1030000000000002</v>
      </c>
      <c r="HL26" s="161">
        <v>0.80130000000000001</v>
      </c>
      <c r="HM26" s="162">
        <f t="shared" si="18"/>
        <v>0.65391250000000001</v>
      </c>
      <c r="HN26" s="131">
        <f t="shared" si="67"/>
        <v>37.408700000000003</v>
      </c>
      <c r="HO26" s="159">
        <f t="shared" si="68"/>
        <v>6.7599999999998772E-2</v>
      </c>
      <c r="HQ26" s="183"/>
      <c r="HR26" s="183">
        <v>16</v>
      </c>
      <c r="HS26" s="178">
        <v>9597</v>
      </c>
      <c r="HT26" s="184">
        <v>15.738</v>
      </c>
      <c r="HU26" s="184">
        <v>2.109</v>
      </c>
      <c r="HV26" s="184">
        <v>0.80349999999999999</v>
      </c>
      <c r="HW26" s="171">
        <f t="shared" si="19"/>
        <v>0.65574999999999994</v>
      </c>
      <c r="HX26" s="53">
        <f t="shared" si="69"/>
        <v>37.406500000000001</v>
      </c>
      <c r="HY26" s="183">
        <f t="shared" si="70"/>
        <v>4.410000000000025E-2</v>
      </c>
      <c r="IA26" s="194"/>
      <c r="IB26" s="194">
        <v>16</v>
      </c>
      <c r="IC26" s="193">
        <v>9597</v>
      </c>
      <c r="ID26" s="161">
        <v>15.757099999999999</v>
      </c>
      <c r="IE26" s="184">
        <v>2.1114999999999999</v>
      </c>
      <c r="IF26" s="184">
        <v>0.80449999999999999</v>
      </c>
      <c r="IG26" s="171">
        <f t="shared" si="71"/>
        <v>0.65654583333333327</v>
      </c>
      <c r="IH26" s="53">
        <f t="shared" si="72"/>
        <v>37.405500000000004</v>
      </c>
      <c r="II26" s="194">
        <f t="shared" si="73"/>
        <v>1.9099999999999895E-2</v>
      </c>
      <c r="IK26" s="22"/>
      <c r="IL26" s="199">
        <v>16</v>
      </c>
      <c r="IM26" s="197">
        <v>9597</v>
      </c>
      <c r="IN26" s="161">
        <v>15.8575</v>
      </c>
      <c r="IO26" s="184">
        <v>2.125</v>
      </c>
      <c r="IP26" s="184">
        <v>0.80959999999999999</v>
      </c>
      <c r="IQ26" s="171">
        <f t="shared" si="74"/>
        <v>0.6607291666666667</v>
      </c>
      <c r="IR26" s="53">
        <f t="shared" si="75"/>
        <v>37.400399999999998</v>
      </c>
      <c r="IS26" s="199">
        <f t="shared" si="76"/>
        <v>0.10040000000000049</v>
      </c>
      <c r="IU26" s="22"/>
      <c r="IV26" s="202">
        <v>16</v>
      </c>
      <c r="IW26" s="201">
        <v>9597</v>
      </c>
      <c r="IX26" s="184">
        <v>15.9931</v>
      </c>
      <c r="IY26" s="184">
        <v>2.1431</v>
      </c>
      <c r="IZ26" s="184">
        <v>0.8165</v>
      </c>
      <c r="JA26" s="162">
        <f t="shared" si="22"/>
        <v>0.66637916666666663</v>
      </c>
      <c r="JB26" s="53">
        <f t="shared" si="77"/>
        <v>37.393500000000003</v>
      </c>
      <c r="JC26" s="202">
        <f t="shared" si="78"/>
        <v>0.13560000000000016</v>
      </c>
      <c r="JE26" s="22"/>
      <c r="JF26" s="204">
        <v>16</v>
      </c>
      <c r="JG26" s="203">
        <v>9597</v>
      </c>
      <c r="JH26" s="161">
        <v>16.036200000000001</v>
      </c>
      <c r="JI26" s="184">
        <v>2.1488999999999998</v>
      </c>
      <c r="JJ26" s="184">
        <v>0.81869999999999998</v>
      </c>
      <c r="JK26" s="162">
        <f t="shared" si="79"/>
        <v>0.66817500000000007</v>
      </c>
      <c r="JL26" s="53">
        <f t="shared" si="80"/>
        <v>37.391300000000001</v>
      </c>
      <c r="JM26" s="204">
        <f t="shared" si="117"/>
        <v>4.3100000000000804E-2</v>
      </c>
      <c r="JN26" s="204"/>
      <c r="JP26" s="209">
        <v>16</v>
      </c>
      <c r="JQ26" s="205">
        <v>9597</v>
      </c>
      <c r="JR26" s="161">
        <v>16.070900000000002</v>
      </c>
      <c r="JS26" s="184">
        <v>2.1536</v>
      </c>
      <c r="JT26" s="184">
        <v>0.82050000000000001</v>
      </c>
      <c r="JU26" s="162">
        <f t="shared" si="81"/>
        <v>0.66962083333333344</v>
      </c>
      <c r="JV26" s="53">
        <f t="shared" si="82"/>
        <v>37.389499999999998</v>
      </c>
      <c r="JW26" s="209">
        <f t="shared" si="118"/>
        <v>3.4700000000000841E-2</v>
      </c>
      <c r="JX26" s="213"/>
      <c r="JY26" s="213"/>
      <c r="JZ26" s="213">
        <v>16</v>
      </c>
      <c r="KA26" s="206">
        <v>9597</v>
      </c>
      <c r="KB26" s="184">
        <v>16.152100000000001</v>
      </c>
      <c r="KC26" s="184">
        <v>2.1644000000000001</v>
      </c>
      <c r="KD26" s="184">
        <v>0.82469999999999999</v>
      </c>
      <c r="KE26" s="162">
        <f t="shared" si="83"/>
        <v>0.67300416666666674</v>
      </c>
      <c r="KF26" s="53">
        <f t="shared" si="84"/>
        <v>37.385300000000001</v>
      </c>
      <c r="KG26" s="213">
        <f t="shared" si="119"/>
        <v>8.1199999999999051E-2</v>
      </c>
      <c r="KI26" s="219"/>
      <c r="KJ26" s="219">
        <v>16</v>
      </c>
      <c r="KK26" s="214">
        <v>9597</v>
      </c>
      <c r="KL26" s="161">
        <v>16.179200000000002</v>
      </c>
      <c r="KM26" s="161">
        <v>2.1680999999999999</v>
      </c>
      <c r="KN26" s="161">
        <v>0.82599999999999996</v>
      </c>
      <c r="KO26" s="162">
        <f t="shared" si="24"/>
        <v>0.67413333333333336</v>
      </c>
      <c r="KP26" s="53">
        <f t="shared" si="85"/>
        <v>37.384</v>
      </c>
      <c r="KQ26" s="219">
        <f t="shared" si="120"/>
        <v>2.710000000000079E-2</v>
      </c>
      <c r="KT26" s="223">
        <v>16</v>
      </c>
      <c r="KU26" s="216">
        <v>9597</v>
      </c>
      <c r="KV26" s="161">
        <v>16.207699999999999</v>
      </c>
      <c r="KW26" s="161">
        <v>2.1718999999999999</v>
      </c>
      <c r="KX26" s="161">
        <v>0.82750000000000001</v>
      </c>
      <c r="KY26" s="162">
        <f t="shared" si="86"/>
        <v>0.67532083333333326</v>
      </c>
      <c r="KZ26" s="53">
        <f t="shared" si="87"/>
        <v>37.3825</v>
      </c>
      <c r="LA26" s="223">
        <f t="shared" si="121"/>
        <v>2.8499999999997527E-2</v>
      </c>
      <c r="LD26" s="228">
        <v>16</v>
      </c>
      <c r="LE26" s="221">
        <v>9597</v>
      </c>
      <c r="LF26" s="161">
        <v>16.2316</v>
      </c>
      <c r="LG26" s="161">
        <v>2.1751</v>
      </c>
      <c r="LH26" s="161">
        <v>0.82869999999999999</v>
      </c>
      <c r="LI26" s="162">
        <f t="shared" si="88"/>
        <v>0.67631666666666668</v>
      </c>
      <c r="LJ26" s="53">
        <f t="shared" si="89"/>
        <v>37.381300000000003</v>
      </c>
      <c r="LK26" s="228">
        <f t="shared" si="122"/>
        <v>2.3900000000001143E-2</v>
      </c>
      <c r="LL26" s="231"/>
      <c r="LM26" s="231"/>
      <c r="LN26" s="231">
        <v>16</v>
      </c>
      <c r="LO26" s="226">
        <v>9597</v>
      </c>
      <c r="LP26" s="184">
        <v>16.2651</v>
      </c>
      <c r="LQ26" s="184">
        <v>2.1796000000000002</v>
      </c>
      <c r="LR26" s="184">
        <v>0.83040000000000003</v>
      </c>
      <c r="LS26" s="162">
        <f t="shared" si="90"/>
        <v>0.67771250000000005</v>
      </c>
      <c r="LT26" s="53">
        <f t="shared" si="91"/>
        <v>37.379600000000003</v>
      </c>
      <c r="LU26" s="231">
        <f t="shared" si="123"/>
        <v>3.3500000000000085E-2</v>
      </c>
      <c r="LW26" s="231"/>
      <c r="LX26" s="231">
        <v>16</v>
      </c>
      <c r="LY26" s="234">
        <v>9597</v>
      </c>
      <c r="LZ26" s="184">
        <v>16.302700000000002</v>
      </c>
      <c r="MA26" s="184">
        <v>2.1846000000000001</v>
      </c>
      <c r="MB26" s="184">
        <v>0.83230000000000004</v>
      </c>
      <c r="MC26" s="162">
        <f t="shared" si="92"/>
        <v>0.67927916666666677</v>
      </c>
      <c r="MD26" s="53">
        <f t="shared" si="93"/>
        <v>37.377700000000004</v>
      </c>
      <c r="ME26" s="231">
        <f t="shared" si="124"/>
        <v>3.7600000000001188E-2</v>
      </c>
      <c r="MF26" s="231"/>
      <c r="MG26" s="231"/>
      <c r="MH26" s="231">
        <v>16</v>
      </c>
      <c r="MI26" s="236">
        <v>9597</v>
      </c>
      <c r="MJ26" s="184">
        <v>16.3398</v>
      </c>
      <c r="MK26" s="184">
        <v>2.1896</v>
      </c>
      <c r="ML26" s="184">
        <v>0.83420000000000005</v>
      </c>
      <c r="MM26" s="162">
        <f t="shared" si="94"/>
        <v>0.68082500000000001</v>
      </c>
      <c r="MN26" s="53">
        <f t="shared" si="95"/>
        <v>37.375799999999998</v>
      </c>
      <c r="MO26" s="231">
        <f t="shared" si="125"/>
        <v>3.7099999999998801E-2</v>
      </c>
      <c r="MP26" s="231"/>
      <c r="MQ26" s="231"/>
      <c r="MR26" s="231">
        <v>16</v>
      </c>
      <c r="MS26" s="34">
        <v>9597</v>
      </c>
      <c r="MT26" s="184">
        <v>16.410499999999999</v>
      </c>
      <c r="MU26" s="184">
        <v>2.1991000000000001</v>
      </c>
      <c r="MV26" s="184">
        <v>0.83779999999999999</v>
      </c>
      <c r="MW26" s="162">
        <f t="shared" si="96"/>
        <v>0.68377083333333333</v>
      </c>
      <c r="MX26" s="53">
        <f t="shared" si="97"/>
        <v>37.372199999999999</v>
      </c>
      <c r="MY26" s="231">
        <f t="shared" si="126"/>
        <v>7.0699999999998653E-2</v>
      </c>
      <c r="MZ26" s="246"/>
      <c r="NA26" s="246"/>
      <c r="NB26" s="246">
        <v>16</v>
      </c>
      <c r="NC26" s="34">
        <v>9597</v>
      </c>
      <c r="ND26" s="184">
        <v>16.482800000000001</v>
      </c>
      <c r="NE26" s="184">
        <v>2.2088000000000001</v>
      </c>
      <c r="NF26" s="184">
        <v>0.84150000000000003</v>
      </c>
      <c r="NG26" s="162">
        <f t="shared" si="98"/>
        <v>0.68678333333333341</v>
      </c>
      <c r="NH26" s="53">
        <f t="shared" si="99"/>
        <v>37.368499999999997</v>
      </c>
      <c r="NI26" s="232">
        <f t="shared" si="127"/>
        <v>7.2300000000002029E-2</v>
      </c>
      <c r="NK26" s="250"/>
      <c r="NL26" s="250">
        <v>16</v>
      </c>
      <c r="NM26" s="34">
        <v>9597</v>
      </c>
      <c r="NN26" s="184">
        <v>16.504100000000001</v>
      </c>
      <c r="NO26" s="184">
        <v>2.2115999999999998</v>
      </c>
      <c r="NP26" s="184">
        <v>0.84260000000000002</v>
      </c>
      <c r="NQ26" s="162">
        <f t="shared" si="133"/>
        <v>0.68767083333333334</v>
      </c>
      <c r="NR26" s="53">
        <f t="shared" si="101"/>
        <v>37.367400000000004</v>
      </c>
      <c r="NS26" s="232">
        <f t="shared" si="128"/>
        <v>2.1300000000000097E-2</v>
      </c>
      <c r="NU26" s="250"/>
      <c r="NV26" s="250">
        <v>16</v>
      </c>
      <c r="NW26" s="34">
        <v>9597</v>
      </c>
      <c r="NX26" s="184">
        <v>16.537800000000001</v>
      </c>
      <c r="NY26" s="184">
        <v>2.2161</v>
      </c>
      <c r="NZ26" s="184">
        <v>0.84430000000000005</v>
      </c>
      <c r="OA26" s="162">
        <f t="shared" si="134"/>
        <v>0.68907499999999999</v>
      </c>
      <c r="OB26" s="53">
        <f t="shared" si="103"/>
        <v>37.365700000000004</v>
      </c>
      <c r="OC26" s="232">
        <f t="shared" si="129"/>
        <v>3.3699999999999619E-2</v>
      </c>
      <c r="OE26" s="250"/>
      <c r="OF26" s="250">
        <v>16</v>
      </c>
      <c r="OG26" s="34">
        <v>9597</v>
      </c>
      <c r="OH26" s="184">
        <v>16.5547</v>
      </c>
      <c r="OI26" s="184">
        <v>2.2183999999999999</v>
      </c>
      <c r="OJ26" s="184">
        <v>0.84519999999999995</v>
      </c>
      <c r="OK26" s="162">
        <f t="shared" si="135"/>
        <v>0.68977916666666672</v>
      </c>
      <c r="OL26" s="53">
        <f t="shared" si="105"/>
        <v>37.364800000000002</v>
      </c>
      <c r="OM26" s="232">
        <f t="shared" si="130"/>
        <v>1.6899999999999693E-2</v>
      </c>
      <c r="OP26" s="250">
        <v>16</v>
      </c>
      <c r="OQ26" s="34">
        <v>9597</v>
      </c>
      <c r="OR26" s="184">
        <f>VLOOKUP(OQ26,Sheet4!A24:F100,3,0)</f>
        <v>16.593499999999999</v>
      </c>
      <c r="OS26" s="184">
        <f>VLOOKUP(OQ26,Sheet4!A24:F100,4,0)</f>
        <v>2.2235999999999998</v>
      </c>
      <c r="OT26" s="184">
        <f>VLOOKUP(OQ26,Sheet4!A24:F100,5,0)</f>
        <v>0.84719999999999995</v>
      </c>
      <c r="OU26" s="162">
        <f t="shared" si="106"/>
        <v>0.69139583333333332</v>
      </c>
      <c r="OV26" s="53">
        <f t="shared" si="107"/>
        <v>37.3628</v>
      </c>
      <c r="OW26" s="232">
        <f t="shared" si="131"/>
        <v>3.8799999999998391E-2</v>
      </c>
    </row>
    <row r="27" spans="1:413" ht="15.75" x14ac:dyDescent="0.25">
      <c r="A27">
        <v>19</v>
      </c>
      <c r="B27" s="1">
        <v>9881</v>
      </c>
      <c r="C27" s="1" t="s">
        <v>1</v>
      </c>
      <c r="D27" s="2">
        <v>37.909999999999997</v>
      </c>
      <c r="E27" s="8"/>
      <c r="F27" s="8"/>
      <c r="G27" s="8"/>
      <c r="H27" s="8"/>
      <c r="J27" s="15">
        <v>9881</v>
      </c>
      <c r="K27" s="15">
        <v>8.0984999999999996</v>
      </c>
      <c r="L27" s="15">
        <v>1.0851999999999999</v>
      </c>
      <c r="M27" s="15">
        <v>0.41349999999999998</v>
      </c>
      <c r="N27" s="24">
        <f t="shared" si="42"/>
        <v>0.3374375</v>
      </c>
      <c r="O27" s="10">
        <f t="shared" si="36"/>
        <v>37.496499999999997</v>
      </c>
      <c r="P27" s="18"/>
      <c r="R27" s="20">
        <v>9881</v>
      </c>
      <c r="S27" s="9">
        <v>8.1685999999999996</v>
      </c>
      <c r="T27" s="9">
        <v>1.0946</v>
      </c>
      <c r="U27" s="9">
        <v>0.41710000000000003</v>
      </c>
      <c r="V27" s="24">
        <f t="shared" si="43"/>
        <v>0.34035833333333332</v>
      </c>
      <c r="W27" s="10">
        <f t="shared" si="44"/>
        <v>37.492899999999999</v>
      </c>
      <c r="X27" s="18"/>
      <c r="Z27" s="27">
        <v>9881</v>
      </c>
      <c r="AA27" s="9">
        <v>8.3409999999999993</v>
      </c>
      <c r="AB27" s="9">
        <v>1.1176999999999999</v>
      </c>
      <c r="AC27" s="9">
        <v>0.4259</v>
      </c>
      <c r="AD27" s="24">
        <f t="shared" si="45"/>
        <v>0.34754166666666664</v>
      </c>
      <c r="AE27" s="10">
        <f t="shared" si="46"/>
        <v>37.484099999999998</v>
      </c>
      <c r="AF27" s="79"/>
      <c r="AG27">
        <v>19</v>
      </c>
      <c r="AH27" s="1">
        <v>9881</v>
      </c>
      <c r="AI27" s="1" t="s">
        <v>1</v>
      </c>
      <c r="AJ27" s="2">
        <v>37.909999999999997</v>
      </c>
      <c r="AL27" s="32">
        <v>9881</v>
      </c>
      <c r="AM27" s="9">
        <v>8.5286000000000008</v>
      </c>
      <c r="AN27" s="9">
        <v>1.1429</v>
      </c>
      <c r="AO27" s="9">
        <v>0.43540000000000001</v>
      </c>
      <c r="AP27" s="37">
        <f t="shared" si="0"/>
        <v>0.35535833333333339</v>
      </c>
      <c r="AQ27" s="53">
        <f t="shared" si="108"/>
        <v>37.474599999999995</v>
      </c>
      <c r="AT27" s="39"/>
      <c r="AU27" s="38">
        <v>9881</v>
      </c>
      <c r="AV27" s="9">
        <v>8.6083999999999996</v>
      </c>
      <c r="AW27" s="43">
        <v>1.1536</v>
      </c>
      <c r="AX27" s="43">
        <v>0.4395</v>
      </c>
      <c r="AY27" s="47">
        <f t="shared" si="47"/>
        <v>0.3586833333333333</v>
      </c>
      <c r="AZ27" s="56">
        <f t="shared" si="109"/>
        <v>37.470499999999994</v>
      </c>
      <c r="BD27" s="54">
        <v>9881</v>
      </c>
      <c r="BE27" s="53">
        <v>8.6173999999999999</v>
      </c>
      <c r="BF27" s="58">
        <v>1.1548</v>
      </c>
      <c r="BG27" s="58">
        <v>0.44</v>
      </c>
      <c r="BH27" s="47">
        <f t="shared" si="48"/>
        <v>0.35905833333333331</v>
      </c>
      <c r="BI27" s="56">
        <f t="shared" si="49"/>
        <v>37.47</v>
      </c>
      <c r="BJ27" s="88"/>
      <c r="BK27" s="88"/>
      <c r="BL27" s="88"/>
      <c r="BN27" s="9">
        <v>9881</v>
      </c>
      <c r="BO27" s="53">
        <v>8.6510999999999996</v>
      </c>
      <c r="BP27" s="53">
        <v>1.1593</v>
      </c>
      <c r="BQ27" s="53">
        <v>0.44169999999999998</v>
      </c>
      <c r="BR27" s="53">
        <f t="shared" si="50"/>
        <v>0.36046249999999996</v>
      </c>
      <c r="BS27" s="53">
        <f t="shared" si="51"/>
        <v>37.468299999999999</v>
      </c>
      <c r="BV27" s="88"/>
      <c r="BX27" s="93">
        <v>9881</v>
      </c>
      <c r="BY27" s="9">
        <v>8.7173999999999996</v>
      </c>
      <c r="BZ27" s="9">
        <v>1.1681999999999999</v>
      </c>
      <c r="CA27" s="9">
        <v>0.4451</v>
      </c>
      <c r="CB27" s="58">
        <f t="shared" si="52"/>
        <v>0.36322499999999996</v>
      </c>
      <c r="CC27" s="53">
        <f t="shared" si="110"/>
        <v>37.4649</v>
      </c>
      <c r="CF27" s="88"/>
      <c r="CG27">
        <v>17</v>
      </c>
      <c r="CH27" s="93">
        <v>9881</v>
      </c>
      <c r="CI27" s="93">
        <v>8.7744</v>
      </c>
      <c r="CJ27" s="9">
        <v>1.1758</v>
      </c>
      <c r="CK27" s="9">
        <v>0.44800000000000001</v>
      </c>
      <c r="CL27" s="47">
        <f t="shared" si="5"/>
        <v>0.36559999999999998</v>
      </c>
      <c r="CM27" s="53">
        <f t="shared" si="53"/>
        <v>37.461999999999996</v>
      </c>
      <c r="CQ27">
        <v>17</v>
      </c>
      <c r="CR27" s="98">
        <v>9881</v>
      </c>
      <c r="CS27" s="101">
        <v>8.8460999999999999</v>
      </c>
      <c r="CT27" s="101">
        <v>1.1854</v>
      </c>
      <c r="CU27" s="101">
        <v>0.4516</v>
      </c>
      <c r="CV27" s="47">
        <f t="shared" si="6"/>
        <v>0.36858750000000001</v>
      </c>
      <c r="CW27" s="53">
        <f t="shared" si="37"/>
        <v>37.458399999999997</v>
      </c>
      <c r="DA27">
        <v>17</v>
      </c>
      <c r="DB27" s="106">
        <v>9881</v>
      </c>
      <c r="DC27" s="107">
        <v>8.8530999999999995</v>
      </c>
      <c r="DD27" s="107">
        <v>1.1862999999999999</v>
      </c>
      <c r="DE27" s="107">
        <v>0.45200000000000001</v>
      </c>
      <c r="DF27" s="47">
        <f t="shared" si="136"/>
        <v>0.36887916666666665</v>
      </c>
      <c r="DG27" s="53">
        <f t="shared" si="111"/>
        <v>37.457999999999998</v>
      </c>
      <c r="DK27">
        <v>17</v>
      </c>
      <c r="DL27" s="110">
        <v>9881</v>
      </c>
      <c r="DM27" s="53">
        <v>8.9349000000000007</v>
      </c>
      <c r="DN27" s="53">
        <v>1.1973</v>
      </c>
      <c r="DO27" s="53">
        <v>0.45619999999999999</v>
      </c>
      <c r="DP27" s="47">
        <f t="shared" si="137"/>
        <v>0.37228750000000005</v>
      </c>
      <c r="DQ27" s="53">
        <f t="shared" si="54"/>
        <v>37.453799999999994</v>
      </c>
      <c r="DS27" s="3">
        <f t="shared" si="55"/>
        <v>8.1800000000001205E-2</v>
      </c>
      <c r="DU27">
        <v>17</v>
      </c>
      <c r="DV27" s="115">
        <v>9881</v>
      </c>
      <c r="DW27" s="9">
        <v>8.9859000000000009</v>
      </c>
      <c r="DX27" s="9">
        <v>1.2040999999999999</v>
      </c>
      <c r="DY27" s="9">
        <v>0.45879999999999999</v>
      </c>
      <c r="DZ27" s="47">
        <f t="shared" si="138"/>
        <v>0.37441250000000004</v>
      </c>
      <c r="EA27" s="53">
        <f t="shared" si="112"/>
        <v>37.4512</v>
      </c>
      <c r="EB27" s="3"/>
      <c r="EE27">
        <v>17</v>
      </c>
      <c r="EF27" s="118">
        <v>9881</v>
      </c>
      <c r="EG27" s="9">
        <v>9.0655999999999999</v>
      </c>
      <c r="EH27" s="9">
        <v>1.2148000000000001</v>
      </c>
      <c r="EI27" s="9">
        <v>0.46279999999999999</v>
      </c>
      <c r="EJ27" s="47">
        <f t="shared" si="10"/>
        <v>0.37773333333333331</v>
      </c>
      <c r="EK27" s="53">
        <f t="shared" si="56"/>
        <v>37.447199999999995</v>
      </c>
      <c r="EM27" s="3">
        <f t="shared" si="57"/>
        <v>-4.0000000000048885E-3</v>
      </c>
      <c r="EN27" s="3"/>
      <c r="EO27">
        <v>17</v>
      </c>
      <c r="EP27" s="121">
        <v>9881</v>
      </c>
      <c r="EQ27" s="122">
        <v>9.2240000000000002</v>
      </c>
      <c r="ER27" s="122">
        <v>1.2361</v>
      </c>
      <c r="ES27" s="129">
        <v>0.47089999999999999</v>
      </c>
      <c r="ET27" s="130">
        <f t="shared" si="11"/>
        <v>0.38433333333333336</v>
      </c>
      <c r="EU27" s="131">
        <f t="shared" si="58"/>
        <v>37.439099999999996</v>
      </c>
      <c r="EX27" s="3"/>
      <c r="EY27">
        <v>17</v>
      </c>
      <c r="EZ27" s="135">
        <v>9881</v>
      </c>
      <c r="FA27" s="135">
        <v>9.2987000000000002</v>
      </c>
      <c r="FB27" s="135">
        <v>1.2461</v>
      </c>
      <c r="FC27" s="135">
        <v>0.47470000000000001</v>
      </c>
      <c r="FD27" s="136">
        <f t="shared" si="12"/>
        <v>0.38744583333333332</v>
      </c>
      <c r="FE27" s="131">
        <f t="shared" si="59"/>
        <v>37.435299999999998</v>
      </c>
      <c r="FG27" s="123">
        <f t="shared" si="60"/>
        <v>-3.7999999999982492E-3</v>
      </c>
      <c r="FH27" s="3"/>
      <c r="FI27">
        <v>17</v>
      </c>
      <c r="FJ27" s="145">
        <v>9881</v>
      </c>
      <c r="FK27" s="9">
        <v>9.3981999999999992</v>
      </c>
      <c r="FL27" s="9">
        <v>1.2594000000000001</v>
      </c>
      <c r="FM27" s="9">
        <v>0.4798</v>
      </c>
      <c r="FN27" s="146">
        <f t="shared" si="113"/>
        <v>0.39159166666666662</v>
      </c>
      <c r="FO27" s="131">
        <f t="shared" si="61"/>
        <v>37.430199999999999</v>
      </c>
      <c r="FP27" s="123">
        <f t="shared" si="62"/>
        <v>-5.0999999999987722E-3</v>
      </c>
      <c r="FS27">
        <v>17</v>
      </c>
      <c r="FT27" s="147">
        <v>9881</v>
      </c>
      <c r="FU27" s="148">
        <v>9.4186999999999994</v>
      </c>
      <c r="FV27" s="148">
        <v>1.2621</v>
      </c>
      <c r="FW27" s="148">
        <v>0.48089999999999999</v>
      </c>
      <c r="FX27" s="150">
        <f t="shared" si="114"/>
        <v>0.39244583333333333</v>
      </c>
      <c r="FY27" s="131">
        <f t="shared" si="115"/>
        <v>37.429099999999998</v>
      </c>
      <c r="FZ27">
        <f t="shared" si="63"/>
        <v>2.0500000000000185E-2</v>
      </c>
      <c r="GC27">
        <v>17</v>
      </c>
      <c r="GD27" s="151">
        <v>9881</v>
      </c>
      <c r="GE27" s="151">
        <v>9.4694000000000003</v>
      </c>
      <c r="GF27" s="151">
        <v>1.2688999999999999</v>
      </c>
      <c r="GG27" s="151">
        <v>0.48349999999999999</v>
      </c>
      <c r="GH27" s="153">
        <f t="shared" si="132"/>
        <v>0.39455833333333334</v>
      </c>
      <c r="GI27" s="131">
        <f t="shared" si="64"/>
        <v>37.426499999999997</v>
      </c>
      <c r="GJ27">
        <f t="shared" si="38"/>
        <v>5.0700000000000855E-2</v>
      </c>
      <c r="GM27">
        <v>17</v>
      </c>
      <c r="GN27" s="155">
        <v>9881</v>
      </c>
      <c r="GO27" s="155">
        <v>9.5767000000000007</v>
      </c>
      <c r="GP27" s="155">
        <v>1.2833000000000001</v>
      </c>
      <c r="GQ27" s="155">
        <v>0.4889</v>
      </c>
      <c r="GR27" s="58">
        <f t="shared" si="65"/>
        <v>0.39902916666666671</v>
      </c>
      <c r="GS27" s="131">
        <f t="shared" si="66"/>
        <v>37.421099999999996</v>
      </c>
      <c r="GT27">
        <f t="shared" si="39"/>
        <v>0.1073000000000004</v>
      </c>
      <c r="GW27">
        <v>17</v>
      </c>
      <c r="GX27" s="157">
        <v>9881</v>
      </c>
      <c r="GY27" s="161">
        <f>VLOOKUP(GX27,Sheet3!$AJ$7:$AN$83,2,0)</f>
        <v>9.7128999999999994</v>
      </c>
      <c r="GZ27" s="161">
        <f>VLOOKUP(GX27,Sheet3!$AJ$7:$AN$83,3,0)</f>
        <v>1.3016000000000001</v>
      </c>
      <c r="HA27" s="161">
        <f>VLOOKUP(GX27,Sheet3!$AJ$7:$AN$83,4,0)</f>
        <v>0.49590000000000001</v>
      </c>
      <c r="HB27" s="162">
        <f t="shared" si="17"/>
        <v>0.40470416666666664</v>
      </c>
      <c r="HC27" s="131">
        <f t="shared" si="116"/>
        <v>37.414099999999998</v>
      </c>
      <c r="HD27" s="159">
        <f t="shared" si="40"/>
        <v>0.13619999999999877</v>
      </c>
      <c r="HE27" s="159">
        <f t="shared" si="41"/>
        <v>7.0000000000000062E-3</v>
      </c>
      <c r="HG27" s="159"/>
      <c r="HH27" s="159">
        <v>17</v>
      </c>
      <c r="HI27" s="158">
        <v>9881</v>
      </c>
      <c r="HJ27" s="161">
        <v>9.7678999999999991</v>
      </c>
      <c r="HK27" s="161">
        <v>1.3089</v>
      </c>
      <c r="HL27" s="161">
        <v>0.49869999999999998</v>
      </c>
      <c r="HM27" s="162">
        <f t="shared" si="18"/>
        <v>0.40699583333333328</v>
      </c>
      <c r="HN27" s="131">
        <f t="shared" si="67"/>
        <v>37.411299999999997</v>
      </c>
      <c r="HO27" s="159">
        <f t="shared" si="68"/>
        <v>5.4999999999999716E-2</v>
      </c>
      <c r="HQ27" s="183"/>
      <c r="HR27" s="183">
        <v>17</v>
      </c>
      <c r="HS27" s="178">
        <v>9881</v>
      </c>
      <c r="HT27" s="184">
        <v>9.8036999999999992</v>
      </c>
      <c r="HU27" s="184">
        <v>1.3137000000000001</v>
      </c>
      <c r="HV27" s="184">
        <v>0.50049999999999994</v>
      </c>
      <c r="HW27" s="171">
        <f t="shared" si="19"/>
        <v>0.40848749999999995</v>
      </c>
      <c r="HX27" s="53">
        <f t="shared" si="69"/>
        <v>37.409499999999994</v>
      </c>
      <c r="HY27" s="183">
        <f t="shared" si="70"/>
        <v>3.5800000000000054E-2</v>
      </c>
      <c r="IA27" s="194"/>
      <c r="IB27" s="194">
        <v>17</v>
      </c>
      <c r="IC27" s="193">
        <v>9881</v>
      </c>
      <c r="ID27" s="161">
        <v>9.8192000000000004</v>
      </c>
      <c r="IE27" s="184">
        <v>1.3158000000000001</v>
      </c>
      <c r="IF27" s="184">
        <v>0.50129999999999997</v>
      </c>
      <c r="IG27" s="171">
        <f t="shared" si="71"/>
        <v>0.40913333333333335</v>
      </c>
      <c r="IH27" s="53">
        <f t="shared" si="72"/>
        <v>37.408699999999996</v>
      </c>
      <c r="II27" s="194">
        <f t="shared" si="73"/>
        <v>1.550000000000118E-2</v>
      </c>
      <c r="IK27" s="22"/>
      <c r="IL27" s="199">
        <v>17</v>
      </c>
      <c r="IM27" s="197">
        <v>9881</v>
      </c>
      <c r="IN27" s="161">
        <v>9.9008000000000003</v>
      </c>
      <c r="IO27" s="184">
        <v>1.3267</v>
      </c>
      <c r="IP27" s="184">
        <v>0.50549999999999995</v>
      </c>
      <c r="IQ27" s="171">
        <f t="shared" si="74"/>
        <v>0.41253333333333336</v>
      </c>
      <c r="IR27" s="53">
        <f t="shared" si="75"/>
        <v>37.404499999999999</v>
      </c>
      <c r="IS27" s="199">
        <f t="shared" si="76"/>
        <v>8.1599999999999895E-2</v>
      </c>
      <c r="IU27" s="22"/>
      <c r="IV27" s="202">
        <v>17</v>
      </c>
      <c r="IW27" s="201">
        <v>9881</v>
      </c>
      <c r="IX27" s="184">
        <v>10.010999999999999</v>
      </c>
      <c r="IY27" s="184">
        <v>1.3414999999999999</v>
      </c>
      <c r="IZ27" s="184">
        <v>0.5111</v>
      </c>
      <c r="JA27" s="162">
        <f t="shared" si="22"/>
        <v>0.41712499999999997</v>
      </c>
      <c r="JB27" s="53">
        <f t="shared" si="77"/>
        <v>37.398899999999998</v>
      </c>
      <c r="JC27" s="202">
        <f t="shared" si="78"/>
        <v>0.11019999999999897</v>
      </c>
      <c r="JE27" s="22"/>
      <c r="JF27" s="204">
        <v>17</v>
      </c>
      <c r="JG27" s="203">
        <v>9881</v>
      </c>
      <c r="JH27" s="161">
        <v>10.045999999999999</v>
      </c>
      <c r="JI27" s="184">
        <v>1.3462000000000001</v>
      </c>
      <c r="JJ27" s="184">
        <v>0.51290000000000002</v>
      </c>
      <c r="JK27" s="162">
        <f t="shared" si="79"/>
        <v>0.41858333333333331</v>
      </c>
      <c r="JL27" s="53">
        <f t="shared" si="80"/>
        <v>37.397099999999995</v>
      </c>
      <c r="JM27" s="204">
        <f t="shared" si="117"/>
        <v>3.5000000000000142E-2</v>
      </c>
      <c r="JN27" s="204"/>
      <c r="JP27" s="209">
        <v>17</v>
      </c>
      <c r="JQ27" s="205">
        <v>9881</v>
      </c>
      <c r="JR27" s="161">
        <v>10.074199999999999</v>
      </c>
      <c r="JS27" s="184">
        <v>1.35</v>
      </c>
      <c r="JT27" s="184">
        <v>0.51429999999999998</v>
      </c>
      <c r="JU27" s="162">
        <f t="shared" si="81"/>
        <v>0.41975833333333329</v>
      </c>
      <c r="JV27" s="53">
        <f t="shared" si="82"/>
        <v>37.395699999999998</v>
      </c>
      <c r="JW27" s="209">
        <f t="shared" si="118"/>
        <v>2.8200000000000003E-2</v>
      </c>
      <c r="JX27" s="213"/>
      <c r="JY27" s="213"/>
      <c r="JZ27" s="213">
        <v>17</v>
      </c>
      <c r="KA27" s="206">
        <v>9881</v>
      </c>
      <c r="KB27" s="184">
        <v>10.1402</v>
      </c>
      <c r="KC27" s="184">
        <v>1.3588</v>
      </c>
      <c r="KD27" s="184">
        <v>0.51770000000000005</v>
      </c>
      <c r="KE27" s="162">
        <f t="shared" si="83"/>
        <v>0.42250833333333332</v>
      </c>
      <c r="KF27" s="53">
        <f t="shared" si="84"/>
        <v>37.392299999999999</v>
      </c>
      <c r="KG27" s="213">
        <f t="shared" si="119"/>
        <v>6.6000000000000725E-2</v>
      </c>
      <c r="KI27" s="219"/>
      <c r="KJ27" s="219">
        <v>17</v>
      </c>
      <c r="KK27" s="214">
        <v>9881</v>
      </c>
      <c r="KL27" s="161">
        <v>10.1622</v>
      </c>
      <c r="KM27" s="161">
        <v>1.3617999999999999</v>
      </c>
      <c r="KN27" s="161">
        <v>0.51880000000000004</v>
      </c>
      <c r="KO27" s="162">
        <f t="shared" si="24"/>
        <v>0.423425</v>
      </c>
      <c r="KP27" s="53">
        <f t="shared" si="85"/>
        <v>37.391199999999998</v>
      </c>
      <c r="KQ27" s="219">
        <f t="shared" si="120"/>
        <v>2.2000000000000242E-2</v>
      </c>
      <c r="KT27" s="223">
        <v>17</v>
      </c>
      <c r="KU27" s="216">
        <v>9881</v>
      </c>
      <c r="KV27" s="161">
        <v>10.1854</v>
      </c>
      <c r="KW27" s="161">
        <v>1.3649</v>
      </c>
      <c r="KX27" s="161">
        <v>0.52</v>
      </c>
      <c r="KY27" s="162">
        <f t="shared" si="86"/>
        <v>0.42439166666666667</v>
      </c>
      <c r="KZ27" s="53">
        <f t="shared" si="87"/>
        <v>37.389999999999993</v>
      </c>
      <c r="LA27" s="223">
        <f t="shared" si="121"/>
        <v>2.3199999999999221E-2</v>
      </c>
      <c r="LD27" s="228">
        <v>17</v>
      </c>
      <c r="LE27" s="221">
        <v>9881</v>
      </c>
      <c r="LF27" s="161">
        <v>10.204800000000001</v>
      </c>
      <c r="LG27" s="161">
        <v>1.3674999999999999</v>
      </c>
      <c r="LH27" s="161">
        <v>0.52100000000000002</v>
      </c>
      <c r="LI27" s="162">
        <f t="shared" si="88"/>
        <v>0.42520000000000002</v>
      </c>
      <c r="LJ27" s="53">
        <f t="shared" si="89"/>
        <v>37.388999999999996</v>
      </c>
      <c r="LK27" s="228">
        <f t="shared" si="122"/>
        <v>1.9400000000000972E-2</v>
      </c>
      <c r="LL27" s="231"/>
      <c r="LM27" s="231"/>
      <c r="LN27" s="231">
        <v>17</v>
      </c>
      <c r="LO27" s="226">
        <v>9881</v>
      </c>
      <c r="LP27" s="184">
        <v>10.231999999999999</v>
      </c>
      <c r="LQ27" s="184">
        <v>1.3711</v>
      </c>
      <c r="LR27" s="184">
        <v>0.52239999999999998</v>
      </c>
      <c r="LS27" s="162">
        <f t="shared" si="90"/>
        <v>0.42633333333333329</v>
      </c>
      <c r="LT27" s="53">
        <f t="shared" si="91"/>
        <v>37.387599999999999</v>
      </c>
      <c r="LU27" s="231">
        <f t="shared" si="123"/>
        <v>2.7199999999998781E-2</v>
      </c>
      <c r="LW27" s="231"/>
      <c r="LX27" s="231">
        <v>17</v>
      </c>
      <c r="LY27" s="234">
        <v>9881</v>
      </c>
      <c r="LZ27" s="184">
        <v>10.262600000000001</v>
      </c>
      <c r="MA27" s="184">
        <v>1.3752</v>
      </c>
      <c r="MB27" s="184">
        <v>0.52400000000000002</v>
      </c>
      <c r="MC27" s="162">
        <f t="shared" si="92"/>
        <v>0.42760833333333337</v>
      </c>
      <c r="MD27" s="53">
        <f t="shared" si="93"/>
        <v>37.385999999999996</v>
      </c>
      <c r="ME27" s="231">
        <f t="shared" si="124"/>
        <v>3.0600000000001515E-2</v>
      </c>
      <c r="MF27" s="231"/>
      <c r="MG27" s="231"/>
      <c r="MH27" s="231">
        <v>17</v>
      </c>
      <c r="MI27" s="236">
        <v>9881</v>
      </c>
      <c r="MJ27" s="184">
        <v>10.2927</v>
      </c>
      <c r="MK27" s="184">
        <v>1.3793</v>
      </c>
      <c r="ML27" s="184">
        <v>0.52549999999999997</v>
      </c>
      <c r="MM27" s="162">
        <f t="shared" si="94"/>
        <v>0.42886249999999998</v>
      </c>
      <c r="MN27" s="53">
        <f t="shared" si="95"/>
        <v>37.384499999999996</v>
      </c>
      <c r="MO27" s="231">
        <f t="shared" si="125"/>
        <v>3.0099999999999127E-2</v>
      </c>
      <c r="MP27" s="231"/>
      <c r="MQ27" s="231"/>
      <c r="MR27" s="231">
        <v>17</v>
      </c>
      <c r="MS27" s="34">
        <v>9881</v>
      </c>
      <c r="MT27" s="184">
        <v>10.350199999999999</v>
      </c>
      <c r="MU27" s="184">
        <v>1.387</v>
      </c>
      <c r="MV27" s="184">
        <v>0.52839999999999998</v>
      </c>
      <c r="MW27" s="162">
        <f t="shared" si="96"/>
        <v>0.4312583333333333</v>
      </c>
      <c r="MX27" s="53">
        <f t="shared" si="97"/>
        <v>37.381599999999999</v>
      </c>
      <c r="MY27" s="231">
        <f t="shared" si="126"/>
        <v>5.7499999999999218E-2</v>
      </c>
      <c r="MZ27" s="246"/>
      <c r="NA27" s="246"/>
      <c r="NB27" s="246">
        <v>17</v>
      </c>
      <c r="NC27" s="34">
        <v>9881</v>
      </c>
      <c r="ND27" s="184">
        <v>10.409000000000001</v>
      </c>
      <c r="NE27" s="184">
        <v>1.3948</v>
      </c>
      <c r="NF27" s="184">
        <v>0.53139999999999998</v>
      </c>
      <c r="NG27" s="162">
        <f t="shared" si="98"/>
        <v>0.43370833333333336</v>
      </c>
      <c r="NH27" s="53">
        <f t="shared" si="99"/>
        <v>37.378599999999999</v>
      </c>
      <c r="NI27" s="232">
        <f t="shared" si="127"/>
        <v>5.8800000000001518E-2</v>
      </c>
      <c r="NK27" s="250"/>
      <c r="NL27" s="250">
        <v>17</v>
      </c>
      <c r="NM27" s="34">
        <v>9881</v>
      </c>
      <c r="NN27" s="184">
        <v>10.426299999999999</v>
      </c>
      <c r="NO27" s="184">
        <v>1.3972</v>
      </c>
      <c r="NP27" s="184">
        <v>0.5323</v>
      </c>
      <c r="NQ27" s="162">
        <f t="shared" si="133"/>
        <v>0.43442916666666664</v>
      </c>
      <c r="NR27" s="53">
        <f t="shared" si="101"/>
        <v>37.377699999999997</v>
      </c>
      <c r="NS27" s="232">
        <f t="shared" si="128"/>
        <v>1.7299999999998761E-2</v>
      </c>
      <c r="NU27" s="250"/>
      <c r="NV27" s="250">
        <v>17</v>
      </c>
      <c r="NW27" s="34">
        <v>9881</v>
      </c>
      <c r="NX27" s="184">
        <v>10.4537</v>
      </c>
      <c r="NY27" s="184">
        <v>1.4008</v>
      </c>
      <c r="NZ27" s="184">
        <v>0.53369999999999995</v>
      </c>
      <c r="OA27" s="162">
        <f t="shared" si="134"/>
        <v>0.4355708333333333</v>
      </c>
      <c r="OB27" s="53">
        <f t="shared" si="103"/>
        <v>37.376299999999993</v>
      </c>
      <c r="OC27" s="232">
        <f t="shared" si="129"/>
        <v>2.7400000000000091E-2</v>
      </c>
      <c r="OE27" s="250"/>
      <c r="OF27" s="250">
        <v>17</v>
      </c>
      <c r="OG27" s="34">
        <v>9881</v>
      </c>
      <c r="OH27" s="184">
        <v>10.467499999999999</v>
      </c>
      <c r="OI27" s="184">
        <v>1.4027000000000001</v>
      </c>
      <c r="OJ27" s="184">
        <v>0.53439999999999999</v>
      </c>
      <c r="OK27" s="162">
        <f t="shared" si="135"/>
        <v>0.43614583333333329</v>
      </c>
      <c r="OL27" s="53">
        <f t="shared" si="105"/>
        <v>37.375599999999999</v>
      </c>
      <c r="OM27" s="232">
        <f t="shared" si="130"/>
        <v>1.3799999999999812E-2</v>
      </c>
      <c r="OP27" s="250">
        <v>17</v>
      </c>
      <c r="OQ27" s="34">
        <v>9881</v>
      </c>
      <c r="OR27" s="184">
        <f>VLOOKUP(OQ27,Sheet4!A25:F101,3,0)</f>
        <v>10.4991</v>
      </c>
      <c r="OS27" s="184">
        <f>VLOOKUP(OQ27,Sheet4!A25:F101,4,0)</f>
        <v>1.4069</v>
      </c>
      <c r="OT27" s="184">
        <f>VLOOKUP(OQ27,Sheet4!A25:F101,5,0)</f>
        <v>0.53600000000000003</v>
      </c>
      <c r="OU27" s="162">
        <f t="shared" si="106"/>
        <v>0.43746250000000003</v>
      </c>
      <c r="OV27" s="53">
        <f t="shared" si="107"/>
        <v>37.373999999999995</v>
      </c>
      <c r="OW27" s="232">
        <f t="shared" si="131"/>
        <v>3.1600000000000961E-2</v>
      </c>
    </row>
    <row r="28" spans="1:413" ht="15.75" x14ac:dyDescent="0.25">
      <c r="A28">
        <v>20</v>
      </c>
      <c r="B28" s="1">
        <v>9352</v>
      </c>
      <c r="C28" s="1" t="s">
        <v>1</v>
      </c>
      <c r="D28" s="2">
        <v>37.89</v>
      </c>
      <c r="E28" s="8"/>
      <c r="F28" s="8"/>
      <c r="G28" s="8"/>
      <c r="H28" s="8"/>
      <c r="J28" s="15">
        <v>9352</v>
      </c>
      <c r="K28" s="15">
        <v>11.267200000000001</v>
      </c>
      <c r="L28" s="15">
        <v>1.5098</v>
      </c>
      <c r="M28" s="15">
        <v>0.57530000000000003</v>
      </c>
      <c r="N28" s="24">
        <f t="shared" si="42"/>
        <v>0.4694666666666667</v>
      </c>
      <c r="O28" s="10">
        <f t="shared" si="36"/>
        <v>37.314700000000002</v>
      </c>
      <c r="P28" s="18"/>
      <c r="R28" s="20">
        <v>9352</v>
      </c>
      <c r="S28" s="9">
        <v>11.337300000000001</v>
      </c>
      <c r="T28" s="9">
        <v>1.5192000000000001</v>
      </c>
      <c r="U28" s="9">
        <v>0.57879999999999998</v>
      </c>
      <c r="V28" s="24">
        <f t="shared" si="43"/>
        <v>0.47238750000000002</v>
      </c>
      <c r="W28" s="10">
        <f t="shared" si="44"/>
        <v>37.311199999999999</v>
      </c>
      <c r="X28" s="18"/>
      <c r="Z28" s="27">
        <v>9352</v>
      </c>
      <c r="AA28" s="9">
        <v>11.5097</v>
      </c>
      <c r="AB28" s="9">
        <v>1.5423</v>
      </c>
      <c r="AC28" s="9">
        <v>0.58760000000000001</v>
      </c>
      <c r="AD28" s="24">
        <f t="shared" si="45"/>
        <v>0.47957083333333334</v>
      </c>
      <c r="AE28" s="10">
        <f t="shared" si="46"/>
        <v>37.302399999999999</v>
      </c>
      <c r="AF28" s="79"/>
      <c r="AG28">
        <v>20</v>
      </c>
      <c r="AH28" s="1">
        <v>9352</v>
      </c>
      <c r="AI28" s="1" t="s">
        <v>1</v>
      </c>
      <c r="AJ28" s="2">
        <v>37.89</v>
      </c>
      <c r="AL28" s="32">
        <v>9352</v>
      </c>
      <c r="AM28" s="9">
        <v>11.6973</v>
      </c>
      <c r="AN28" s="9">
        <v>1.5674999999999999</v>
      </c>
      <c r="AO28" s="9">
        <v>0.59719999999999995</v>
      </c>
      <c r="AP28" s="37">
        <f t="shared" si="0"/>
        <v>0.48738750000000003</v>
      </c>
      <c r="AQ28" s="53">
        <f t="shared" si="108"/>
        <v>37.2928</v>
      </c>
      <c r="AT28" s="39"/>
      <c r="AU28" s="38">
        <v>9352</v>
      </c>
      <c r="AV28" s="9">
        <v>11.777100000000001</v>
      </c>
      <c r="AW28" s="43">
        <v>1.5782</v>
      </c>
      <c r="AX28" s="43">
        <v>0.60129999999999995</v>
      </c>
      <c r="AY28" s="47">
        <f t="shared" si="47"/>
        <v>0.49071250000000005</v>
      </c>
      <c r="AZ28" s="56">
        <f t="shared" si="109"/>
        <v>37.288699999999999</v>
      </c>
      <c r="BD28" s="54">
        <v>9352</v>
      </c>
      <c r="BE28" s="53">
        <v>11.786099999999999</v>
      </c>
      <c r="BF28" s="58">
        <v>1.5793999999999999</v>
      </c>
      <c r="BG28" s="58">
        <v>0.60170000000000001</v>
      </c>
      <c r="BH28" s="47">
        <f t="shared" si="48"/>
        <v>0.49108749999999995</v>
      </c>
      <c r="BI28" s="56">
        <f t="shared" si="49"/>
        <v>37.2883</v>
      </c>
      <c r="BJ28" s="88"/>
      <c r="BK28" s="88"/>
      <c r="BL28" s="88"/>
      <c r="BN28" s="9">
        <v>9352</v>
      </c>
      <c r="BO28" s="53">
        <v>11.819800000000001</v>
      </c>
      <c r="BP28" s="53">
        <v>1.5839000000000001</v>
      </c>
      <c r="BQ28" s="53">
        <v>0.60350000000000004</v>
      </c>
      <c r="BR28" s="53">
        <f t="shared" si="50"/>
        <v>0.49249166666666672</v>
      </c>
      <c r="BS28" s="53">
        <f t="shared" si="51"/>
        <v>37.286500000000004</v>
      </c>
      <c r="BV28" s="88"/>
      <c r="BX28" s="93">
        <v>9352</v>
      </c>
      <c r="BY28" s="9">
        <v>11.886100000000001</v>
      </c>
      <c r="BZ28" s="9">
        <v>1.5928</v>
      </c>
      <c r="CA28" s="9">
        <v>0.6069</v>
      </c>
      <c r="CB28" s="58">
        <f t="shared" si="52"/>
        <v>0.49525416666666672</v>
      </c>
      <c r="CC28" s="53">
        <f t="shared" si="110"/>
        <v>37.283099999999997</v>
      </c>
      <c r="CF28" s="88"/>
      <c r="CG28">
        <v>18</v>
      </c>
      <c r="CH28" s="93">
        <v>9352</v>
      </c>
      <c r="CI28" s="93">
        <v>11.943099999999999</v>
      </c>
      <c r="CJ28" s="9">
        <v>1.6004</v>
      </c>
      <c r="CK28" s="9">
        <v>0.60980000000000001</v>
      </c>
      <c r="CL28" s="47">
        <f t="shared" si="5"/>
        <v>0.49762916666666662</v>
      </c>
      <c r="CM28" s="53">
        <f t="shared" si="53"/>
        <v>37.280200000000001</v>
      </c>
      <c r="CQ28">
        <v>18</v>
      </c>
      <c r="CR28" s="98">
        <v>9352</v>
      </c>
      <c r="CS28" s="101">
        <v>12.014799999999999</v>
      </c>
      <c r="CT28" s="101">
        <v>1.61</v>
      </c>
      <c r="CU28" s="101">
        <v>0.61339999999999995</v>
      </c>
      <c r="CV28" s="47">
        <f t="shared" si="6"/>
        <v>0.5006166666666666</v>
      </c>
      <c r="CW28" s="53">
        <f t="shared" si="37"/>
        <v>37.276600000000002</v>
      </c>
      <c r="DA28">
        <v>18</v>
      </c>
      <c r="DB28" s="106">
        <v>9352</v>
      </c>
      <c r="DC28" s="107">
        <v>12.021800000000001</v>
      </c>
      <c r="DD28" s="107">
        <v>1.611</v>
      </c>
      <c r="DE28" s="107">
        <v>0.61380000000000001</v>
      </c>
      <c r="DF28" s="47">
        <f t="shared" si="136"/>
        <v>0.5009083333333334</v>
      </c>
      <c r="DG28" s="53">
        <f t="shared" si="111"/>
        <v>37.276200000000003</v>
      </c>
      <c r="DK28">
        <v>18</v>
      </c>
      <c r="DL28" s="110">
        <v>9352</v>
      </c>
      <c r="DM28" s="53">
        <v>12.1036</v>
      </c>
      <c r="DN28" s="53">
        <v>1.6218999999999999</v>
      </c>
      <c r="DO28" s="53">
        <v>0.61799999999999999</v>
      </c>
      <c r="DP28" s="47">
        <f t="shared" si="137"/>
        <v>0.50431666666666664</v>
      </c>
      <c r="DQ28" s="53">
        <f t="shared" si="54"/>
        <v>37.271999999999998</v>
      </c>
      <c r="DS28" s="3">
        <f t="shared" si="55"/>
        <v>8.1799999999999429E-2</v>
      </c>
      <c r="DU28">
        <v>18</v>
      </c>
      <c r="DV28" s="115">
        <v>9352</v>
      </c>
      <c r="DW28" s="9">
        <v>12.1546</v>
      </c>
      <c r="DX28" s="9">
        <v>1.6288</v>
      </c>
      <c r="DY28" s="9">
        <v>0.62060000000000004</v>
      </c>
      <c r="DZ28" s="47">
        <f t="shared" si="138"/>
        <v>0.50644166666666668</v>
      </c>
      <c r="EA28" s="53">
        <f t="shared" si="112"/>
        <v>37.269399999999997</v>
      </c>
      <c r="EB28" s="3"/>
      <c r="EE28">
        <v>18</v>
      </c>
      <c r="EF28" s="118">
        <v>9352</v>
      </c>
      <c r="EG28" s="9">
        <v>12.234299999999999</v>
      </c>
      <c r="EH28" s="9">
        <v>1.6394</v>
      </c>
      <c r="EI28" s="9">
        <v>0.62460000000000004</v>
      </c>
      <c r="EJ28" s="47">
        <f t="shared" si="10"/>
        <v>0.50976250000000001</v>
      </c>
      <c r="EK28" s="53">
        <f t="shared" si="56"/>
        <v>37.2654</v>
      </c>
      <c r="EM28" s="3">
        <f t="shared" si="57"/>
        <v>-3.9999999999977831E-3</v>
      </c>
      <c r="EN28" s="3"/>
      <c r="EO28">
        <v>18</v>
      </c>
      <c r="EP28" s="121">
        <v>9352</v>
      </c>
      <c r="EQ28" s="122">
        <v>12.3927</v>
      </c>
      <c r="ER28" s="122">
        <v>1.6607000000000001</v>
      </c>
      <c r="ES28" s="129">
        <v>0.63270000000000004</v>
      </c>
      <c r="ET28" s="130">
        <f t="shared" si="11"/>
        <v>0.51636249999999995</v>
      </c>
      <c r="EU28" s="131">
        <f t="shared" si="58"/>
        <v>37.257300000000001</v>
      </c>
      <c r="EX28" s="3"/>
      <c r="EY28">
        <v>18</v>
      </c>
      <c r="EZ28" s="135">
        <v>9352</v>
      </c>
      <c r="FA28" s="135">
        <v>12.4674</v>
      </c>
      <c r="FB28" s="135">
        <v>1.6707000000000001</v>
      </c>
      <c r="FC28" s="135">
        <v>0.63649999999999995</v>
      </c>
      <c r="FD28" s="136">
        <f t="shared" si="12"/>
        <v>0.51947500000000002</v>
      </c>
      <c r="FE28" s="131">
        <f t="shared" si="59"/>
        <v>37.253500000000003</v>
      </c>
      <c r="FG28" s="123">
        <f t="shared" si="60"/>
        <v>-3.7999999999982492E-3</v>
      </c>
      <c r="FH28" s="3"/>
      <c r="FI28">
        <v>18</v>
      </c>
      <c r="FJ28" s="145">
        <v>9352</v>
      </c>
      <c r="FK28" s="9">
        <v>12.5669</v>
      </c>
      <c r="FL28" s="9">
        <v>1.6839999999999999</v>
      </c>
      <c r="FM28" s="9">
        <v>0.64159999999999995</v>
      </c>
      <c r="FN28" s="146">
        <f t="shared" si="113"/>
        <v>0.52362083333333331</v>
      </c>
      <c r="FO28" s="131">
        <f t="shared" si="61"/>
        <v>37.248400000000004</v>
      </c>
      <c r="FP28" s="123">
        <f t="shared" si="62"/>
        <v>-5.0999999999987722E-3</v>
      </c>
      <c r="FS28">
        <v>18</v>
      </c>
      <c r="FT28" s="147">
        <v>9352</v>
      </c>
      <c r="FU28" s="148">
        <v>12.587400000000001</v>
      </c>
      <c r="FV28" s="148">
        <v>1.6868000000000001</v>
      </c>
      <c r="FW28" s="148">
        <v>0.64270000000000005</v>
      </c>
      <c r="FX28" s="150">
        <f t="shared" si="114"/>
        <v>0.52447500000000002</v>
      </c>
      <c r="FY28" s="131">
        <f t="shared" si="115"/>
        <v>37.247300000000003</v>
      </c>
      <c r="FZ28">
        <f t="shared" si="63"/>
        <v>2.0500000000000185E-2</v>
      </c>
      <c r="GC28">
        <v>18</v>
      </c>
      <c r="GD28" s="151">
        <v>9352</v>
      </c>
      <c r="GE28" s="151">
        <v>12.6381</v>
      </c>
      <c r="GF28" s="151">
        <v>1.6936</v>
      </c>
      <c r="GG28" s="151">
        <v>0.6452</v>
      </c>
      <c r="GH28" s="153">
        <f t="shared" si="132"/>
        <v>0.52658749999999999</v>
      </c>
      <c r="GI28" s="131">
        <f t="shared" si="64"/>
        <v>37.244799999999998</v>
      </c>
      <c r="GJ28">
        <f t="shared" si="38"/>
        <v>5.0699999999999079E-2</v>
      </c>
      <c r="GM28">
        <v>18</v>
      </c>
      <c r="GN28" s="155">
        <v>9352</v>
      </c>
      <c r="GO28" s="155">
        <v>12.7454</v>
      </c>
      <c r="GP28" s="155">
        <v>1.7079</v>
      </c>
      <c r="GQ28" s="155">
        <v>0.65069999999999995</v>
      </c>
      <c r="GR28" s="58">
        <f t="shared" si="65"/>
        <v>0.5310583333333333</v>
      </c>
      <c r="GS28" s="131">
        <f t="shared" si="66"/>
        <v>37.2393</v>
      </c>
      <c r="GT28">
        <f t="shared" si="39"/>
        <v>0.1073000000000004</v>
      </c>
      <c r="GW28">
        <v>18</v>
      </c>
      <c r="GX28" s="157">
        <v>9352</v>
      </c>
      <c r="GY28" s="161">
        <f>VLOOKUP(GX28,Sheet3!$AJ$7:$AN$83,2,0)</f>
        <v>12.881600000000001</v>
      </c>
      <c r="GZ28" s="161">
        <f>VLOOKUP(GX28,Sheet3!$AJ$7:$AN$83,3,0)</f>
        <v>1.7262</v>
      </c>
      <c r="HA28" s="161">
        <f>VLOOKUP(GX28,Sheet3!$AJ$7:$AN$83,4,0)</f>
        <v>0.65769999999999995</v>
      </c>
      <c r="HB28" s="162">
        <f t="shared" si="17"/>
        <v>0.5367333333333334</v>
      </c>
      <c r="HC28" s="131">
        <f t="shared" si="116"/>
        <v>37.232300000000002</v>
      </c>
      <c r="HD28" s="159">
        <f t="shared" si="40"/>
        <v>0.13620000000000054</v>
      </c>
      <c r="HE28" s="159">
        <f t="shared" si="41"/>
        <v>7.0000000000000062E-3</v>
      </c>
      <c r="HG28" s="159"/>
      <c r="HH28" s="159">
        <v>18</v>
      </c>
      <c r="HI28" s="158">
        <v>9352</v>
      </c>
      <c r="HJ28" s="161">
        <v>12.9366</v>
      </c>
      <c r="HK28" s="161">
        <v>1.7336</v>
      </c>
      <c r="HL28" s="161">
        <v>0.66049999999999998</v>
      </c>
      <c r="HM28" s="162">
        <f t="shared" si="18"/>
        <v>0.53902499999999998</v>
      </c>
      <c r="HN28" s="131">
        <f t="shared" si="67"/>
        <v>37.229500000000002</v>
      </c>
      <c r="HO28" s="159">
        <f t="shared" si="68"/>
        <v>5.4999999999999716E-2</v>
      </c>
      <c r="HQ28" s="183"/>
      <c r="HR28" s="183">
        <v>18</v>
      </c>
      <c r="HS28" s="178">
        <v>9352</v>
      </c>
      <c r="HT28" s="184">
        <v>12.9724</v>
      </c>
      <c r="HU28" s="184">
        <v>1.7383999999999999</v>
      </c>
      <c r="HV28" s="184">
        <v>0.6623</v>
      </c>
      <c r="HW28" s="171">
        <f t="shared" si="19"/>
        <v>0.54051666666666665</v>
      </c>
      <c r="HX28" s="53">
        <f t="shared" si="69"/>
        <v>37.227699999999999</v>
      </c>
      <c r="HY28" s="183">
        <f t="shared" si="70"/>
        <v>3.5800000000000054E-2</v>
      </c>
      <c r="IA28" s="194"/>
      <c r="IB28" s="194">
        <v>18</v>
      </c>
      <c r="IC28" s="193">
        <v>9352</v>
      </c>
      <c r="ID28" s="161">
        <v>12.9879</v>
      </c>
      <c r="IE28" s="184">
        <v>1.7403999999999999</v>
      </c>
      <c r="IF28" s="184">
        <v>0.66310000000000002</v>
      </c>
      <c r="IG28" s="171">
        <f t="shared" si="71"/>
        <v>0.54116249999999999</v>
      </c>
      <c r="IH28" s="53">
        <f t="shared" si="72"/>
        <v>37.226900000000001</v>
      </c>
      <c r="II28" s="194">
        <f t="shared" si="73"/>
        <v>1.5499999999999403E-2</v>
      </c>
      <c r="IL28" s="199">
        <v>18</v>
      </c>
      <c r="IM28" s="197">
        <v>9352</v>
      </c>
      <c r="IN28" s="161">
        <v>13.0695</v>
      </c>
      <c r="IO28" s="184">
        <v>1.7514000000000001</v>
      </c>
      <c r="IP28" s="184">
        <v>0.6673</v>
      </c>
      <c r="IQ28" s="171">
        <f t="shared" si="74"/>
        <v>0.54456249999999995</v>
      </c>
      <c r="IR28" s="53">
        <f t="shared" si="75"/>
        <v>37.222700000000003</v>
      </c>
      <c r="IS28" s="199">
        <f t="shared" si="76"/>
        <v>8.1599999999999895E-2</v>
      </c>
      <c r="IU28" s="202"/>
      <c r="IV28" s="202">
        <v>18</v>
      </c>
      <c r="IW28" s="201">
        <v>9352</v>
      </c>
      <c r="IX28" s="184">
        <v>13.1797</v>
      </c>
      <c r="IY28" s="184">
        <v>1.7661</v>
      </c>
      <c r="IZ28" s="184">
        <v>0.67290000000000005</v>
      </c>
      <c r="JA28" s="162">
        <f t="shared" si="22"/>
        <v>0.54915416666666672</v>
      </c>
      <c r="JB28" s="53">
        <f t="shared" si="77"/>
        <v>37.217100000000002</v>
      </c>
      <c r="JC28" s="202">
        <f t="shared" si="78"/>
        <v>0.11020000000000074</v>
      </c>
      <c r="JE28" s="204"/>
      <c r="JF28" s="204">
        <v>18</v>
      </c>
      <c r="JG28" s="203">
        <v>9352</v>
      </c>
      <c r="JH28" s="161">
        <v>13.214700000000001</v>
      </c>
      <c r="JI28" s="184">
        <v>1.7707999999999999</v>
      </c>
      <c r="JJ28" s="184">
        <v>0.67469999999999997</v>
      </c>
      <c r="JK28" s="162">
        <f t="shared" si="79"/>
        <v>0.55061250000000006</v>
      </c>
      <c r="JL28" s="53">
        <f t="shared" si="80"/>
        <v>37.215299999999999</v>
      </c>
      <c r="JM28" s="204">
        <f t="shared" si="117"/>
        <v>3.5000000000000142E-2</v>
      </c>
      <c r="JN28" s="204"/>
      <c r="JP28" s="209">
        <v>18</v>
      </c>
      <c r="JQ28" s="205">
        <v>9352</v>
      </c>
      <c r="JR28" s="161">
        <v>13.242900000000001</v>
      </c>
      <c r="JS28" s="184">
        <v>1.7746</v>
      </c>
      <c r="JT28" s="184">
        <v>0.67610000000000003</v>
      </c>
      <c r="JU28" s="162">
        <f t="shared" si="81"/>
        <v>0.55178749999999999</v>
      </c>
      <c r="JV28" s="53">
        <f t="shared" si="82"/>
        <v>37.213900000000002</v>
      </c>
      <c r="JW28" s="209">
        <f t="shared" si="118"/>
        <v>2.8200000000000003E-2</v>
      </c>
      <c r="JX28" s="213"/>
      <c r="JY28" s="213"/>
      <c r="JZ28" s="213">
        <v>18</v>
      </c>
      <c r="KA28" s="206">
        <v>9352</v>
      </c>
      <c r="KB28" s="184">
        <v>13.3089</v>
      </c>
      <c r="KC28" s="184">
        <v>1.7834000000000001</v>
      </c>
      <c r="KD28" s="184">
        <v>0.67949999999999999</v>
      </c>
      <c r="KE28" s="162">
        <f t="shared" si="83"/>
        <v>0.55453750000000002</v>
      </c>
      <c r="KF28" s="53">
        <f t="shared" si="84"/>
        <v>37.210500000000003</v>
      </c>
      <c r="KG28" s="213">
        <f t="shared" si="119"/>
        <v>6.5999999999998948E-2</v>
      </c>
      <c r="KI28" s="219"/>
      <c r="KJ28" s="219">
        <v>18</v>
      </c>
      <c r="KK28" s="214">
        <v>9352</v>
      </c>
      <c r="KL28" s="161">
        <v>13.3309</v>
      </c>
      <c r="KM28" s="161">
        <v>1.7864</v>
      </c>
      <c r="KN28" s="161">
        <v>0.68059999999999998</v>
      </c>
      <c r="KO28" s="162">
        <f t="shared" si="24"/>
        <v>0.55545416666666669</v>
      </c>
      <c r="KP28" s="53">
        <f t="shared" si="85"/>
        <v>37.209400000000002</v>
      </c>
      <c r="KQ28" s="219">
        <f t="shared" si="120"/>
        <v>2.2000000000000242E-2</v>
      </c>
      <c r="KT28" s="223">
        <v>18</v>
      </c>
      <c r="KU28" s="216">
        <v>9352</v>
      </c>
      <c r="KV28" s="161">
        <v>13.354099999999999</v>
      </c>
      <c r="KW28" s="161">
        <v>1.7894999999999999</v>
      </c>
      <c r="KX28" s="161">
        <v>0.68179999999999996</v>
      </c>
      <c r="KY28" s="162">
        <f t="shared" si="86"/>
        <v>0.55642083333333325</v>
      </c>
      <c r="KZ28" s="53">
        <f t="shared" si="87"/>
        <v>37.208199999999998</v>
      </c>
      <c r="LA28" s="223">
        <f t="shared" si="121"/>
        <v>2.3199999999999221E-2</v>
      </c>
      <c r="LD28" s="228">
        <v>18</v>
      </c>
      <c r="LE28" s="221">
        <v>9352</v>
      </c>
      <c r="LF28" s="161">
        <v>13.3735</v>
      </c>
      <c r="LG28" s="161">
        <v>1.7921</v>
      </c>
      <c r="LH28" s="161">
        <v>0.68279999999999996</v>
      </c>
      <c r="LI28" s="162">
        <f t="shared" si="88"/>
        <v>0.55722916666666666</v>
      </c>
      <c r="LJ28" s="53">
        <f t="shared" si="89"/>
        <v>37.2072</v>
      </c>
      <c r="LK28" s="228">
        <f t="shared" si="122"/>
        <v>1.9400000000000972E-2</v>
      </c>
      <c r="LL28" s="231"/>
      <c r="LM28" s="231"/>
      <c r="LN28" s="231">
        <v>18</v>
      </c>
      <c r="LO28" s="226">
        <v>9352</v>
      </c>
      <c r="LP28" s="184">
        <v>13.400700000000001</v>
      </c>
      <c r="LQ28" s="184">
        <v>1.7957000000000001</v>
      </c>
      <c r="LR28" s="184">
        <v>0.68420000000000003</v>
      </c>
      <c r="LS28" s="162">
        <f t="shared" si="90"/>
        <v>0.55836249999999998</v>
      </c>
      <c r="LT28" s="53">
        <f t="shared" si="91"/>
        <v>37.205800000000004</v>
      </c>
      <c r="LU28" s="231">
        <f t="shared" si="123"/>
        <v>2.7200000000000557E-2</v>
      </c>
      <c r="LW28" s="231"/>
      <c r="LX28" s="231">
        <v>18</v>
      </c>
      <c r="LY28" s="234">
        <v>9352</v>
      </c>
      <c r="LZ28" s="184">
        <v>13.4313</v>
      </c>
      <c r="MA28" s="184">
        <v>1.7998000000000001</v>
      </c>
      <c r="MB28" s="184">
        <v>0.68569999999999998</v>
      </c>
      <c r="MC28" s="162">
        <f t="shared" si="92"/>
        <v>0.55963750000000001</v>
      </c>
      <c r="MD28" s="53">
        <f t="shared" si="93"/>
        <v>37.204300000000003</v>
      </c>
      <c r="ME28" s="231">
        <f t="shared" si="124"/>
        <v>3.0599999999999739E-2</v>
      </c>
      <c r="MF28" s="231"/>
      <c r="MG28" s="231"/>
      <c r="MH28" s="231">
        <v>18</v>
      </c>
      <c r="MI28" s="236">
        <v>9352</v>
      </c>
      <c r="MJ28" s="184">
        <v>13.461399999999999</v>
      </c>
      <c r="MK28" s="184">
        <v>1.8039000000000001</v>
      </c>
      <c r="ML28" s="184">
        <v>0.68730000000000002</v>
      </c>
      <c r="MM28" s="162">
        <f t="shared" si="94"/>
        <v>0.56089166666666668</v>
      </c>
      <c r="MN28" s="53">
        <f t="shared" si="95"/>
        <v>37.2027</v>
      </c>
      <c r="MO28" s="231">
        <f t="shared" si="125"/>
        <v>3.0099999999999127E-2</v>
      </c>
      <c r="MP28" s="231"/>
      <c r="MQ28" s="231"/>
      <c r="MR28" s="231">
        <v>18</v>
      </c>
      <c r="MS28" s="34">
        <v>9352</v>
      </c>
      <c r="MT28" s="184">
        <v>13.5189</v>
      </c>
      <c r="MU28" s="184">
        <v>1.8116000000000001</v>
      </c>
      <c r="MV28" s="184">
        <v>0.69020000000000004</v>
      </c>
      <c r="MW28" s="162">
        <f t="shared" si="96"/>
        <v>0.56328750000000005</v>
      </c>
      <c r="MX28" s="53">
        <f t="shared" si="97"/>
        <v>37.199800000000003</v>
      </c>
      <c r="MY28" s="231">
        <f t="shared" si="126"/>
        <v>5.7500000000000995E-2</v>
      </c>
      <c r="MZ28" s="246"/>
      <c r="NA28" s="246"/>
      <c r="NB28" s="246">
        <v>18</v>
      </c>
      <c r="NC28" s="34">
        <v>9352</v>
      </c>
      <c r="ND28" s="184">
        <v>13.5777</v>
      </c>
      <c r="NE28" s="184">
        <v>1.8194999999999999</v>
      </c>
      <c r="NF28" s="184">
        <v>0.69320000000000004</v>
      </c>
      <c r="NG28" s="162">
        <f t="shared" si="98"/>
        <v>0.5657375</v>
      </c>
      <c r="NH28" s="53">
        <f t="shared" si="99"/>
        <v>37.196800000000003</v>
      </c>
      <c r="NI28" s="232">
        <f t="shared" si="127"/>
        <v>5.8799999999999741E-2</v>
      </c>
      <c r="NK28" s="250"/>
      <c r="NL28" s="250">
        <v>18</v>
      </c>
      <c r="NM28" s="34">
        <v>9352</v>
      </c>
      <c r="NN28" s="184">
        <v>13.595000000000001</v>
      </c>
      <c r="NO28" s="184">
        <v>1.8218000000000001</v>
      </c>
      <c r="NP28" s="184">
        <v>0.69410000000000005</v>
      </c>
      <c r="NQ28" s="162">
        <f t="shared" si="133"/>
        <v>0.5664583333333334</v>
      </c>
      <c r="NR28" s="53">
        <f t="shared" si="101"/>
        <v>37.195900000000002</v>
      </c>
      <c r="NS28" s="232">
        <f t="shared" si="128"/>
        <v>1.7300000000000537E-2</v>
      </c>
      <c r="NU28" s="250"/>
      <c r="NV28" s="250">
        <v>18</v>
      </c>
      <c r="NW28" s="34">
        <v>9352</v>
      </c>
      <c r="NX28" s="184">
        <v>13.622400000000001</v>
      </c>
      <c r="NY28" s="184">
        <v>1.8254999999999999</v>
      </c>
      <c r="NZ28" s="184">
        <v>0.69550000000000001</v>
      </c>
      <c r="OA28" s="162">
        <f t="shared" si="134"/>
        <v>0.56759999999999999</v>
      </c>
      <c r="OB28" s="53">
        <f t="shared" si="103"/>
        <v>37.194499999999998</v>
      </c>
      <c r="OC28" s="232">
        <f t="shared" si="129"/>
        <v>2.7400000000000091E-2</v>
      </c>
      <c r="OE28" s="250"/>
      <c r="OF28" s="250">
        <v>18</v>
      </c>
      <c r="OG28" s="34">
        <v>9352</v>
      </c>
      <c r="OH28" s="184">
        <v>13.636200000000001</v>
      </c>
      <c r="OI28" s="184">
        <v>1.8272999999999999</v>
      </c>
      <c r="OJ28" s="184">
        <v>0.69620000000000004</v>
      </c>
      <c r="OK28" s="162">
        <f t="shared" si="135"/>
        <v>0.56817499999999999</v>
      </c>
      <c r="OL28" s="53">
        <f t="shared" si="105"/>
        <v>37.193800000000003</v>
      </c>
      <c r="OM28" s="232">
        <f t="shared" si="130"/>
        <v>1.3799999999999812E-2</v>
      </c>
      <c r="OP28" s="250">
        <v>18</v>
      </c>
      <c r="OQ28" s="34">
        <v>9352</v>
      </c>
      <c r="OR28" s="184">
        <f>VLOOKUP(OQ28,Sheet4!A9:F85,3,0)</f>
        <v>13.6678</v>
      </c>
      <c r="OS28" s="184">
        <f>VLOOKUP(OQ28,Sheet4!A9:F85,4,0)</f>
        <v>1.8314999999999999</v>
      </c>
      <c r="OT28" s="184">
        <f>VLOOKUP(OQ28,Sheet4!A9:F85,5,0)</f>
        <v>0.69779999999999998</v>
      </c>
      <c r="OU28" s="162">
        <f t="shared" si="106"/>
        <v>0.56949166666666662</v>
      </c>
      <c r="OV28" s="53">
        <f t="shared" si="107"/>
        <v>37.1922</v>
      </c>
      <c r="OW28" s="232">
        <f t="shared" si="131"/>
        <v>3.1599999999999184E-2</v>
      </c>
    </row>
    <row r="29" spans="1:413" ht="15.75" x14ac:dyDescent="0.25">
      <c r="A29">
        <v>21</v>
      </c>
      <c r="B29" s="1">
        <v>9638</v>
      </c>
      <c r="C29" s="1" t="s">
        <v>1</v>
      </c>
      <c r="D29" s="2">
        <v>37.64</v>
      </c>
      <c r="E29" s="8"/>
      <c r="F29" s="8"/>
      <c r="G29" s="8"/>
      <c r="H29" s="8"/>
      <c r="J29" s="15">
        <v>9638</v>
      </c>
      <c r="K29" s="15">
        <v>2.2709000000000001</v>
      </c>
      <c r="L29" s="15">
        <v>0.30430000000000001</v>
      </c>
      <c r="M29" s="15">
        <v>0.1159</v>
      </c>
      <c r="N29" s="24">
        <f t="shared" si="42"/>
        <v>9.4620833333333335E-2</v>
      </c>
      <c r="O29" s="10">
        <f t="shared" si="36"/>
        <v>37.524099999999997</v>
      </c>
      <c r="P29" s="18"/>
      <c r="R29" s="20">
        <v>9638</v>
      </c>
      <c r="S29" s="9">
        <v>2.3410000000000002</v>
      </c>
      <c r="T29" s="9">
        <v>0.31369999999999998</v>
      </c>
      <c r="U29" s="9">
        <v>0.1195</v>
      </c>
      <c r="V29" s="24">
        <f t="shared" si="43"/>
        <v>9.7541666666666679E-2</v>
      </c>
      <c r="W29" s="10">
        <f t="shared" si="44"/>
        <v>37.520499999999998</v>
      </c>
      <c r="X29" s="18"/>
      <c r="Z29" s="27">
        <v>9638</v>
      </c>
      <c r="AA29" s="9">
        <v>2.5133999999999999</v>
      </c>
      <c r="AB29" s="9">
        <v>0.33679999999999999</v>
      </c>
      <c r="AC29" s="9">
        <v>0.1283</v>
      </c>
      <c r="AD29" s="24">
        <f t="shared" si="45"/>
        <v>0.104725</v>
      </c>
      <c r="AE29" s="10">
        <f t="shared" si="46"/>
        <v>37.511699999999998</v>
      </c>
      <c r="AF29" s="79"/>
      <c r="AG29">
        <v>21</v>
      </c>
      <c r="AH29" s="1">
        <v>9638</v>
      </c>
      <c r="AI29" s="1" t="s">
        <v>1</v>
      </c>
      <c r="AJ29" s="2">
        <v>37.64</v>
      </c>
      <c r="AL29" s="32">
        <v>9638</v>
      </c>
      <c r="AM29" s="9">
        <v>2.7010000000000001</v>
      </c>
      <c r="AN29" s="9">
        <v>0.3619</v>
      </c>
      <c r="AO29" s="9">
        <v>0.13789999999999999</v>
      </c>
      <c r="AP29" s="37">
        <f t="shared" si="0"/>
        <v>0.11254166666666666</v>
      </c>
      <c r="AQ29" s="53">
        <f t="shared" si="108"/>
        <v>37.502099999999999</v>
      </c>
      <c r="AT29" s="39"/>
      <c r="AU29" s="38">
        <v>9638</v>
      </c>
      <c r="AV29" s="9">
        <v>2.7808000000000002</v>
      </c>
      <c r="AW29" s="43">
        <v>0.37259999999999999</v>
      </c>
      <c r="AX29" s="43">
        <v>0.14199999999999999</v>
      </c>
      <c r="AY29" s="47">
        <f t="shared" si="47"/>
        <v>0.11586666666666667</v>
      </c>
      <c r="AZ29" s="96">
        <f t="shared" si="109"/>
        <v>37.497999999999998</v>
      </c>
      <c r="BD29" s="54">
        <v>9638</v>
      </c>
      <c r="BE29" s="53">
        <v>2.7898000000000001</v>
      </c>
      <c r="BF29" s="58">
        <v>0.37380000000000002</v>
      </c>
      <c r="BG29" s="58">
        <v>0.1424</v>
      </c>
      <c r="BH29" s="47">
        <f t="shared" si="48"/>
        <v>0.11624166666666667</v>
      </c>
      <c r="BI29" s="56">
        <f t="shared" si="49"/>
        <v>37.497599999999998</v>
      </c>
      <c r="BJ29" s="88"/>
      <c r="BK29" s="88"/>
      <c r="BL29" s="88"/>
      <c r="BN29" s="9">
        <v>9638</v>
      </c>
      <c r="BO29" s="53">
        <v>2.8235000000000001</v>
      </c>
      <c r="BP29" s="53">
        <v>0.37840000000000001</v>
      </c>
      <c r="BQ29" s="53">
        <v>0.14419999999999999</v>
      </c>
      <c r="BR29" s="53">
        <f t="shared" si="50"/>
        <v>0.11764583333333334</v>
      </c>
      <c r="BS29" s="53">
        <f t="shared" si="51"/>
        <v>37.495800000000003</v>
      </c>
      <c r="BV29" s="88"/>
      <c r="BX29" s="93">
        <v>9638</v>
      </c>
      <c r="BY29" s="9">
        <v>2.8898000000000001</v>
      </c>
      <c r="BZ29" s="9">
        <v>0.38719999999999999</v>
      </c>
      <c r="CA29" s="9">
        <v>0.14749999999999999</v>
      </c>
      <c r="CB29" s="58">
        <f t="shared" si="52"/>
        <v>0.12040833333333334</v>
      </c>
      <c r="CC29" s="53">
        <f t="shared" si="110"/>
        <v>37.4925</v>
      </c>
      <c r="CF29" s="88"/>
      <c r="CG29">
        <v>19</v>
      </c>
      <c r="CH29" s="93">
        <v>9638</v>
      </c>
      <c r="CI29" s="93">
        <v>2.9468000000000001</v>
      </c>
      <c r="CJ29" s="9">
        <v>0.39489999999999997</v>
      </c>
      <c r="CK29" s="9">
        <v>0.15049999999999999</v>
      </c>
      <c r="CL29" s="47">
        <f t="shared" si="5"/>
        <v>0.12278333333333334</v>
      </c>
      <c r="CM29" s="53">
        <f t="shared" si="53"/>
        <v>37.4895</v>
      </c>
      <c r="CQ29">
        <v>19</v>
      </c>
      <c r="CR29" s="98">
        <v>9638</v>
      </c>
      <c r="CS29" s="101">
        <v>3.0185</v>
      </c>
      <c r="CT29" s="101">
        <v>0.40450000000000003</v>
      </c>
      <c r="CU29" s="101">
        <v>0.15409999999999999</v>
      </c>
      <c r="CV29" s="47">
        <f t="shared" si="6"/>
        <v>0.12577083333333333</v>
      </c>
      <c r="CW29" s="53">
        <f t="shared" si="37"/>
        <v>37.485900000000001</v>
      </c>
      <c r="DA29">
        <v>19</v>
      </c>
      <c r="DB29" s="106">
        <v>9638</v>
      </c>
      <c r="DC29" s="107">
        <v>3.0255000000000001</v>
      </c>
      <c r="DD29" s="107">
        <v>0.40539999999999998</v>
      </c>
      <c r="DE29" s="107">
        <v>0.1545</v>
      </c>
      <c r="DF29" s="47">
        <f t="shared" si="136"/>
        <v>0.12606249999999999</v>
      </c>
      <c r="DG29" s="53">
        <f t="shared" si="111"/>
        <v>37.485500000000002</v>
      </c>
      <c r="DK29">
        <v>19</v>
      </c>
      <c r="DL29" s="110">
        <v>9638</v>
      </c>
      <c r="DM29" s="53">
        <v>3.1073</v>
      </c>
      <c r="DN29" s="53">
        <v>0.41639999999999999</v>
      </c>
      <c r="DO29" s="53">
        <v>0.15859999999999999</v>
      </c>
      <c r="DP29" s="47">
        <f t="shared" si="137"/>
        <v>0.12947083333333334</v>
      </c>
      <c r="DQ29" s="53">
        <f t="shared" si="54"/>
        <v>37.481400000000001</v>
      </c>
      <c r="DS29" s="3">
        <f t="shared" si="55"/>
        <v>8.1799999999999873E-2</v>
      </c>
      <c r="DU29">
        <v>19</v>
      </c>
      <c r="DV29" s="115">
        <v>9638</v>
      </c>
      <c r="DW29" s="9">
        <v>3.1583000000000001</v>
      </c>
      <c r="DX29" s="9">
        <v>0.42320000000000002</v>
      </c>
      <c r="DY29" s="9">
        <v>0.16120000000000001</v>
      </c>
      <c r="DZ29" s="47">
        <f t="shared" si="138"/>
        <v>0.13159583333333333</v>
      </c>
      <c r="EA29" s="53">
        <f t="shared" si="112"/>
        <v>37.4788</v>
      </c>
      <c r="EB29" s="3"/>
      <c r="EE29">
        <v>19</v>
      </c>
      <c r="EF29" s="118">
        <v>9638</v>
      </c>
      <c r="EG29" s="9">
        <v>3.238</v>
      </c>
      <c r="EH29" s="9">
        <v>0.43390000000000001</v>
      </c>
      <c r="EI29" s="9">
        <v>0.1653</v>
      </c>
      <c r="EJ29" s="47">
        <f t="shared" si="10"/>
        <v>0.13491666666666666</v>
      </c>
      <c r="EK29" s="53">
        <f t="shared" si="56"/>
        <v>37.474699999999999</v>
      </c>
      <c r="EM29" s="3">
        <f t="shared" si="57"/>
        <v>-4.1000000000011028E-3</v>
      </c>
      <c r="EN29" s="3"/>
      <c r="EO29">
        <v>19</v>
      </c>
      <c r="EP29" s="121">
        <v>9638</v>
      </c>
      <c r="EQ29" s="122">
        <v>3.3963999999999999</v>
      </c>
      <c r="ER29" s="122">
        <v>0.4551</v>
      </c>
      <c r="ES29" s="129">
        <v>0.1734</v>
      </c>
      <c r="ET29" s="130">
        <f t="shared" si="11"/>
        <v>0.14151666666666665</v>
      </c>
      <c r="EU29" s="131">
        <f t="shared" si="58"/>
        <v>37.4666</v>
      </c>
      <c r="EX29" s="3"/>
      <c r="EY29">
        <v>19</v>
      </c>
      <c r="EZ29" s="135">
        <v>9638</v>
      </c>
      <c r="FA29" s="135">
        <v>3.4710999999999999</v>
      </c>
      <c r="FB29" s="135">
        <v>0.46510000000000001</v>
      </c>
      <c r="FC29" s="135">
        <v>0.1772</v>
      </c>
      <c r="FD29" s="136">
        <f t="shared" si="12"/>
        <v>0.14462916666666667</v>
      </c>
      <c r="FE29" s="131">
        <f t="shared" si="59"/>
        <v>37.462800000000001</v>
      </c>
      <c r="FG29" s="123">
        <f t="shared" si="60"/>
        <v>-3.7999999999982492E-3</v>
      </c>
      <c r="FH29" s="3"/>
      <c r="FI29">
        <v>19</v>
      </c>
      <c r="FJ29" s="145">
        <v>9638</v>
      </c>
      <c r="FK29" s="9">
        <v>3.5706000000000002</v>
      </c>
      <c r="FL29" s="9">
        <v>0.47849999999999998</v>
      </c>
      <c r="FM29" s="9">
        <v>0.18229999999999999</v>
      </c>
      <c r="FN29" s="146">
        <f t="shared" si="113"/>
        <v>0.14877500000000002</v>
      </c>
      <c r="FO29" s="131">
        <f t="shared" si="61"/>
        <v>37.457700000000003</v>
      </c>
      <c r="FP29" s="123">
        <f t="shared" si="62"/>
        <v>-5.0999999999987722E-3</v>
      </c>
      <c r="FS29">
        <v>19</v>
      </c>
      <c r="FT29" s="147">
        <v>9638</v>
      </c>
      <c r="FU29" s="148">
        <v>3.5911</v>
      </c>
      <c r="FV29" s="148">
        <v>0.48120000000000002</v>
      </c>
      <c r="FW29" s="148">
        <v>0.18329999999999999</v>
      </c>
      <c r="FX29" s="150">
        <f t="shared" si="114"/>
        <v>0.14962916666666667</v>
      </c>
      <c r="FY29" s="131">
        <f t="shared" si="115"/>
        <v>37.456699999999998</v>
      </c>
      <c r="FZ29">
        <f t="shared" si="63"/>
        <v>2.0499999999999741E-2</v>
      </c>
      <c r="GC29">
        <v>19</v>
      </c>
      <c r="GD29" s="151">
        <v>9638</v>
      </c>
      <c r="GE29" s="151">
        <v>3.6417999999999999</v>
      </c>
      <c r="GF29" s="151">
        <v>0.48799999999999999</v>
      </c>
      <c r="GG29" s="151">
        <v>0.18590000000000001</v>
      </c>
      <c r="GH29" s="153">
        <f t="shared" si="132"/>
        <v>0.15174166666666666</v>
      </c>
      <c r="GI29" s="131">
        <f t="shared" si="64"/>
        <v>37.454100000000004</v>
      </c>
      <c r="GJ29">
        <f t="shared" si="38"/>
        <v>5.0699999999999967E-2</v>
      </c>
      <c r="GM29">
        <v>19</v>
      </c>
      <c r="GN29" s="155">
        <v>9638</v>
      </c>
      <c r="GO29" s="155">
        <v>3.7490999999999999</v>
      </c>
      <c r="GP29" s="155">
        <v>0.50239999999999996</v>
      </c>
      <c r="GQ29" s="155">
        <v>0.19139999999999999</v>
      </c>
      <c r="GR29" s="58">
        <f t="shared" si="65"/>
        <v>0.1562125</v>
      </c>
      <c r="GS29" s="131">
        <f t="shared" si="66"/>
        <v>37.448599999999999</v>
      </c>
      <c r="GT29">
        <f t="shared" si="39"/>
        <v>0.10729999999999995</v>
      </c>
      <c r="GW29">
        <v>19</v>
      </c>
      <c r="GX29" s="157">
        <v>9638</v>
      </c>
      <c r="GY29" s="161">
        <f>VLOOKUP(GX29,Sheet3!$AJ$7:$AN$83,2,0)</f>
        <v>3.8853</v>
      </c>
      <c r="GZ29" s="161">
        <f>VLOOKUP(GX29,Sheet3!$AJ$7:$AN$83,3,0)</f>
        <v>0.52059999999999995</v>
      </c>
      <c r="HA29" s="161">
        <f>VLOOKUP(GX29,Sheet3!$AJ$7:$AN$83,4,0)</f>
        <v>0.19839999999999999</v>
      </c>
      <c r="HB29" s="162">
        <f t="shared" si="17"/>
        <v>0.16188749999999999</v>
      </c>
      <c r="HC29" s="131">
        <f t="shared" si="116"/>
        <v>37.441600000000001</v>
      </c>
      <c r="HD29" s="159">
        <f t="shared" si="40"/>
        <v>0.1362000000000001</v>
      </c>
      <c r="HE29" s="159">
        <f t="shared" si="41"/>
        <v>7.0000000000000062E-3</v>
      </c>
      <c r="HG29" s="159"/>
      <c r="HH29" s="159">
        <v>19</v>
      </c>
      <c r="HI29" s="158">
        <v>9638</v>
      </c>
      <c r="HJ29" s="161">
        <v>3.9403000000000001</v>
      </c>
      <c r="HK29" s="161">
        <v>0.52800000000000002</v>
      </c>
      <c r="HL29" s="161">
        <v>0.20119999999999999</v>
      </c>
      <c r="HM29" s="162">
        <f t="shared" si="18"/>
        <v>0.16417916666666668</v>
      </c>
      <c r="HN29" s="131">
        <f t="shared" si="67"/>
        <v>37.438800000000001</v>
      </c>
      <c r="HO29" s="159">
        <f t="shared" si="68"/>
        <v>5.500000000000016E-2</v>
      </c>
      <c r="HQ29" s="183"/>
      <c r="HR29" s="183">
        <v>19</v>
      </c>
      <c r="HS29" s="178">
        <v>9638</v>
      </c>
      <c r="HT29" s="184">
        <v>3.9761000000000002</v>
      </c>
      <c r="HU29" s="184">
        <v>0.53280000000000005</v>
      </c>
      <c r="HV29" s="184">
        <v>0.20300000000000001</v>
      </c>
      <c r="HW29" s="171">
        <f t="shared" si="19"/>
        <v>0.16567083333333335</v>
      </c>
      <c r="HX29" s="53">
        <f t="shared" si="69"/>
        <v>37.436999999999998</v>
      </c>
      <c r="HY29" s="183">
        <f t="shared" si="70"/>
        <v>3.5800000000000054E-2</v>
      </c>
      <c r="IA29" s="194"/>
      <c r="IB29" s="194">
        <v>19</v>
      </c>
      <c r="IC29" s="193">
        <v>9638</v>
      </c>
      <c r="ID29" s="161">
        <v>3.9916</v>
      </c>
      <c r="IE29" s="184">
        <v>0.53490000000000004</v>
      </c>
      <c r="IF29" s="184">
        <v>0.20380000000000001</v>
      </c>
      <c r="IG29" s="171">
        <f t="shared" si="71"/>
        <v>0.16631666666666667</v>
      </c>
      <c r="IH29" s="53">
        <f t="shared" si="72"/>
        <v>37.436199999999999</v>
      </c>
      <c r="II29" s="194">
        <f t="shared" si="73"/>
        <v>1.5499999999999847E-2</v>
      </c>
      <c r="IL29" s="199">
        <v>19</v>
      </c>
      <c r="IM29" s="197">
        <v>9638</v>
      </c>
      <c r="IN29" s="161">
        <v>4.0731999999999999</v>
      </c>
      <c r="IO29" s="184">
        <v>0.54579999999999995</v>
      </c>
      <c r="IP29" s="184">
        <v>0.20799999999999999</v>
      </c>
      <c r="IQ29" s="171">
        <f t="shared" si="74"/>
        <v>0.16971666666666665</v>
      </c>
      <c r="IR29" s="53">
        <f t="shared" si="75"/>
        <v>37.432000000000002</v>
      </c>
      <c r="IS29" s="199">
        <f t="shared" si="76"/>
        <v>8.1599999999999895E-2</v>
      </c>
      <c r="IU29" s="202"/>
      <c r="IV29" s="202">
        <v>19</v>
      </c>
      <c r="IW29" s="201">
        <v>9638</v>
      </c>
      <c r="IX29" s="184">
        <v>4.1833999999999998</v>
      </c>
      <c r="IY29" s="184">
        <v>0.56059999999999999</v>
      </c>
      <c r="IZ29" s="184">
        <v>0.21360000000000001</v>
      </c>
      <c r="JA29" s="162">
        <f t="shared" si="22"/>
        <v>0.17430833333333332</v>
      </c>
      <c r="JB29" s="53">
        <f t="shared" si="77"/>
        <v>37.426400000000001</v>
      </c>
      <c r="JC29" s="202">
        <f t="shared" si="78"/>
        <v>0.11019999999999985</v>
      </c>
      <c r="JE29" s="204"/>
      <c r="JF29" s="204">
        <v>19</v>
      </c>
      <c r="JG29" s="203">
        <v>9638</v>
      </c>
      <c r="JH29" s="161">
        <v>4.2183999999999999</v>
      </c>
      <c r="JI29" s="184">
        <v>0.56530000000000002</v>
      </c>
      <c r="JJ29" s="184">
        <v>0.21540000000000001</v>
      </c>
      <c r="JK29" s="162">
        <f t="shared" si="79"/>
        <v>0.17576666666666665</v>
      </c>
      <c r="JL29" s="53">
        <f t="shared" si="80"/>
        <v>37.424599999999998</v>
      </c>
      <c r="JM29" s="204">
        <f t="shared" si="117"/>
        <v>3.5000000000000142E-2</v>
      </c>
      <c r="JN29" s="204"/>
      <c r="JP29" s="209">
        <v>19</v>
      </c>
      <c r="JQ29" s="205">
        <v>9638</v>
      </c>
      <c r="JR29" s="161">
        <v>4.2465999999999999</v>
      </c>
      <c r="JS29" s="184">
        <v>0.56910000000000005</v>
      </c>
      <c r="JT29" s="184">
        <v>0.21679999999999999</v>
      </c>
      <c r="JU29" s="162">
        <f t="shared" si="81"/>
        <v>0.17694166666666666</v>
      </c>
      <c r="JV29" s="53">
        <f t="shared" si="82"/>
        <v>37.423200000000001</v>
      </c>
      <c r="JW29" s="209">
        <f t="shared" si="118"/>
        <v>2.8200000000000003E-2</v>
      </c>
      <c r="JX29" s="213"/>
      <c r="JY29" s="213"/>
      <c r="JZ29" s="213">
        <v>19</v>
      </c>
      <c r="KA29" s="206">
        <v>9638</v>
      </c>
      <c r="KB29" s="184">
        <v>4.3125999999999998</v>
      </c>
      <c r="KC29" s="184">
        <v>0.57789999999999997</v>
      </c>
      <c r="KD29" s="184">
        <v>0.22020000000000001</v>
      </c>
      <c r="KE29" s="162">
        <f t="shared" si="83"/>
        <v>0.17969166666666667</v>
      </c>
      <c r="KF29" s="53">
        <f t="shared" si="84"/>
        <v>37.419800000000002</v>
      </c>
      <c r="KG29" s="213">
        <f t="shared" si="119"/>
        <v>6.5999999999999837E-2</v>
      </c>
      <c r="KI29" s="219"/>
      <c r="KJ29" s="219">
        <v>19</v>
      </c>
      <c r="KK29" s="214">
        <v>9638</v>
      </c>
      <c r="KL29" s="161">
        <v>4.3346999999999998</v>
      </c>
      <c r="KM29" s="161">
        <v>0.58089999999999997</v>
      </c>
      <c r="KN29" s="161">
        <v>0.2213</v>
      </c>
      <c r="KO29" s="162">
        <f t="shared" si="24"/>
        <v>0.18061249999999998</v>
      </c>
      <c r="KP29" s="53">
        <f t="shared" si="85"/>
        <v>37.418700000000001</v>
      </c>
      <c r="KQ29" s="218">
        <f t="shared" si="120"/>
        <v>2.2100000000000009E-2</v>
      </c>
      <c r="KT29" s="223">
        <v>19</v>
      </c>
      <c r="KU29" s="216">
        <v>9638</v>
      </c>
      <c r="KV29" s="161">
        <v>4.3578999999999999</v>
      </c>
      <c r="KW29" s="161">
        <v>0.58399999999999996</v>
      </c>
      <c r="KX29" s="161">
        <v>0.2225</v>
      </c>
      <c r="KY29" s="162">
        <f t="shared" si="86"/>
        <v>0.18157916666666665</v>
      </c>
      <c r="KZ29" s="53">
        <f t="shared" si="87"/>
        <v>37.417500000000004</v>
      </c>
      <c r="LA29" s="224">
        <f t="shared" si="121"/>
        <v>2.3200000000000109E-2</v>
      </c>
      <c r="LD29" s="228">
        <v>19</v>
      </c>
      <c r="LE29" s="221">
        <v>9638</v>
      </c>
      <c r="LF29" s="161">
        <v>4.3773</v>
      </c>
      <c r="LG29" s="161">
        <v>0.58660000000000001</v>
      </c>
      <c r="LH29" s="161">
        <v>0.2235</v>
      </c>
      <c r="LI29" s="162">
        <f t="shared" si="88"/>
        <v>0.18238750000000001</v>
      </c>
      <c r="LJ29" s="53">
        <f t="shared" si="89"/>
        <v>37.416499999999999</v>
      </c>
      <c r="LK29" s="229">
        <f t="shared" si="122"/>
        <v>1.9400000000000084E-2</v>
      </c>
      <c r="LL29" s="231"/>
      <c r="LM29" s="231"/>
      <c r="LN29" s="231">
        <v>19</v>
      </c>
      <c r="LO29" s="226">
        <v>9638</v>
      </c>
      <c r="LP29" s="184">
        <v>4.4044999999999996</v>
      </c>
      <c r="LQ29" s="184">
        <v>0.59019999999999995</v>
      </c>
      <c r="LR29" s="184">
        <v>0.22489999999999999</v>
      </c>
      <c r="LS29" s="162">
        <f t="shared" si="90"/>
        <v>0.18352083333333333</v>
      </c>
      <c r="LT29" s="53">
        <f t="shared" si="91"/>
        <v>37.415100000000002</v>
      </c>
      <c r="LU29" s="232">
        <f t="shared" si="123"/>
        <v>2.7199999999999669E-2</v>
      </c>
      <c r="LW29" s="231"/>
      <c r="LX29" s="231">
        <v>19</v>
      </c>
      <c r="LY29" s="234">
        <v>9638</v>
      </c>
      <c r="LZ29" s="184">
        <v>4.4351000000000003</v>
      </c>
      <c r="MA29" s="184">
        <v>0.59430000000000005</v>
      </c>
      <c r="MB29" s="184">
        <v>0.22639999999999999</v>
      </c>
      <c r="MC29" s="162">
        <f t="shared" si="92"/>
        <v>0.18479583333333335</v>
      </c>
      <c r="MD29" s="53">
        <f t="shared" si="93"/>
        <v>37.413600000000002</v>
      </c>
      <c r="ME29" s="232">
        <f t="shared" si="124"/>
        <v>3.0600000000000627E-2</v>
      </c>
      <c r="MF29" s="231"/>
      <c r="MG29" s="231"/>
      <c r="MH29" s="231">
        <v>19</v>
      </c>
      <c r="MI29" s="236">
        <v>9638</v>
      </c>
      <c r="MJ29" s="184">
        <v>4.4652000000000003</v>
      </c>
      <c r="MK29" s="184">
        <v>0.59840000000000004</v>
      </c>
      <c r="ML29" s="184">
        <v>0.22800000000000001</v>
      </c>
      <c r="MM29" s="162">
        <f t="shared" si="94"/>
        <v>0.18605000000000002</v>
      </c>
      <c r="MN29" s="53">
        <f t="shared" si="95"/>
        <v>37.411999999999999</v>
      </c>
      <c r="MO29" s="232">
        <f t="shared" si="125"/>
        <v>3.0100000000000016E-2</v>
      </c>
      <c r="MP29" s="231"/>
      <c r="MQ29" s="231"/>
      <c r="MR29" s="231">
        <v>19</v>
      </c>
      <c r="MS29" s="34">
        <v>9638</v>
      </c>
      <c r="MT29" s="184">
        <v>4.5227000000000004</v>
      </c>
      <c r="MU29" s="184">
        <v>0.60609999999999997</v>
      </c>
      <c r="MV29" s="184">
        <v>0.23089999999999999</v>
      </c>
      <c r="MW29" s="162">
        <f t="shared" si="96"/>
        <v>0.18844583333333334</v>
      </c>
      <c r="MX29" s="53">
        <f t="shared" si="97"/>
        <v>37.409100000000002</v>
      </c>
      <c r="MY29" s="232">
        <f t="shared" si="126"/>
        <v>5.7500000000000107E-2</v>
      </c>
      <c r="MZ29" s="246"/>
      <c r="NA29" s="246"/>
      <c r="NB29" s="246">
        <v>19</v>
      </c>
      <c r="NC29" s="34">
        <v>9638</v>
      </c>
      <c r="ND29" s="184">
        <v>4.5815000000000001</v>
      </c>
      <c r="NE29" s="184">
        <v>0.6139</v>
      </c>
      <c r="NF29" s="184">
        <v>0.2339</v>
      </c>
      <c r="NG29" s="162">
        <f t="shared" si="98"/>
        <v>0.19089583333333335</v>
      </c>
      <c r="NH29" s="53">
        <f t="shared" si="99"/>
        <v>37.406100000000002</v>
      </c>
      <c r="NI29" s="232">
        <f t="shared" si="127"/>
        <v>5.8799999999999741E-2</v>
      </c>
      <c r="NK29" s="250"/>
      <c r="NL29" s="250">
        <v>19</v>
      </c>
      <c r="NM29" s="34">
        <v>9638</v>
      </c>
      <c r="NN29" s="184">
        <v>4.5987999999999998</v>
      </c>
      <c r="NO29" s="184">
        <v>0.61629999999999996</v>
      </c>
      <c r="NP29" s="184">
        <v>0.23480000000000001</v>
      </c>
      <c r="NQ29" s="162">
        <f t="shared" si="133"/>
        <v>0.19161666666666666</v>
      </c>
      <c r="NR29" s="53">
        <f t="shared" si="101"/>
        <v>37.405200000000001</v>
      </c>
      <c r="NS29" s="232">
        <f t="shared" si="128"/>
        <v>1.7299999999999649E-2</v>
      </c>
      <c r="NU29" s="250"/>
      <c r="NV29" s="250">
        <v>19</v>
      </c>
      <c r="NW29" s="34">
        <v>9638</v>
      </c>
      <c r="NX29" s="184">
        <v>4.6261999999999999</v>
      </c>
      <c r="NY29" s="184">
        <v>0.61990000000000001</v>
      </c>
      <c r="NZ29" s="184">
        <v>0.23619999999999999</v>
      </c>
      <c r="OA29" s="162">
        <f t="shared" si="134"/>
        <v>0.19275833333333334</v>
      </c>
      <c r="OB29" s="53">
        <f t="shared" si="103"/>
        <v>37.403800000000004</v>
      </c>
      <c r="OC29" s="232">
        <f t="shared" si="129"/>
        <v>2.7400000000000091E-2</v>
      </c>
      <c r="OE29" s="250"/>
      <c r="OF29" s="250">
        <v>19</v>
      </c>
      <c r="OG29" s="34">
        <v>9638</v>
      </c>
      <c r="OH29" s="184">
        <v>4.6399999999999997</v>
      </c>
      <c r="OI29" s="184">
        <v>0.62180000000000002</v>
      </c>
      <c r="OJ29" s="184">
        <v>0.2369</v>
      </c>
      <c r="OK29" s="162">
        <f t="shared" si="135"/>
        <v>0.19333333333333333</v>
      </c>
      <c r="OL29" s="53">
        <f t="shared" si="105"/>
        <v>37.403100000000002</v>
      </c>
      <c r="OM29" s="232">
        <f t="shared" si="130"/>
        <v>1.3799999999999812E-2</v>
      </c>
      <c r="OP29" s="250">
        <v>19</v>
      </c>
      <c r="OQ29" s="34">
        <v>9638</v>
      </c>
      <c r="OR29" s="184">
        <f>VLOOKUP(OQ29,Sheet4!A10:F86,3,0)</f>
        <v>4.6715999999999998</v>
      </c>
      <c r="OS29" s="184">
        <f>VLOOKUP(OQ29,Sheet4!A10:F86,4,0)</f>
        <v>0.626</v>
      </c>
      <c r="OT29" s="184">
        <f>VLOOKUP(OQ29,Sheet4!A10:F86,5,0)</f>
        <v>0.23849999999999999</v>
      </c>
      <c r="OU29" s="162">
        <f t="shared" si="106"/>
        <v>0.19464999999999999</v>
      </c>
      <c r="OV29" s="53">
        <f t="shared" si="107"/>
        <v>37.401499999999999</v>
      </c>
      <c r="OW29" s="232">
        <f t="shared" si="131"/>
        <v>3.1600000000000072E-2</v>
      </c>
    </row>
    <row r="30" spans="1:413" ht="15.75" x14ac:dyDescent="0.25">
      <c r="A30">
        <v>22</v>
      </c>
      <c r="B30" s="1">
        <v>9878</v>
      </c>
      <c r="C30" s="1" t="s">
        <v>1</v>
      </c>
      <c r="D30" s="2">
        <v>37.700000000000003</v>
      </c>
      <c r="E30" s="8"/>
      <c r="F30" s="8"/>
      <c r="G30" s="8"/>
      <c r="H30" s="8"/>
      <c r="J30" s="15">
        <v>9878</v>
      </c>
      <c r="K30" s="15">
        <v>7.8169000000000004</v>
      </c>
      <c r="L30" s="15">
        <v>1.0475000000000001</v>
      </c>
      <c r="M30" s="15">
        <v>0.39910000000000001</v>
      </c>
      <c r="N30" s="24">
        <f t="shared" si="42"/>
        <v>0.32570416666666668</v>
      </c>
      <c r="O30" s="10">
        <f t="shared" si="36"/>
        <v>37.300900000000006</v>
      </c>
      <c r="P30" s="18"/>
      <c r="R30" s="20">
        <v>9878</v>
      </c>
      <c r="S30" s="9">
        <v>7.8869999999999996</v>
      </c>
      <c r="T30" s="9">
        <v>1.0569</v>
      </c>
      <c r="U30" s="9">
        <v>0.4027</v>
      </c>
      <c r="V30" s="24">
        <f t="shared" si="43"/>
        <v>0.328625</v>
      </c>
      <c r="W30" s="10">
        <f t="shared" si="44"/>
        <v>37.2973</v>
      </c>
      <c r="X30" s="18"/>
      <c r="Z30" s="27">
        <v>9878</v>
      </c>
      <c r="AA30" s="9">
        <v>8.0594000000000001</v>
      </c>
      <c r="AB30" s="9">
        <v>1.08</v>
      </c>
      <c r="AC30" s="9">
        <v>0.41149999999999998</v>
      </c>
      <c r="AD30" s="24">
        <f t="shared" si="45"/>
        <v>0.33580833333333332</v>
      </c>
      <c r="AE30" s="10">
        <f t="shared" si="46"/>
        <v>37.288500000000006</v>
      </c>
      <c r="AF30" s="79"/>
      <c r="AG30">
        <v>22</v>
      </c>
      <c r="AH30" s="1">
        <v>9878</v>
      </c>
      <c r="AI30" s="1" t="s">
        <v>1</v>
      </c>
      <c r="AJ30" s="2">
        <v>37.700000000000003</v>
      </c>
      <c r="AL30" s="32">
        <v>9878</v>
      </c>
      <c r="AM30" s="9">
        <v>8.2469999999999999</v>
      </c>
      <c r="AN30" s="9">
        <v>1.1051</v>
      </c>
      <c r="AO30" s="9">
        <v>0.42109999999999997</v>
      </c>
      <c r="AP30" s="37">
        <f t="shared" si="0"/>
        <v>0.34362500000000001</v>
      </c>
      <c r="AQ30" s="53">
        <f t="shared" si="108"/>
        <v>37.2789</v>
      </c>
      <c r="AT30" s="39"/>
      <c r="AU30" s="38">
        <v>9878</v>
      </c>
      <c r="AV30" s="9">
        <v>8.3268000000000004</v>
      </c>
      <c r="AW30" s="43">
        <v>1.1157999999999999</v>
      </c>
      <c r="AX30" s="43">
        <v>0.42509999999999998</v>
      </c>
      <c r="AY30" s="47">
        <f t="shared" si="47"/>
        <v>0.34695000000000004</v>
      </c>
      <c r="AZ30" s="56">
        <f t="shared" si="109"/>
        <v>37.274900000000002</v>
      </c>
      <c r="BD30" s="54">
        <v>9878</v>
      </c>
      <c r="BE30" s="53">
        <v>8.3358000000000008</v>
      </c>
      <c r="BF30" s="58">
        <v>1.117</v>
      </c>
      <c r="BG30" s="58">
        <v>0.42559999999999998</v>
      </c>
      <c r="BH30" s="47">
        <f t="shared" si="48"/>
        <v>0.34732500000000005</v>
      </c>
      <c r="BI30" s="56">
        <f t="shared" si="49"/>
        <v>37.2744</v>
      </c>
      <c r="BJ30" s="88"/>
      <c r="BK30" s="88"/>
      <c r="BL30" s="88"/>
      <c r="BN30" s="9">
        <v>9878</v>
      </c>
      <c r="BO30" s="53">
        <v>8.3695000000000004</v>
      </c>
      <c r="BP30" s="53">
        <v>1.1214999999999999</v>
      </c>
      <c r="BQ30" s="53">
        <v>0.42730000000000001</v>
      </c>
      <c r="BR30" s="53">
        <f t="shared" si="50"/>
        <v>0.3487291666666667</v>
      </c>
      <c r="BS30" s="53">
        <f t="shared" si="51"/>
        <v>37.2727</v>
      </c>
      <c r="BV30" s="88"/>
      <c r="BX30" s="93">
        <v>9878</v>
      </c>
      <c r="BY30" s="9">
        <v>8.4358000000000004</v>
      </c>
      <c r="BZ30" s="9">
        <v>1.1304000000000001</v>
      </c>
      <c r="CA30" s="9">
        <v>0.43070000000000003</v>
      </c>
      <c r="CB30" s="58">
        <f t="shared" si="52"/>
        <v>0.3514916666666667</v>
      </c>
      <c r="CC30" s="53">
        <f t="shared" si="110"/>
        <v>37.269300000000001</v>
      </c>
      <c r="CF30" s="88"/>
      <c r="CG30">
        <v>20</v>
      </c>
      <c r="CH30" s="93">
        <v>9878</v>
      </c>
      <c r="CI30" s="93">
        <v>8.4928000000000008</v>
      </c>
      <c r="CJ30" s="9">
        <v>1.1380999999999999</v>
      </c>
      <c r="CK30" s="9">
        <v>0.43359999999999999</v>
      </c>
      <c r="CL30" s="47">
        <f t="shared" si="5"/>
        <v>0.35386666666666672</v>
      </c>
      <c r="CM30" s="53">
        <f t="shared" si="53"/>
        <v>37.266400000000004</v>
      </c>
      <c r="CQ30">
        <v>20</v>
      </c>
      <c r="CR30" s="98">
        <v>9878</v>
      </c>
      <c r="CS30" s="101">
        <v>8.5645000000000007</v>
      </c>
      <c r="CT30" s="101">
        <v>1.1476999999999999</v>
      </c>
      <c r="CU30" s="101">
        <v>0.43730000000000002</v>
      </c>
      <c r="CV30" s="47">
        <f t="shared" si="6"/>
        <v>0.35685416666666669</v>
      </c>
      <c r="CW30" s="53">
        <f t="shared" si="37"/>
        <v>37.262700000000002</v>
      </c>
      <c r="DA30">
        <v>20</v>
      </c>
      <c r="DB30" s="106">
        <v>9878</v>
      </c>
      <c r="DC30" s="107">
        <v>8.5715000000000003</v>
      </c>
      <c r="DD30" s="107">
        <v>1.1486000000000001</v>
      </c>
      <c r="DE30" s="107">
        <v>0.43759999999999999</v>
      </c>
      <c r="DF30" s="47">
        <f t="shared" si="136"/>
        <v>0.35714583333333333</v>
      </c>
      <c r="DG30" s="53">
        <f t="shared" si="111"/>
        <v>37.2624</v>
      </c>
      <c r="DK30">
        <v>20</v>
      </c>
      <c r="DL30" s="110">
        <v>9878</v>
      </c>
      <c r="DM30" s="53">
        <v>8.6532999999999998</v>
      </c>
      <c r="DN30" s="53">
        <v>1.1596</v>
      </c>
      <c r="DO30" s="53">
        <v>0.44180000000000003</v>
      </c>
      <c r="DP30" s="47">
        <f t="shared" si="137"/>
        <v>0.36055416666666668</v>
      </c>
      <c r="DQ30" s="53">
        <f t="shared" si="54"/>
        <v>37.258200000000002</v>
      </c>
      <c r="DS30" s="3">
        <f t="shared" si="55"/>
        <v>8.1799999999999429E-2</v>
      </c>
      <c r="DU30">
        <v>20</v>
      </c>
      <c r="DV30" s="115">
        <v>9878</v>
      </c>
      <c r="DW30" s="9">
        <v>8.7042999999999999</v>
      </c>
      <c r="DX30" s="9">
        <v>1.1664000000000001</v>
      </c>
      <c r="DY30" s="9">
        <v>0.44440000000000002</v>
      </c>
      <c r="DZ30" s="47">
        <f t="shared" si="138"/>
        <v>0.36267916666666666</v>
      </c>
      <c r="EA30" s="53">
        <f t="shared" si="112"/>
        <v>37.255600000000001</v>
      </c>
      <c r="EB30" s="3"/>
      <c r="EE30">
        <v>20</v>
      </c>
      <c r="EF30" s="118">
        <v>9878</v>
      </c>
      <c r="EG30" s="9">
        <v>8.7840000000000007</v>
      </c>
      <c r="EH30" s="9">
        <v>1.1771</v>
      </c>
      <c r="EI30" s="9">
        <v>0.44850000000000001</v>
      </c>
      <c r="EJ30" s="47">
        <f t="shared" si="10"/>
        <v>0.36600000000000005</v>
      </c>
      <c r="EK30" s="53">
        <f t="shared" si="56"/>
        <v>37.2515</v>
      </c>
      <c r="EM30" s="3">
        <f t="shared" si="57"/>
        <v>-4.1000000000011028E-3</v>
      </c>
      <c r="EN30" s="3"/>
      <c r="EO30">
        <v>20</v>
      </c>
      <c r="EP30" s="121">
        <v>9878</v>
      </c>
      <c r="EQ30" s="122">
        <v>8.9423999999999992</v>
      </c>
      <c r="ER30" s="122">
        <v>1.1982999999999999</v>
      </c>
      <c r="ES30" s="129">
        <v>0.45660000000000001</v>
      </c>
      <c r="ET30" s="130">
        <f t="shared" si="11"/>
        <v>0.37259999999999999</v>
      </c>
      <c r="EU30" s="131">
        <f t="shared" si="58"/>
        <v>37.243400000000001</v>
      </c>
      <c r="EX30" s="3"/>
      <c r="EY30">
        <v>20</v>
      </c>
      <c r="EZ30" s="135">
        <v>9878</v>
      </c>
      <c r="FA30" s="135">
        <v>9.0170999999999992</v>
      </c>
      <c r="FB30" s="135">
        <v>1.2082999999999999</v>
      </c>
      <c r="FC30" s="135">
        <v>0.46039999999999998</v>
      </c>
      <c r="FD30" s="136">
        <f t="shared" si="12"/>
        <v>0.37571249999999995</v>
      </c>
      <c r="FE30" s="131">
        <f t="shared" si="59"/>
        <v>37.239600000000003</v>
      </c>
      <c r="FG30" s="123">
        <f t="shared" si="60"/>
        <v>-3.7999999999982492E-3</v>
      </c>
      <c r="FH30" s="3"/>
      <c r="FI30">
        <v>20</v>
      </c>
      <c r="FJ30" s="145">
        <v>9878</v>
      </c>
      <c r="FK30" s="9">
        <v>9.1166</v>
      </c>
      <c r="FL30" s="9">
        <v>1.2217</v>
      </c>
      <c r="FM30" s="9">
        <v>0.46550000000000002</v>
      </c>
      <c r="FN30" s="146">
        <f t="shared" si="113"/>
        <v>0.37985833333333335</v>
      </c>
      <c r="FO30" s="131">
        <f t="shared" si="61"/>
        <v>37.234500000000004</v>
      </c>
      <c r="FP30" s="123">
        <f t="shared" si="62"/>
        <v>-5.0999999999987722E-3</v>
      </c>
      <c r="FS30">
        <v>20</v>
      </c>
      <c r="FT30" s="147">
        <v>9878</v>
      </c>
      <c r="FU30" s="148">
        <v>9.1371000000000002</v>
      </c>
      <c r="FV30" s="148">
        <v>1.2243999999999999</v>
      </c>
      <c r="FW30" s="148">
        <v>0.46650000000000003</v>
      </c>
      <c r="FX30" s="150">
        <f t="shared" si="114"/>
        <v>0.38071250000000001</v>
      </c>
      <c r="FY30" s="131">
        <f t="shared" si="115"/>
        <v>37.233499999999999</v>
      </c>
      <c r="FZ30">
        <f t="shared" si="63"/>
        <v>2.0500000000000185E-2</v>
      </c>
      <c r="GC30">
        <v>20</v>
      </c>
      <c r="GD30" s="151">
        <v>9878</v>
      </c>
      <c r="GE30" s="151">
        <v>9.1877999999999993</v>
      </c>
      <c r="GF30" s="151">
        <v>1.2312000000000001</v>
      </c>
      <c r="GG30" s="151">
        <v>0.46910000000000002</v>
      </c>
      <c r="GH30" s="153">
        <f t="shared" si="132"/>
        <v>0.38282499999999997</v>
      </c>
      <c r="GI30" s="131">
        <f t="shared" si="64"/>
        <v>37.230900000000005</v>
      </c>
      <c r="GJ30">
        <f t="shared" si="38"/>
        <v>5.0699999999999079E-2</v>
      </c>
      <c r="GM30">
        <v>20</v>
      </c>
      <c r="GN30" s="155">
        <v>9878</v>
      </c>
      <c r="GO30" s="155">
        <v>9.2950999999999997</v>
      </c>
      <c r="GP30" s="155">
        <v>1.2456</v>
      </c>
      <c r="GQ30" s="155">
        <v>0.47460000000000002</v>
      </c>
      <c r="GR30" s="58">
        <f t="shared" si="65"/>
        <v>0.38729583333333334</v>
      </c>
      <c r="GS30" s="131">
        <f t="shared" si="66"/>
        <v>37.2254</v>
      </c>
      <c r="GT30">
        <f t="shared" si="39"/>
        <v>0.1073000000000004</v>
      </c>
      <c r="GW30">
        <v>20</v>
      </c>
      <c r="GX30" s="157">
        <v>9878</v>
      </c>
      <c r="GY30" s="161">
        <f>VLOOKUP(GX30,Sheet3!$AJ$7:$AN$83,2,0)</f>
        <v>9.4313000000000002</v>
      </c>
      <c r="GZ30" s="161">
        <f>VLOOKUP(GX30,Sheet3!$AJ$7:$AN$83,3,0)</f>
        <v>1.2638</v>
      </c>
      <c r="HA30" s="161">
        <f>VLOOKUP(GX30,Sheet3!$AJ$7:$AN$83,4,0)</f>
        <v>0.48149999999999998</v>
      </c>
      <c r="HB30" s="162">
        <f t="shared" si="17"/>
        <v>0.39297083333333332</v>
      </c>
      <c r="HC30" s="131">
        <f t="shared" si="116"/>
        <v>37.218500000000006</v>
      </c>
      <c r="HD30" s="159">
        <f t="shared" si="40"/>
        <v>0.13620000000000054</v>
      </c>
      <c r="HE30" s="159">
        <f t="shared" si="41"/>
        <v>6.8999999999999617E-3</v>
      </c>
      <c r="HG30" s="159"/>
      <c r="HH30" s="159">
        <v>20</v>
      </c>
      <c r="HI30" s="158">
        <v>9878</v>
      </c>
      <c r="HJ30" s="161">
        <v>9.4863</v>
      </c>
      <c r="HK30" s="161">
        <v>1.2712000000000001</v>
      </c>
      <c r="HL30" s="161">
        <v>0.48430000000000001</v>
      </c>
      <c r="HM30" s="162">
        <f t="shared" si="18"/>
        <v>0.39526250000000002</v>
      </c>
      <c r="HN30" s="131">
        <f t="shared" si="67"/>
        <v>37.215700000000005</v>
      </c>
      <c r="HO30" s="159">
        <f t="shared" si="68"/>
        <v>5.4999999999999716E-2</v>
      </c>
      <c r="HQ30" s="183"/>
      <c r="HR30" s="183">
        <v>20</v>
      </c>
      <c r="HS30" s="178">
        <v>9878</v>
      </c>
      <c r="HT30" s="184">
        <v>9.5221</v>
      </c>
      <c r="HU30" s="184">
        <v>1.276</v>
      </c>
      <c r="HV30" s="184">
        <v>0.48620000000000002</v>
      </c>
      <c r="HW30" s="171">
        <f t="shared" si="19"/>
        <v>0.39675416666666669</v>
      </c>
      <c r="HX30" s="53">
        <f t="shared" si="69"/>
        <v>37.213800000000006</v>
      </c>
      <c r="HY30" s="183">
        <f t="shared" si="70"/>
        <v>3.5800000000000054E-2</v>
      </c>
      <c r="IA30" s="194"/>
      <c r="IB30" s="194">
        <v>20</v>
      </c>
      <c r="IC30" s="193">
        <v>9878</v>
      </c>
      <c r="ID30" s="161">
        <v>9.5375999999999994</v>
      </c>
      <c r="IE30" s="184">
        <v>1.2781</v>
      </c>
      <c r="IF30" s="184">
        <v>0.4869</v>
      </c>
      <c r="IG30" s="171">
        <f t="shared" si="71"/>
        <v>0.39739999999999998</v>
      </c>
      <c r="IH30" s="53">
        <f t="shared" si="72"/>
        <v>37.213100000000004</v>
      </c>
      <c r="II30" s="194">
        <f t="shared" si="73"/>
        <v>1.5499999999999403E-2</v>
      </c>
      <c r="IL30" s="199">
        <v>20</v>
      </c>
      <c r="IM30" s="197">
        <v>9878</v>
      </c>
      <c r="IN30" s="161">
        <v>9.6191999999999993</v>
      </c>
      <c r="IO30" s="184">
        <v>1.2889999999999999</v>
      </c>
      <c r="IP30" s="184">
        <v>0.49109999999999998</v>
      </c>
      <c r="IQ30" s="171">
        <f t="shared" si="74"/>
        <v>0.40079999999999999</v>
      </c>
      <c r="IR30" s="53">
        <f t="shared" si="75"/>
        <v>37.2089</v>
      </c>
      <c r="IS30" s="199">
        <f t="shared" si="76"/>
        <v>8.1599999999999895E-2</v>
      </c>
      <c r="IU30" s="202"/>
      <c r="IV30" s="202">
        <v>20</v>
      </c>
      <c r="IW30" s="201">
        <v>9878</v>
      </c>
      <c r="IX30" s="184">
        <v>9.7294</v>
      </c>
      <c r="IY30" s="184">
        <v>1.3038000000000001</v>
      </c>
      <c r="IZ30" s="184">
        <v>0.49669999999999997</v>
      </c>
      <c r="JA30" s="162">
        <f t="shared" si="22"/>
        <v>0.40539166666666665</v>
      </c>
      <c r="JB30" s="53">
        <f t="shared" si="77"/>
        <v>37.203300000000006</v>
      </c>
      <c r="JC30" s="202">
        <f t="shared" si="78"/>
        <v>0.11020000000000074</v>
      </c>
      <c r="JE30" s="204"/>
      <c r="JF30" s="204">
        <v>20</v>
      </c>
      <c r="JG30" s="203">
        <v>9878</v>
      </c>
      <c r="JH30" s="161">
        <v>9.7644000000000002</v>
      </c>
      <c r="JI30" s="184">
        <v>1.3085</v>
      </c>
      <c r="JJ30" s="184">
        <v>0.4985</v>
      </c>
      <c r="JK30" s="162">
        <f t="shared" si="79"/>
        <v>0.40684999999999999</v>
      </c>
      <c r="JL30" s="53">
        <f t="shared" si="80"/>
        <v>37.201500000000003</v>
      </c>
      <c r="JM30" s="204">
        <f t="shared" si="117"/>
        <v>3.5000000000000142E-2</v>
      </c>
      <c r="JN30" s="204"/>
      <c r="JP30" s="209">
        <v>20</v>
      </c>
      <c r="JQ30" s="205">
        <v>9878</v>
      </c>
      <c r="JR30" s="161">
        <v>9.7926000000000002</v>
      </c>
      <c r="JS30" s="184">
        <v>1.3122</v>
      </c>
      <c r="JT30" s="184">
        <v>0.5</v>
      </c>
      <c r="JU30" s="162">
        <f t="shared" si="81"/>
        <v>0.40802500000000003</v>
      </c>
      <c r="JV30" s="53">
        <f t="shared" si="82"/>
        <v>37.200000000000003</v>
      </c>
      <c r="JW30" s="209">
        <f t="shared" si="118"/>
        <v>2.8200000000000003E-2</v>
      </c>
      <c r="JX30" s="213"/>
      <c r="JY30" s="213"/>
      <c r="JZ30" s="213">
        <v>20</v>
      </c>
      <c r="KA30" s="206">
        <v>9878</v>
      </c>
      <c r="KB30" s="184">
        <v>9.8585999999999991</v>
      </c>
      <c r="KC30" s="184">
        <v>1.3210999999999999</v>
      </c>
      <c r="KD30" s="184">
        <v>0.50329999999999997</v>
      </c>
      <c r="KE30" s="162">
        <f t="shared" si="83"/>
        <v>0.41077499999999995</v>
      </c>
      <c r="KF30" s="53">
        <f t="shared" si="84"/>
        <v>37.1967</v>
      </c>
      <c r="KG30" s="213">
        <f t="shared" si="119"/>
        <v>6.5999999999998948E-2</v>
      </c>
      <c r="KI30" s="219"/>
      <c r="KJ30" s="219">
        <v>20</v>
      </c>
      <c r="KK30" s="214">
        <v>9878</v>
      </c>
      <c r="KL30" s="161">
        <v>9.8805999999999994</v>
      </c>
      <c r="KM30" s="161">
        <v>1.3240000000000001</v>
      </c>
      <c r="KN30" s="161">
        <v>0.50449999999999995</v>
      </c>
      <c r="KO30" s="162">
        <f t="shared" si="24"/>
        <v>0.41169166666666662</v>
      </c>
      <c r="KP30" s="53">
        <f t="shared" si="85"/>
        <v>37.195500000000003</v>
      </c>
      <c r="KQ30" s="219">
        <f t="shared" si="120"/>
        <v>2.2000000000000242E-2</v>
      </c>
      <c r="KT30" s="223">
        <v>20</v>
      </c>
      <c r="KU30" s="216">
        <v>9878</v>
      </c>
      <c r="KV30" s="161">
        <v>9.9038000000000004</v>
      </c>
      <c r="KW30" s="161">
        <v>1.3271000000000002</v>
      </c>
      <c r="KX30" s="161">
        <v>0.50560000000000005</v>
      </c>
      <c r="KY30" s="162">
        <f t="shared" si="86"/>
        <v>0.41265833333333335</v>
      </c>
      <c r="KZ30" s="53">
        <f t="shared" si="87"/>
        <v>37.194400000000002</v>
      </c>
      <c r="LA30" s="223">
        <f t="shared" si="121"/>
        <v>2.3200000000000998E-2</v>
      </c>
      <c r="LD30" s="228">
        <v>20</v>
      </c>
      <c r="LE30" s="221">
        <v>9878</v>
      </c>
      <c r="LF30" s="161">
        <v>9.9231999999999996</v>
      </c>
      <c r="LG30" s="161">
        <v>1.3297000000000001</v>
      </c>
      <c r="LH30" s="161">
        <v>0.50660000000000005</v>
      </c>
      <c r="LI30" s="162">
        <f t="shared" si="88"/>
        <v>0.41346666666666665</v>
      </c>
      <c r="LJ30" s="53">
        <f t="shared" si="89"/>
        <v>37.193400000000004</v>
      </c>
      <c r="LK30" s="228">
        <f t="shared" si="122"/>
        <v>1.9399999999999196E-2</v>
      </c>
      <c r="LL30" s="231"/>
      <c r="LM30" s="231"/>
      <c r="LN30" s="231">
        <v>20</v>
      </c>
      <c r="LO30" s="226">
        <v>9878</v>
      </c>
      <c r="LP30" s="184">
        <v>9.9504000000000001</v>
      </c>
      <c r="LQ30" s="184">
        <v>1.3333999999999999</v>
      </c>
      <c r="LR30" s="184">
        <v>0.50800000000000001</v>
      </c>
      <c r="LS30" s="162">
        <f t="shared" si="90"/>
        <v>0.41460000000000002</v>
      </c>
      <c r="LT30" s="53">
        <f t="shared" si="91"/>
        <v>37.192</v>
      </c>
      <c r="LU30" s="231">
        <f t="shared" si="123"/>
        <v>2.7200000000000557E-2</v>
      </c>
      <c r="LW30" s="231"/>
      <c r="LX30" s="231">
        <v>20</v>
      </c>
      <c r="LY30" s="234">
        <v>9878</v>
      </c>
      <c r="LZ30" s="184">
        <v>9.9809999999999999</v>
      </c>
      <c r="MA30" s="184">
        <v>1.3374999999999999</v>
      </c>
      <c r="MB30" s="184">
        <v>0.50960000000000005</v>
      </c>
      <c r="MC30" s="162">
        <f t="shared" si="92"/>
        <v>0.41587499999999999</v>
      </c>
      <c r="MD30" s="53">
        <f t="shared" si="93"/>
        <v>37.190400000000004</v>
      </c>
      <c r="ME30" s="231">
        <f t="shared" si="124"/>
        <v>3.0599999999999739E-2</v>
      </c>
      <c r="MF30" s="231"/>
      <c r="MG30" s="231"/>
      <c r="MH30" s="231">
        <v>20</v>
      </c>
      <c r="MI30" s="236">
        <v>9878</v>
      </c>
      <c r="MJ30" s="184">
        <v>10.011100000000001</v>
      </c>
      <c r="MK30" s="184">
        <v>1.3414999999999999</v>
      </c>
      <c r="ML30" s="184">
        <v>0.5111</v>
      </c>
      <c r="MM30" s="162">
        <f t="shared" si="94"/>
        <v>0.41712916666666672</v>
      </c>
      <c r="MN30" s="53">
        <f t="shared" si="95"/>
        <v>37.188900000000004</v>
      </c>
      <c r="MO30" s="231">
        <f t="shared" si="125"/>
        <v>3.0100000000000904E-2</v>
      </c>
      <c r="MP30" s="231"/>
      <c r="MQ30" s="231"/>
      <c r="MR30" s="231">
        <v>20</v>
      </c>
      <c r="MS30" s="34">
        <v>9878</v>
      </c>
      <c r="MT30" s="184">
        <v>10.0686</v>
      </c>
      <c r="MU30" s="184">
        <v>1.3492</v>
      </c>
      <c r="MV30" s="184">
        <v>0.5141</v>
      </c>
      <c r="MW30" s="162">
        <f t="shared" si="96"/>
        <v>0.41952499999999998</v>
      </c>
      <c r="MX30" s="53">
        <f t="shared" si="97"/>
        <v>37.185900000000004</v>
      </c>
      <c r="MY30" s="231">
        <f t="shared" si="126"/>
        <v>5.7499999999999218E-2</v>
      </c>
      <c r="MZ30" s="246"/>
      <c r="NA30" s="246"/>
      <c r="NB30" s="246">
        <v>20</v>
      </c>
      <c r="NC30" s="34">
        <v>9878</v>
      </c>
      <c r="ND30" s="184">
        <v>10.1274</v>
      </c>
      <c r="NE30" s="184">
        <v>1.3571</v>
      </c>
      <c r="NF30" s="184">
        <v>0.5171</v>
      </c>
      <c r="NG30" s="162">
        <f t="shared" si="98"/>
        <v>0.42197499999999999</v>
      </c>
      <c r="NH30" s="53">
        <f t="shared" si="99"/>
        <v>37.182900000000004</v>
      </c>
      <c r="NI30" s="232">
        <f t="shared" si="127"/>
        <v>5.8799999999999741E-2</v>
      </c>
      <c r="NK30" s="250"/>
      <c r="NL30" s="250">
        <v>20</v>
      </c>
      <c r="NM30" s="34">
        <v>9878</v>
      </c>
      <c r="NN30" s="184">
        <v>10.1447</v>
      </c>
      <c r="NO30" s="184">
        <v>1.3593999999999999</v>
      </c>
      <c r="NP30" s="184">
        <v>0.51790000000000003</v>
      </c>
      <c r="NQ30" s="162">
        <f t="shared" si="133"/>
        <v>0.42269583333333333</v>
      </c>
      <c r="NR30" s="53">
        <f t="shared" si="101"/>
        <v>37.182100000000005</v>
      </c>
      <c r="NS30" s="232">
        <f t="shared" si="128"/>
        <v>1.7300000000000537E-2</v>
      </c>
      <c r="NU30" s="250"/>
      <c r="NV30" s="250">
        <v>20</v>
      </c>
      <c r="NW30" s="34">
        <v>9878</v>
      </c>
      <c r="NX30" s="184">
        <v>10.1721</v>
      </c>
      <c r="NY30" s="184">
        <v>1.3631</v>
      </c>
      <c r="NZ30" s="184">
        <v>0.51929999999999998</v>
      </c>
      <c r="OA30" s="162">
        <f t="shared" si="134"/>
        <v>0.42383750000000003</v>
      </c>
      <c r="OB30" s="53">
        <f t="shared" si="103"/>
        <v>37.180700000000002</v>
      </c>
      <c r="OC30" s="232">
        <f t="shared" si="129"/>
        <v>2.7400000000000091E-2</v>
      </c>
      <c r="OE30" s="250"/>
      <c r="OF30" s="250">
        <v>20</v>
      </c>
      <c r="OG30" s="34">
        <v>9878</v>
      </c>
      <c r="OH30" s="184">
        <v>10.1859</v>
      </c>
      <c r="OI30" s="184">
        <v>1.365</v>
      </c>
      <c r="OJ30" s="184">
        <v>0.52</v>
      </c>
      <c r="OK30" s="162">
        <f t="shared" si="135"/>
        <v>0.42441250000000003</v>
      </c>
      <c r="OL30" s="53">
        <f t="shared" si="105"/>
        <v>37.18</v>
      </c>
      <c r="OM30" s="232">
        <f t="shared" si="130"/>
        <v>1.3799999999999812E-2</v>
      </c>
      <c r="OP30" s="250">
        <v>20</v>
      </c>
      <c r="OQ30" s="34">
        <v>9878</v>
      </c>
      <c r="OR30" s="184">
        <f>VLOOKUP(OQ30,Sheet4!A11:F87,3,0)</f>
        <v>10.217499999999999</v>
      </c>
      <c r="OS30" s="184">
        <f>VLOOKUP(OQ30,Sheet4!A11:F87,4,0)</f>
        <v>1.3692</v>
      </c>
      <c r="OT30" s="184">
        <f>VLOOKUP(OQ30,Sheet4!A11:F87,5,0)</f>
        <v>0.52170000000000005</v>
      </c>
      <c r="OU30" s="162">
        <f t="shared" si="106"/>
        <v>0.42572916666666666</v>
      </c>
      <c r="OV30" s="53">
        <f t="shared" si="107"/>
        <v>37.1783</v>
      </c>
      <c r="OW30" s="232">
        <f t="shared" si="131"/>
        <v>3.1599999999999184E-2</v>
      </c>
    </row>
    <row r="31" spans="1:413" ht="15.75" x14ac:dyDescent="0.25">
      <c r="A31">
        <v>23</v>
      </c>
      <c r="B31" s="1">
        <v>9879</v>
      </c>
      <c r="C31" s="1" t="s">
        <v>1</v>
      </c>
      <c r="D31" s="2">
        <v>37.840000000000003</v>
      </c>
      <c r="E31" s="8"/>
      <c r="F31" s="8"/>
      <c r="G31" s="8"/>
      <c r="H31" s="8"/>
      <c r="J31" s="15">
        <v>9879</v>
      </c>
      <c r="K31" s="15">
        <v>8.0984999999999996</v>
      </c>
      <c r="L31" s="15">
        <v>1.0851999999999999</v>
      </c>
      <c r="M31" s="15">
        <v>0.41349999999999998</v>
      </c>
      <c r="N31" s="24">
        <f t="shared" si="42"/>
        <v>0.3374375</v>
      </c>
      <c r="O31" s="10">
        <f t="shared" si="36"/>
        <v>37.426500000000004</v>
      </c>
      <c r="P31" s="18"/>
      <c r="R31" s="20">
        <v>9879</v>
      </c>
      <c r="S31" s="9">
        <v>8.1685999999999996</v>
      </c>
      <c r="T31" s="9">
        <v>1.0946</v>
      </c>
      <c r="U31" s="9">
        <v>0.41710000000000003</v>
      </c>
      <c r="V31" s="24">
        <f t="shared" si="43"/>
        <v>0.34035833333333332</v>
      </c>
      <c r="W31" s="10">
        <f t="shared" si="44"/>
        <v>37.422900000000006</v>
      </c>
      <c r="X31" s="18"/>
      <c r="Z31" s="27">
        <v>9879</v>
      </c>
      <c r="AA31" s="9">
        <v>8.3409999999999993</v>
      </c>
      <c r="AB31" s="9">
        <v>1.1176999999999999</v>
      </c>
      <c r="AC31" s="9">
        <v>0.4259</v>
      </c>
      <c r="AD31" s="24">
        <f t="shared" si="45"/>
        <v>0.34754166666666664</v>
      </c>
      <c r="AE31" s="10">
        <f t="shared" si="46"/>
        <v>37.414100000000005</v>
      </c>
      <c r="AF31" s="79"/>
      <c r="AG31">
        <v>23</v>
      </c>
      <c r="AH31" s="1">
        <v>9879</v>
      </c>
      <c r="AI31" s="1" t="s">
        <v>1</v>
      </c>
      <c r="AJ31" s="2">
        <v>37.840000000000003</v>
      </c>
      <c r="AL31" s="32">
        <v>9879</v>
      </c>
      <c r="AM31" s="9">
        <v>8.5286000000000008</v>
      </c>
      <c r="AN31" s="9">
        <v>1.1429</v>
      </c>
      <c r="AO31" s="9">
        <v>0.43540000000000001</v>
      </c>
      <c r="AP31" s="37">
        <f t="shared" si="0"/>
        <v>0.35535833333333339</v>
      </c>
      <c r="AQ31" s="53">
        <f t="shared" si="108"/>
        <v>37.404600000000002</v>
      </c>
      <c r="AT31" s="39"/>
      <c r="AU31" s="38">
        <v>9879</v>
      </c>
      <c r="AV31" s="9">
        <v>8.6083999999999996</v>
      </c>
      <c r="AW31" s="43">
        <v>1.1536</v>
      </c>
      <c r="AX31" s="43">
        <v>0.4395</v>
      </c>
      <c r="AY31" s="47">
        <f t="shared" si="47"/>
        <v>0.3586833333333333</v>
      </c>
      <c r="AZ31" s="56">
        <f t="shared" si="109"/>
        <v>37.400500000000001</v>
      </c>
      <c r="BD31" s="54">
        <v>9879</v>
      </c>
      <c r="BE31" s="53">
        <v>8.6173999999999999</v>
      </c>
      <c r="BF31" s="58">
        <v>1.1548</v>
      </c>
      <c r="BG31" s="58">
        <v>0.44</v>
      </c>
      <c r="BH31" s="47">
        <f t="shared" si="48"/>
        <v>0.35905833333333331</v>
      </c>
      <c r="BI31" s="56">
        <f t="shared" si="49"/>
        <v>37.400000000000006</v>
      </c>
      <c r="BJ31" s="88"/>
      <c r="BK31" s="88"/>
      <c r="BL31" s="88"/>
      <c r="BN31" s="9">
        <v>9879</v>
      </c>
      <c r="BO31" s="53">
        <v>8.6510999999999996</v>
      </c>
      <c r="BP31" s="53">
        <v>1.1593</v>
      </c>
      <c r="BQ31" s="53">
        <v>0.44169999999999998</v>
      </c>
      <c r="BR31" s="53">
        <f t="shared" si="50"/>
        <v>0.36046249999999996</v>
      </c>
      <c r="BS31" s="53">
        <f t="shared" si="51"/>
        <v>37.398300000000006</v>
      </c>
      <c r="BV31" s="88"/>
      <c r="BX31" s="93">
        <v>9879</v>
      </c>
      <c r="BY31" s="9">
        <v>8.7173999999999996</v>
      </c>
      <c r="BZ31" s="9">
        <v>1.1681999999999999</v>
      </c>
      <c r="CA31" s="9">
        <v>0.4451</v>
      </c>
      <c r="CB31" s="58">
        <f t="shared" si="52"/>
        <v>0.36322499999999996</v>
      </c>
      <c r="CC31" s="53">
        <f t="shared" si="110"/>
        <v>37.394900000000007</v>
      </c>
      <c r="CF31" s="88"/>
      <c r="CG31">
        <v>21</v>
      </c>
      <c r="CH31" s="93">
        <v>9879</v>
      </c>
      <c r="CI31" s="93">
        <v>8.7744</v>
      </c>
      <c r="CJ31" s="9">
        <v>1.1758</v>
      </c>
      <c r="CK31" s="9">
        <v>0.44800000000000001</v>
      </c>
      <c r="CL31" s="47">
        <f t="shared" si="5"/>
        <v>0.36559999999999998</v>
      </c>
      <c r="CM31" s="53">
        <f t="shared" si="53"/>
        <v>37.392000000000003</v>
      </c>
      <c r="CQ31">
        <v>21</v>
      </c>
      <c r="CR31" s="98">
        <v>9879</v>
      </c>
      <c r="CS31" s="101">
        <v>8.8460999999999999</v>
      </c>
      <c r="CT31" s="101">
        <v>1.1854</v>
      </c>
      <c r="CU31" s="101">
        <v>0.4516</v>
      </c>
      <c r="CV31" s="47">
        <f t="shared" si="6"/>
        <v>0.36858750000000001</v>
      </c>
      <c r="CW31" s="53">
        <f t="shared" si="37"/>
        <v>37.388400000000004</v>
      </c>
      <c r="DA31">
        <v>21</v>
      </c>
      <c r="DB31" s="106">
        <v>9879</v>
      </c>
      <c r="DC31" s="107">
        <v>8.8530999999999995</v>
      </c>
      <c r="DD31" s="107">
        <v>1.1862999999999999</v>
      </c>
      <c r="DE31" s="107">
        <v>0.45200000000000001</v>
      </c>
      <c r="DF31" s="47">
        <f t="shared" si="136"/>
        <v>0.36887916666666665</v>
      </c>
      <c r="DG31" s="53">
        <f t="shared" si="111"/>
        <v>37.388000000000005</v>
      </c>
      <c r="DK31">
        <v>21</v>
      </c>
      <c r="DL31" s="110">
        <v>9879</v>
      </c>
      <c r="DM31" s="53">
        <v>8.9349000000000007</v>
      </c>
      <c r="DN31" s="53">
        <v>1.1973</v>
      </c>
      <c r="DO31" s="53">
        <v>0.45619999999999999</v>
      </c>
      <c r="DP31" s="47">
        <f t="shared" si="137"/>
        <v>0.37228750000000005</v>
      </c>
      <c r="DQ31" s="53">
        <f t="shared" si="54"/>
        <v>37.383800000000001</v>
      </c>
      <c r="DS31" s="3">
        <f t="shared" si="55"/>
        <v>8.1800000000001205E-2</v>
      </c>
      <c r="DU31">
        <v>21</v>
      </c>
      <c r="DV31" s="115">
        <v>9879</v>
      </c>
      <c r="DW31" s="9">
        <v>8.9859000000000009</v>
      </c>
      <c r="DX31" s="9">
        <v>1.2040999999999999</v>
      </c>
      <c r="DY31" s="9">
        <v>0.45879999999999999</v>
      </c>
      <c r="DZ31" s="47">
        <f t="shared" si="138"/>
        <v>0.37441250000000004</v>
      </c>
      <c r="EA31" s="53">
        <f t="shared" si="112"/>
        <v>37.381200000000007</v>
      </c>
      <c r="EB31" s="3"/>
      <c r="EE31">
        <v>21</v>
      </c>
      <c r="EF31" s="118">
        <v>9879</v>
      </c>
      <c r="EG31" s="9">
        <v>9.0655999999999999</v>
      </c>
      <c r="EH31" s="9">
        <v>1.2148000000000001</v>
      </c>
      <c r="EI31" s="9">
        <v>0.46279999999999999</v>
      </c>
      <c r="EJ31" s="47">
        <f t="shared" si="10"/>
        <v>0.37773333333333331</v>
      </c>
      <c r="EK31" s="53">
        <f t="shared" si="56"/>
        <v>37.377200000000002</v>
      </c>
      <c r="EM31" s="3">
        <f t="shared" si="57"/>
        <v>-4.0000000000048885E-3</v>
      </c>
      <c r="EN31" s="3"/>
      <c r="EO31">
        <v>21</v>
      </c>
      <c r="EP31" s="121">
        <v>9879</v>
      </c>
      <c r="EQ31" s="122">
        <v>9.2240000000000002</v>
      </c>
      <c r="ER31" s="122">
        <v>1.2361</v>
      </c>
      <c r="ES31" s="129">
        <v>0.47089999999999999</v>
      </c>
      <c r="ET31" s="130">
        <f t="shared" si="11"/>
        <v>0.38433333333333336</v>
      </c>
      <c r="EU31" s="131">
        <f t="shared" si="58"/>
        <v>37.369100000000003</v>
      </c>
      <c r="EX31" s="3"/>
      <c r="EY31">
        <v>21</v>
      </c>
      <c r="EZ31" s="135">
        <v>9879</v>
      </c>
      <c r="FA31" s="135">
        <v>9.2987000000000002</v>
      </c>
      <c r="FB31" s="135">
        <v>1.2461</v>
      </c>
      <c r="FC31" s="135">
        <v>0.47470000000000001</v>
      </c>
      <c r="FD31" s="136">
        <f t="shared" si="12"/>
        <v>0.38744583333333332</v>
      </c>
      <c r="FE31" s="131">
        <f t="shared" si="59"/>
        <v>37.365300000000005</v>
      </c>
      <c r="FG31" s="123">
        <f t="shared" si="60"/>
        <v>-3.7999999999982492E-3</v>
      </c>
      <c r="FH31" s="3"/>
      <c r="FI31">
        <v>21</v>
      </c>
      <c r="FJ31" s="145">
        <v>9879</v>
      </c>
      <c r="FK31" s="9">
        <v>9.3981999999999992</v>
      </c>
      <c r="FL31" s="9">
        <v>1.2594000000000001</v>
      </c>
      <c r="FM31" s="9">
        <v>0.4798</v>
      </c>
      <c r="FN31" s="146">
        <f t="shared" si="113"/>
        <v>0.39159166666666662</v>
      </c>
      <c r="FO31" s="131">
        <f t="shared" si="61"/>
        <v>37.360200000000006</v>
      </c>
      <c r="FP31" s="123">
        <f t="shared" si="62"/>
        <v>-5.0999999999987722E-3</v>
      </c>
      <c r="FS31">
        <v>21</v>
      </c>
      <c r="FT31" s="147">
        <v>9879</v>
      </c>
      <c r="FU31" s="148">
        <v>9.4186999999999994</v>
      </c>
      <c r="FV31" s="148">
        <v>1.2621</v>
      </c>
      <c r="FW31" s="148">
        <v>0.48089999999999999</v>
      </c>
      <c r="FX31" s="150">
        <f t="shared" si="114"/>
        <v>0.39244583333333333</v>
      </c>
      <c r="FY31" s="131">
        <f t="shared" si="115"/>
        <v>37.359100000000005</v>
      </c>
      <c r="FZ31">
        <f t="shared" si="63"/>
        <v>2.0500000000000185E-2</v>
      </c>
      <c r="GC31">
        <v>21</v>
      </c>
      <c r="GD31" s="151">
        <v>9879</v>
      </c>
      <c r="GE31" s="151">
        <v>9.4694000000000003</v>
      </c>
      <c r="GF31" s="151">
        <v>1.2688999999999999</v>
      </c>
      <c r="GG31" s="151">
        <v>0.48349999999999999</v>
      </c>
      <c r="GH31" s="153">
        <f t="shared" si="132"/>
        <v>0.39455833333333334</v>
      </c>
      <c r="GI31" s="131">
        <f t="shared" si="64"/>
        <v>37.356500000000004</v>
      </c>
      <c r="GJ31">
        <f t="shared" si="38"/>
        <v>5.0700000000000855E-2</v>
      </c>
      <c r="GM31">
        <v>21</v>
      </c>
      <c r="GN31" s="155">
        <v>9879</v>
      </c>
      <c r="GO31" s="155">
        <v>9.5767000000000007</v>
      </c>
      <c r="GP31" s="155">
        <v>1.2833000000000001</v>
      </c>
      <c r="GQ31" s="155">
        <v>0.4889</v>
      </c>
      <c r="GR31" s="58">
        <f t="shared" si="65"/>
        <v>0.39902916666666671</v>
      </c>
      <c r="GS31" s="131">
        <f t="shared" si="66"/>
        <v>37.351100000000002</v>
      </c>
      <c r="GT31">
        <f t="shared" si="39"/>
        <v>0.1073000000000004</v>
      </c>
      <c r="GW31">
        <v>21</v>
      </c>
      <c r="GX31" s="157">
        <v>9879</v>
      </c>
      <c r="GY31" s="161">
        <f>VLOOKUP(GX31,Sheet3!$AJ$7:$AN$83,2,0)</f>
        <v>9.7128999999999994</v>
      </c>
      <c r="GZ31" s="161">
        <f>VLOOKUP(GX31,Sheet3!$AJ$7:$AN$83,3,0)</f>
        <v>1.3016000000000001</v>
      </c>
      <c r="HA31" s="161">
        <f>VLOOKUP(GX31,Sheet3!$AJ$7:$AN$83,4,0)</f>
        <v>0.49590000000000001</v>
      </c>
      <c r="HB31" s="162">
        <f t="shared" si="17"/>
        <v>0.40470416666666664</v>
      </c>
      <c r="HC31" s="131">
        <f t="shared" si="116"/>
        <v>37.344100000000005</v>
      </c>
      <c r="HD31" s="159">
        <f t="shared" si="40"/>
        <v>0.13619999999999877</v>
      </c>
      <c r="HE31" s="159">
        <f t="shared" si="41"/>
        <v>7.0000000000000062E-3</v>
      </c>
      <c r="HG31" s="159"/>
      <c r="HH31" s="159">
        <v>21</v>
      </c>
      <c r="HI31" s="158">
        <v>9879</v>
      </c>
      <c r="HJ31" s="161">
        <v>9.7678999999999991</v>
      </c>
      <c r="HK31" s="161">
        <v>1.3089</v>
      </c>
      <c r="HL31" s="161">
        <v>0.49869999999999998</v>
      </c>
      <c r="HM31" s="162">
        <f t="shared" si="18"/>
        <v>0.40699583333333328</v>
      </c>
      <c r="HN31" s="131">
        <f t="shared" si="67"/>
        <v>37.341300000000004</v>
      </c>
      <c r="HO31" s="159">
        <f t="shared" si="68"/>
        <v>5.4999999999999716E-2</v>
      </c>
      <c r="HQ31" s="183"/>
      <c r="HR31" s="183">
        <v>21</v>
      </c>
      <c r="HS31" s="178">
        <v>9879</v>
      </c>
      <c r="HT31" s="184">
        <v>9.8036999999999992</v>
      </c>
      <c r="HU31" s="184">
        <v>1.3137000000000001</v>
      </c>
      <c r="HV31" s="184">
        <v>0.50049999999999994</v>
      </c>
      <c r="HW31" s="171">
        <f t="shared" si="19"/>
        <v>0.40848749999999995</v>
      </c>
      <c r="HX31" s="53">
        <f t="shared" si="69"/>
        <v>37.339500000000001</v>
      </c>
      <c r="HY31" s="183">
        <f t="shared" si="70"/>
        <v>3.5800000000000054E-2</v>
      </c>
      <c r="IA31" s="194"/>
      <c r="IB31" s="194">
        <v>21</v>
      </c>
      <c r="IC31" s="193">
        <v>9879</v>
      </c>
      <c r="ID31" s="161">
        <v>9.8192000000000004</v>
      </c>
      <c r="IE31" s="184">
        <v>1.3158000000000001</v>
      </c>
      <c r="IF31" s="184">
        <v>0.50129999999999997</v>
      </c>
      <c r="IG31" s="171">
        <f t="shared" si="71"/>
        <v>0.40913333333333335</v>
      </c>
      <c r="IH31" s="53">
        <f t="shared" si="72"/>
        <v>37.338700000000003</v>
      </c>
      <c r="II31" s="194">
        <f t="shared" si="73"/>
        <v>1.550000000000118E-2</v>
      </c>
      <c r="IL31" s="199">
        <v>21</v>
      </c>
      <c r="IM31" s="197">
        <v>9879</v>
      </c>
      <c r="IN31" s="161">
        <v>9.9008000000000003</v>
      </c>
      <c r="IO31" s="184">
        <v>1.3267</v>
      </c>
      <c r="IP31" s="184">
        <v>0.50549999999999995</v>
      </c>
      <c r="IQ31" s="171">
        <f t="shared" si="74"/>
        <v>0.41253333333333336</v>
      </c>
      <c r="IR31" s="53">
        <f t="shared" si="75"/>
        <v>37.334500000000006</v>
      </c>
      <c r="IS31" s="199">
        <f t="shared" si="76"/>
        <v>8.1599999999999895E-2</v>
      </c>
      <c r="IU31" s="202"/>
      <c r="IV31" s="202">
        <v>21</v>
      </c>
      <c r="IW31" s="201">
        <v>9879</v>
      </c>
      <c r="IX31" s="184">
        <v>10.010999999999999</v>
      </c>
      <c r="IY31" s="184">
        <v>1.3414999999999999</v>
      </c>
      <c r="IZ31" s="184">
        <v>0.5111</v>
      </c>
      <c r="JA31" s="162">
        <f t="shared" si="22"/>
        <v>0.41712499999999997</v>
      </c>
      <c r="JB31" s="53">
        <f t="shared" si="77"/>
        <v>37.328900000000004</v>
      </c>
      <c r="JC31" s="202">
        <f t="shared" si="78"/>
        <v>0.11019999999999897</v>
      </c>
      <c r="JE31" s="204"/>
      <c r="JF31" s="204">
        <v>21</v>
      </c>
      <c r="JG31" s="203">
        <v>9879</v>
      </c>
      <c r="JH31" s="161">
        <v>10.045999999999999</v>
      </c>
      <c r="JI31" s="184">
        <v>1.3462000000000001</v>
      </c>
      <c r="JJ31" s="184">
        <v>0.51290000000000002</v>
      </c>
      <c r="JK31" s="162">
        <f t="shared" si="79"/>
        <v>0.41858333333333331</v>
      </c>
      <c r="JL31" s="53">
        <f t="shared" si="80"/>
        <v>37.327100000000002</v>
      </c>
      <c r="JM31" s="204">
        <f t="shared" si="117"/>
        <v>3.5000000000000142E-2</v>
      </c>
      <c r="JN31" s="204"/>
      <c r="JP31" s="209">
        <v>21</v>
      </c>
      <c r="JQ31" s="205">
        <v>9879</v>
      </c>
      <c r="JR31" s="161">
        <v>10.074199999999999</v>
      </c>
      <c r="JS31" s="184">
        <v>1.35</v>
      </c>
      <c r="JT31" s="184">
        <v>0.51429999999999998</v>
      </c>
      <c r="JU31" s="162">
        <f t="shared" si="81"/>
        <v>0.41975833333333329</v>
      </c>
      <c r="JV31" s="53">
        <f t="shared" si="82"/>
        <v>37.325700000000005</v>
      </c>
      <c r="JW31" s="209">
        <f t="shared" si="118"/>
        <v>2.8200000000000003E-2</v>
      </c>
      <c r="JX31" s="213"/>
      <c r="JY31" s="213"/>
      <c r="JZ31" s="213">
        <v>21</v>
      </c>
      <c r="KA31" s="206">
        <v>9879</v>
      </c>
      <c r="KB31" s="184">
        <v>10.1402</v>
      </c>
      <c r="KC31" s="184">
        <v>1.3588</v>
      </c>
      <c r="KD31" s="184">
        <v>0.51770000000000005</v>
      </c>
      <c r="KE31" s="162">
        <f t="shared" si="83"/>
        <v>0.42250833333333332</v>
      </c>
      <c r="KF31" s="53">
        <f t="shared" si="84"/>
        <v>37.322300000000006</v>
      </c>
      <c r="KG31" s="213">
        <f t="shared" si="119"/>
        <v>6.6000000000000725E-2</v>
      </c>
      <c r="KI31" s="219"/>
      <c r="KJ31" s="219">
        <v>21</v>
      </c>
      <c r="KK31" s="214">
        <v>9879</v>
      </c>
      <c r="KL31" s="161">
        <v>10.1622</v>
      </c>
      <c r="KM31" s="161">
        <v>1.3617999999999999</v>
      </c>
      <c r="KN31" s="161">
        <v>0.51880000000000004</v>
      </c>
      <c r="KO31" s="162">
        <f t="shared" si="24"/>
        <v>0.423425</v>
      </c>
      <c r="KP31" s="53">
        <f t="shared" si="85"/>
        <v>37.321200000000005</v>
      </c>
      <c r="KQ31" s="219">
        <f t="shared" si="120"/>
        <v>2.2000000000000242E-2</v>
      </c>
      <c r="KT31" s="223">
        <v>21</v>
      </c>
      <c r="KU31" s="216">
        <v>9879</v>
      </c>
      <c r="KV31" s="161">
        <v>10.1854</v>
      </c>
      <c r="KW31" s="161">
        <v>1.3649</v>
      </c>
      <c r="KX31" s="161">
        <v>0.52</v>
      </c>
      <c r="KY31" s="162">
        <f t="shared" si="86"/>
        <v>0.42439166666666667</v>
      </c>
      <c r="KZ31" s="53">
        <f t="shared" si="87"/>
        <v>37.32</v>
      </c>
      <c r="LA31" s="223">
        <f t="shared" si="121"/>
        <v>2.3199999999999221E-2</v>
      </c>
      <c r="LD31" s="228">
        <v>21</v>
      </c>
      <c r="LE31" s="221">
        <v>9879</v>
      </c>
      <c r="LF31" s="161">
        <v>10.204800000000001</v>
      </c>
      <c r="LG31" s="161">
        <v>1.3674999999999999</v>
      </c>
      <c r="LH31" s="161">
        <v>0.52100000000000002</v>
      </c>
      <c r="LI31" s="162">
        <f t="shared" si="88"/>
        <v>0.42520000000000002</v>
      </c>
      <c r="LJ31" s="53">
        <f t="shared" si="89"/>
        <v>37.319000000000003</v>
      </c>
      <c r="LK31" s="228">
        <f t="shared" si="122"/>
        <v>1.9400000000000972E-2</v>
      </c>
      <c r="LL31" s="231"/>
      <c r="LM31" s="231"/>
      <c r="LN31" s="231">
        <v>21</v>
      </c>
      <c r="LO31" s="226">
        <v>9879</v>
      </c>
      <c r="LP31" s="184">
        <v>10.231999999999999</v>
      </c>
      <c r="LQ31" s="184">
        <v>1.3711</v>
      </c>
      <c r="LR31" s="184">
        <v>0.52239999999999998</v>
      </c>
      <c r="LS31" s="162">
        <f t="shared" si="90"/>
        <v>0.42633333333333329</v>
      </c>
      <c r="LT31" s="53">
        <f t="shared" si="91"/>
        <v>37.317600000000006</v>
      </c>
      <c r="LU31" s="231">
        <f t="shared" si="123"/>
        <v>2.7199999999998781E-2</v>
      </c>
      <c r="LW31" s="231"/>
      <c r="LX31" s="231">
        <v>21</v>
      </c>
      <c r="LY31" s="234">
        <v>9879</v>
      </c>
      <c r="LZ31" s="184">
        <v>10.262600000000001</v>
      </c>
      <c r="MA31" s="184">
        <v>1.3752</v>
      </c>
      <c r="MB31" s="184">
        <v>0.52400000000000002</v>
      </c>
      <c r="MC31" s="162">
        <f t="shared" si="92"/>
        <v>0.42760833333333337</v>
      </c>
      <c r="MD31" s="53">
        <f t="shared" si="93"/>
        <v>37.316000000000003</v>
      </c>
      <c r="ME31" s="231">
        <f t="shared" si="124"/>
        <v>3.0600000000001515E-2</v>
      </c>
      <c r="MF31" s="231"/>
      <c r="MG31" s="231"/>
      <c r="MH31" s="231">
        <v>21</v>
      </c>
      <c r="MI31" s="236">
        <v>9879</v>
      </c>
      <c r="MJ31" s="184">
        <v>10.2927</v>
      </c>
      <c r="MK31" s="184">
        <v>1.3793</v>
      </c>
      <c r="ML31" s="184">
        <v>0.52549999999999997</v>
      </c>
      <c r="MM31" s="162">
        <f t="shared" si="94"/>
        <v>0.42886249999999998</v>
      </c>
      <c r="MN31" s="53">
        <f t="shared" si="95"/>
        <v>37.314500000000002</v>
      </c>
      <c r="MO31" s="231">
        <f t="shared" si="125"/>
        <v>3.0099999999999127E-2</v>
      </c>
      <c r="MP31" s="231"/>
      <c r="MQ31" s="231"/>
      <c r="MR31" s="231">
        <v>21</v>
      </c>
      <c r="MS31" s="34">
        <v>9879</v>
      </c>
      <c r="MT31" s="184">
        <v>10.350199999999999</v>
      </c>
      <c r="MU31" s="184">
        <v>1.387</v>
      </c>
      <c r="MV31" s="184">
        <v>0.52839999999999998</v>
      </c>
      <c r="MW31" s="162">
        <f t="shared" si="96"/>
        <v>0.4312583333333333</v>
      </c>
      <c r="MX31" s="53">
        <f t="shared" si="97"/>
        <v>37.311600000000006</v>
      </c>
      <c r="MY31" s="231">
        <f t="shared" si="126"/>
        <v>5.7499999999999218E-2</v>
      </c>
      <c r="MZ31" s="246"/>
      <c r="NA31" s="246"/>
      <c r="NB31" s="246">
        <v>21</v>
      </c>
      <c r="NC31" s="34">
        <v>9879</v>
      </c>
      <c r="ND31" s="184">
        <v>10.409000000000001</v>
      </c>
      <c r="NE31" s="184">
        <v>1.3948</v>
      </c>
      <c r="NF31" s="184">
        <v>0.53139999999999998</v>
      </c>
      <c r="NG31" s="162">
        <f t="shared" si="98"/>
        <v>0.43370833333333336</v>
      </c>
      <c r="NH31" s="53">
        <f t="shared" si="99"/>
        <v>37.308600000000006</v>
      </c>
      <c r="NI31" s="232">
        <f t="shared" si="127"/>
        <v>5.8800000000001518E-2</v>
      </c>
      <c r="NK31" s="250"/>
      <c r="NL31" s="250">
        <v>21</v>
      </c>
      <c r="NM31" s="34">
        <v>9879</v>
      </c>
      <c r="NN31" s="184">
        <v>10.426299999999999</v>
      </c>
      <c r="NO31" s="184">
        <v>1.3972</v>
      </c>
      <c r="NP31" s="184">
        <v>0.5323</v>
      </c>
      <c r="NQ31" s="162">
        <f t="shared" si="133"/>
        <v>0.43442916666666664</v>
      </c>
      <c r="NR31" s="53">
        <f t="shared" si="101"/>
        <v>37.307700000000004</v>
      </c>
      <c r="NS31" s="232">
        <f t="shared" si="128"/>
        <v>1.7299999999998761E-2</v>
      </c>
      <c r="NU31" s="250"/>
      <c r="NV31" s="250">
        <v>21</v>
      </c>
      <c r="NW31" s="34">
        <v>9879</v>
      </c>
      <c r="NX31" s="184">
        <v>10.4537</v>
      </c>
      <c r="NY31" s="184">
        <v>1.4008</v>
      </c>
      <c r="NZ31" s="184">
        <v>0.53369999999999995</v>
      </c>
      <c r="OA31" s="162">
        <f t="shared" si="134"/>
        <v>0.4355708333333333</v>
      </c>
      <c r="OB31" s="53">
        <f t="shared" si="103"/>
        <v>37.3063</v>
      </c>
      <c r="OC31" s="232">
        <f t="shared" si="129"/>
        <v>2.7400000000000091E-2</v>
      </c>
      <c r="OE31" s="250"/>
      <c r="OF31" s="250">
        <v>21</v>
      </c>
      <c r="OG31" s="34">
        <v>9879</v>
      </c>
      <c r="OH31" s="184">
        <v>10.467499999999999</v>
      </c>
      <c r="OI31" s="184">
        <v>1.4027000000000001</v>
      </c>
      <c r="OJ31" s="184">
        <v>0.53439999999999999</v>
      </c>
      <c r="OK31" s="162">
        <f t="shared" si="135"/>
        <v>0.43614583333333329</v>
      </c>
      <c r="OL31" s="53">
        <f t="shared" si="105"/>
        <v>37.305600000000005</v>
      </c>
      <c r="OM31" s="232">
        <f t="shared" si="130"/>
        <v>1.3799999999999812E-2</v>
      </c>
      <c r="OP31" s="250">
        <v>21</v>
      </c>
      <c r="OQ31" s="34">
        <v>9879</v>
      </c>
      <c r="OR31" s="184">
        <f>VLOOKUP(OQ31,Sheet4!A12:F88,3,0)</f>
        <v>10.4991</v>
      </c>
      <c r="OS31" s="184">
        <f>VLOOKUP(OQ31,Sheet4!A12:F88,4,0)</f>
        <v>1.4069</v>
      </c>
      <c r="OT31" s="184">
        <f>VLOOKUP(OQ31,Sheet4!A12:F88,5,0)</f>
        <v>0.53600000000000003</v>
      </c>
      <c r="OU31" s="162">
        <f t="shared" si="106"/>
        <v>0.43746250000000003</v>
      </c>
      <c r="OV31" s="53">
        <f t="shared" si="107"/>
        <v>37.304000000000002</v>
      </c>
      <c r="OW31" s="232">
        <f t="shared" si="131"/>
        <v>3.1600000000000961E-2</v>
      </c>
    </row>
    <row r="32" spans="1:413" ht="15.75" x14ac:dyDescent="0.25">
      <c r="A32">
        <v>24</v>
      </c>
      <c r="B32" s="1">
        <v>9978</v>
      </c>
      <c r="C32" s="1" t="s">
        <v>1</v>
      </c>
      <c r="D32" s="2">
        <v>37.72</v>
      </c>
      <c r="E32" s="8"/>
      <c r="F32" s="8"/>
      <c r="G32" s="8"/>
      <c r="H32" s="8"/>
      <c r="J32" s="15">
        <v>9978</v>
      </c>
      <c r="K32" s="15">
        <v>7.9688999999999997</v>
      </c>
      <c r="L32" s="15">
        <v>1.0679000000000001</v>
      </c>
      <c r="M32" s="15">
        <v>0.40689999999999998</v>
      </c>
      <c r="N32" s="24">
        <f t="shared" si="42"/>
        <v>0.33203749999999999</v>
      </c>
      <c r="O32" s="10">
        <f t="shared" si="36"/>
        <v>37.313099999999999</v>
      </c>
      <c r="P32" s="18"/>
      <c r="R32" s="20">
        <v>9978</v>
      </c>
      <c r="S32" s="9">
        <v>8.0389999999999997</v>
      </c>
      <c r="T32" s="9">
        <v>1.0772999999999999</v>
      </c>
      <c r="U32" s="9">
        <v>0.41039999999999999</v>
      </c>
      <c r="V32" s="24">
        <f t="shared" si="43"/>
        <v>0.3349583333333333</v>
      </c>
      <c r="W32" s="10">
        <f t="shared" si="44"/>
        <v>37.309599999999996</v>
      </c>
      <c r="X32" s="18"/>
      <c r="Z32" s="27">
        <v>9978</v>
      </c>
      <c r="AA32" s="9">
        <v>8.2113999999999994</v>
      </c>
      <c r="AB32" s="9">
        <v>1.1004</v>
      </c>
      <c r="AC32" s="9">
        <v>0.41920000000000002</v>
      </c>
      <c r="AD32" s="24">
        <f t="shared" si="45"/>
        <v>0.34214166666666662</v>
      </c>
      <c r="AE32" s="10">
        <f t="shared" si="46"/>
        <v>37.300799999999995</v>
      </c>
      <c r="AF32" s="79"/>
      <c r="AG32">
        <v>24</v>
      </c>
      <c r="AH32" s="1">
        <v>9978</v>
      </c>
      <c r="AI32" s="1" t="s">
        <v>1</v>
      </c>
      <c r="AJ32" s="2">
        <v>37.72</v>
      </c>
      <c r="AL32" s="32">
        <v>9978</v>
      </c>
      <c r="AM32" s="9">
        <v>8.3989999999999991</v>
      </c>
      <c r="AN32" s="9">
        <v>1.1254999999999999</v>
      </c>
      <c r="AO32" s="9">
        <v>0.42880000000000001</v>
      </c>
      <c r="AP32" s="37">
        <f t="shared" si="0"/>
        <v>0.34995833333333332</v>
      </c>
      <c r="AQ32" s="53">
        <f t="shared" si="108"/>
        <v>37.291199999999996</v>
      </c>
      <c r="AT32" s="39"/>
      <c r="AU32" s="38">
        <v>9978</v>
      </c>
      <c r="AV32" s="9">
        <v>8.4787999999999997</v>
      </c>
      <c r="AW32" s="43">
        <v>1.1362000000000001</v>
      </c>
      <c r="AX32" s="43">
        <v>0.43290000000000001</v>
      </c>
      <c r="AY32" s="47">
        <f t="shared" si="47"/>
        <v>0.35328333333333334</v>
      </c>
      <c r="AZ32" s="56">
        <f t="shared" si="109"/>
        <v>37.287100000000002</v>
      </c>
      <c r="BD32" s="54">
        <v>9978</v>
      </c>
      <c r="BE32" s="53">
        <v>8.4878</v>
      </c>
      <c r="BF32" s="58">
        <v>1.1374</v>
      </c>
      <c r="BG32" s="58">
        <v>0.43330000000000002</v>
      </c>
      <c r="BH32" s="47">
        <f t="shared" si="48"/>
        <v>0.35365833333333335</v>
      </c>
      <c r="BI32" s="56">
        <f t="shared" si="49"/>
        <v>37.286699999999996</v>
      </c>
      <c r="BJ32" s="88"/>
      <c r="BK32" s="88"/>
      <c r="BL32" s="88"/>
      <c r="BN32" s="9">
        <v>9978</v>
      </c>
      <c r="BO32" s="53">
        <v>8.5214999999999996</v>
      </c>
      <c r="BP32" s="53">
        <v>1.1418999999999999</v>
      </c>
      <c r="BQ32" s="53">
        <v>0.43509999999999999</v>
      </c>
      <c r="BR32" s="53">
        <f t="shared" si="50"/>
        <v>0.3550625</v>
      </c>
      <c r="BS32" s="53">
        <f t="shared" si="51"/>
        <v>37.2849</v>
      </c>
      <c r="BV32" s="88"/>
      <c r="BX32" s="93">
        <v>9978</v>
      </c>
      <c r="BY32" s="9">
        <v>8.5877999999999997</v>
      </c>
      <c r="BZ32" s="9">
        <v>1.1508</v>
      </c>
      <c r="CA32" s="9">
        <v>0.4385</v>
      </c>
      <c r="CB32" s="58">
        <f t="shared" si="52"/>
        <v>0.357825</v>
      </c>
      <c r="CC32" s="53">
        <f t="shared" si="110"/>
        <v>37.281500000000001</v>
      </c>
      <c r="CF32" s="88"/>
      <c r="CG32">
        <v>22</v>
      </c>
      <c r="CH32" s="93">
        <v>9978</v>
      </c>
      <c r="CI32" s="93">
        <v>8.6448</v>
      </c>
      <c r="CJ32" s="9">
        <v>1.1584000000000001</v>
      </c>
      <c r="CK32" s="9">
        <v>0.44140000000000001</v>
      </c>
      <c r="CL32" s="47">
        <f t="shared" si="5"/>
        <v>0.36020000000000002</v>
      </c>
      <c r="CM32" s="53">
        <f t="shared" si="53"/>
        <v>37.278599999999997</v>
      </c>
      <c r="CQ32">
        <v>22</v>
      </c>
      <c r="CR32" s="98">
        <v>9978</v>
      </c>
      <c r="CS32" s="101">
        <v>8.7164999999999999</v>
      </c>
      <c r="CT32" s="101">
        <v>1.1679999999999999</v>
      </c>
      <c r="CU32" s="101">
        <v>0.44500000000000001</v>
      </c>
      <c r="CV32" s="47">
        <f t="shared" si="6"/>
        <v>0.3631875</v>
      </c>
      <c r="CW32" s="53">
        <f t="shared" si="37"/>
        <v>37.274999999999999</v>
      </c>
      <c r="DA32">
        <v>22</v>
      </c>
      <c r="DB32" s="106">
        <v>9978</v>
      </c>
      <c r="DC32" s="107">
        <v>8.7234999999999996</v>
      </c>
      <c r="DD32" s="107">
        <v>1.169</v>
      </c>
      <c r="DE32" s="107">
        <v>0.44540000000000002</v>
      </c>
      <c r="DF32" s="47">
        <f t="shared" si="136"/>
        <v>0.36347916666666663</v>
      </c>
      <c r="DG32" s="53">
        <f t="shared" si="111"/>
        <v>37.2746</v>
      </c>
      <c r="DK32">
        <v>22</v>
      </c>
      <c r="DL32" s="110">
        <v>9978</v>
      </c>
      <c r="DM32" s="53">
        <v>8.8053000000000008</v>
      </c>
      <c r="DN32" s="53">
        <v>1.1798999999999999</v>
      </c>
      <c r="DO32" s="53">
        <v>0.4496</v>
      </c>
      <c r="DP32" s="47">
        <f t="shared" si="137"/>
        <v>0.36688750000000003</v>
      </c>
      <c r="DQ32" s="53">
        <f t="shared" si="54"/>
        <v>37.270400000000002</v>
      </c>
      <c r="DS32" s="3">
        <f t="shared" si="55"/>
        <v>8.1800000000001205E-2</v>
      </c>
      <c r="DU32">
        <v>22</v>
      </c>
      <c r="DV32" s="115">
        <v>9978</v>
      </c>
      <c r="DW32" s="9">
        <v>8.8562999999999992</v>
      </c>
      <c r="DX32" s="9">
        <v>1.1868000000000001</v>
      </c>
      <c r="DY32" s="9">
        <v>0.45219999999999999</v>
      </c>
      <c r="DZ32" s="47">
        <f t="shared" si="138"/>
        <v>0.36901249999999997</v>
      </c>
      <c r="EA32" s="53">
        <f t="shared" si="112"/>
        <v>37.267800000000001</v>
      </c>
      <c r="EB32" s="3"/>
      <c r="EE32">
        <v>22</v>
      </c>
      <c r="EF32" s="118">
        <v>9978</v>
      </c>
      <c r="EG32" s="9">
        <v>8.9359999999999999</v>
      </c>
      <c r="EH32" s="9">
        <v>1.1975</v>
      </c>
      <c r="EI32" s="9">
        <v>0.45619999999999999</v>
      </c>
      <c r="EJ32" s="47">
        <f t="shared" si="10"/>
        <v>0.37233333333333335</v>
      </c>
      <c r="EK32" s="53">
        <f t="shared" si="56"/>
        <v>37.263799999999996</v>
      </c>
      <c r="EM32" s="3">
        <f t="shared" si="57"/>
        <v>-4.0000000000048885E-3</v>
      </c>
      <c r="EN32" s="3"/>
      <c r="EO32">
        <v>22</v>
      </c>
      <c r="EP32" s="121">
        <v>9978</v>
      </c>
      <c r="EQ32" s="122">
        <v>9.0944000000000003</v>
      </c>
      <c r="ER32" s="122">
        <v>1.2186999999999999</v>
      </c>
      <c r="ES32" s="129">
        <v>0.46429999999999999</v>
      </c>
      <c r="ET32" s="130">
        <f t="shared" si="11"/>
        <v>0.37893333333333334</v>
      </c>
      <c r="EU32" s="131">
        <f t="shared" si="58"/>
        <v>37.255699999999997</v>
      </c>
      <c r="EX32" s="3"/>
      <c r="EY32">
        <v>22</v>
      </c>
      <c r="EZ32" s="135">
        <v>9978</v>
      </c>
      <c r="FA32" s="135">
        <v>9.1691000000000003</v>
      </c>
      <c r="FB32" s="135">
        <v>1.2286999999999999</v>
      </c>
      <c r="FC32" s="135">
        <v>0.46810000000000002</v>
      </c>
      <c r="FD32" s="136">
        <f t="shared" si="12"/>
        <v>0.38204583333333336</v>
      </c>
      <c r="FE32" s="131">
        <f t="shared" si="59"/>
        <v>37.251899999999999</v>
      </c>
      <c r="FG32" s="123">
        <f t="shared" si="60"/>
        <v>-3.7999999999982492E-3</v>
      </c>
      <c r="FH32" s="3"/>
      <c r="FI32">
        <v>22</v>
      </c>
      <c r="FJ32" s="145">
        <v>9978</v>
      </c>
      <c r="FK32" s="9">
        <v>9.2685999999999993</v>
      </c>
      <c r="FL32" s="9">
        <v>1.242</v>
      </c>
      <c r="FM32" s="9">
        <v>0.47320000000000001</v>
      </c>
      <c r="FN32" s="146">
        <f t="shared" si="113"/>
        <v>0.38619166666666666</v>
      </c>
      <c r="FO32" s="131">
        <f t="shared" si="61"/>
        <v>37.2468</v>
      </c>
      <c r="FP32" s="123">
        <f t="shared" si="62"/>
        <v>-5.0999999999987722E-3</v>
      </c>
      <c r="FS32">
        <v>22</v>
      </c>
      <c r="FT32" s="147">
        <v>9978</v>
      </c>
      <c r="FU32" s="148">
        <v>9.2890999999999995</v>
      </c>
      <c r="FV32" s="148">
        <v>1.2447999999999999</v>
      </c>
      <c r="FW32" s="148">
        <v>0.4743</v>
      </c>
      <c r="FX32" s="150">
        <f t="shared" si="114"/>
        <v>0.38704583333333331</v>
      </c>
      <c r="FY32" s="131">
        <f t="shared" si="115"/>
        <v>37.245699999999999</v>
      </c>
      <c r="FZ32">
        <f t="shared" si="63"/>
        <v>2.0500000000000185E-2</v>
      </c>
      <c r="GC32">
        <v>22</v>
      </c>
      <c r="GD32" s="151">
        <v>9978</v>
      </c>
      <c r="GE32" s="151">
        <v>9.3398000000000003</v>
      </c>
      <c r="GF32" s="151">
        <v>1.2516</v>
      </c>
      <c r="GG32" s="151">
        <v>0.4768</v>
      </c>
      <c r="GH32" s="153">
        <f t="shared" si="132"/>
        <v>0.38915833333333333</v>
      </c>
      <c r="GI32" s="131">
        <f t="shared" si="64"/>
        <v>37.243200000000002</v>
      </c>
      <c r="GJ32">
        <f t="shared" si="38"/>
        <v>5.0700000000000855E-2</v>
      </c>
      <c r="GM32">
        <v>22</v>
      </c>
      <c r="GN32" s="155">
        <v>9978</v>
      </c>
      <c r="GO32" s="155">
        <v>9.4471000000000007</v>
      </c>
      <c r="GP32" s="155">
        <v>1.2659</v>
      </c>
      <c r="GQ32" s="155">
        <v>0.48230000000000001</v>
      </c>
      <c r="GR32" s="58">
        <f t="shared" si="65"/>
        <v>0.3936291666666667</v>
      </c>
      <c r="GS32" s="131">
        <f t="shared" si="66"/>
        <v>37.237699999999997</v>
      </c>
      <c r="GT32">
        <f t="shared" si="39"/>
        <v>0.1073000000000004</v>
      </c>
      <c r="GW32">
        <v>22</v>
      </c>
      <c r="GX32" s="157">
        <v>9978</v>
      </c>
      <c r="GY32" s="161">
        <f>VLOOKUP(GX32,Sheet3!$AJ$7:$AN$83,2,0)</f>
        <v>9.5832999999999995</v>
      </c>
      <c r="GZ32" s="161">
        <f>VLOOKUP(GX32,Sheet3!$AJ$7:$AN$83,3,0)</f>
        <v>1.2842</v>
      </c>
      <c r="HA32" s="161">
        <f>VLOOKUP(GX32,Sheet3!$AJ$7:$AN$83,4,0)</f>
        <v>0.48930000000000001</v>
      </c>
      <c r="HB32" s="162">
        <f t="shared" si="17"/>
        <v>0.39930416666666663</v>
      </c>
      <c r="HC32" s="131">
        <f t="shared" si="116"/>
        <v>37.230699999999999</v>
      </c>
      <c r="HD32" s="159">
        <f t="shared" si="40"/>
        <v>0.13619999999999877</v>
      </c>
      <c r="HE32" s="159">
        <f t="shared" si="41"/>
        <v>7.0000000000000062E-3</v>
      </c>
      <c r="HG32" s="159"/>
      <c r="HH32" s="159">
        <v>22</v>
      </c>
      <c r="HI32" s="158">
        <v>9978</v>
      </c>
      <c r="HJ32" s="161">
        <v>9.6382999999999992</v>
      </c>
      <c r="HK32" s="161">
        <v>1.2916000000000001</v>
      </c>
      <c r="HL32" s="161">
        <v>0.49209999999999998</v>
      </c>
      <c r="HM32" s="162">
        <f t="shared" si="18"/>
        <v>0.40159583333333332</v>
      </c>
      <c r="HN32" s="131">
        <f t="shared" si="67"/>
        <v>37.227899999999998</v>
      </c>
      <c r="HO32" s="159">
        <f t="shared" si="68"/>
        <v>5.4999999999999716E-2</v>
      </c>
      <c r="HQ32" s="183"/>
      <c r="HR32" s="183">
        <v>22</v>
      </c>
      <c r="HS32" s="178">
        <v>9978</v>
      </c>
      <c r="HT32" s="184">
        <v>9.6740999999999993</v>
      </c>
      <c r="HU32" s="184">
        <v>1.2964</v>
      </c>
      <c r="HV32" s="184">
        <v>0.49390000000000001</v>
      </c>
      <c r="HW32" s="171">
        <f t="shared" si="19"/>
        <v>0.40308749999999999</v>
      </c>
      <c r="HX32" s="53">
        <f t="shared" si="69"/>
        <v>37.226100000000002</v>
      </c>
      <c r="HY32" s="183">
        <f t="shared" si="70"/>
        <v>3.5800000000000054E-2</v>
      </c>
      <c r="IA32" s="194"/>
      <c r="IB32" s="194">
        <v>22</v>
      </c>
      <c r="IC32" s="193">
        <v>9978</v>
      </c>
      <c r="ID32" s="161">
        <v>9.6896000000000004</v>
      </c>
      <c r="IE32" s="184">
        <v>1.2984</v>
      </c>
      <c r="IF32" s="184">
        <v>0.49469999999999997</v>
      </c>
      <c r="IG32" s="171">
        <f t="shared" si="71"/>
        <v>0.40373333333333333</v>
      </c>
      <c r="IH32" s="53">
        <f t="shared" si="72"/>
        <v>37.225299999999997</v>
      </c>
      <c r="II32" s="194">
        <f t="shared" si="73"/>
        <v>1.550000000000118E-2</v>
      </c>
      <c r="IL32" s="199">
        <v>22</v>
      </c>
      <c r="IM32" s="197">
        <v>9978</v>
      </c>
      <c r="IN32" s="161">
        <v>9.7712000000000003</v>
      </c>
      <c r="IO32" s="184">
        <v>1.3093999999999999</v>
      </c>
      <c r="IP32" s="184">
        <v>0.49890000000000001</v>
      </c>
      <c r="IQ32" s="171">
        <f t="shared" si="74"/>
        <v>0.40713333333333335</v>
      </c>
      <c r="IR32" s="53">
        <f t="shared" si="75"/>
        <v>37.2211</v>
      </c>
      <c r="IS32" s="199">
        <f t="shared" si="76"/>
        <v>8.1599999999999895E-2</v>
      </c>
      <c r="IU32" s="202"/>
      <c r="IV32" s="202">
        <v>22</v>
      </c>
      <c r="IW32" s="201">
        <v>9978</v>
      </c>
      <c r="IX32" s="184">
        <v>9.8813999999999993</v>
      </c>
      <c r="IY32" s="184">
        <v>1.3241000000000001</v>
      </c>
      <c r="IZ32" s="184">
        <v>0.50449999999999995</v>
      </c>
      <c r="JA32" s="162">
        <f t="shared" si="22"/>
        <v>0.41172499999999995</v>
      </c>
      <c r="JB32" s="53">
        <f t="shared" si="77"/>
        <v>37.215499999999999</v>
      </c>
      <c r="JC32" s="202">
        <f t="shared" si="78"/>
        <v>0.11019999999999897</v>
      </c>
      <c r="JE32" s="204"/>
      <c r="JF32" s="204">
        <v>22</v>
      </c>
      <c r="JG32" s="203">
        <v>9978</v>
      </c>
      <c r="JH32" s="161">
        <v>9.9163999999999994</v>
      </c>
      <c r="JI32" s="184">
        <v>1.3288</v>
      </c>
      <c r="JJ32" s="184">
        <v>0.50629999999999997</v>
      </c>
      <c r="JK32" s="162">
        <f t="shared" si="79"/>
        <v>0.41318333333333329</v>
      </c>
      <c r="JL32" s="53">
        <f t="shared" si="80"/>
        <v>37.213699999999996</v>
      </c>
      <c r="JM32" s="204">
        <f t="shared" si="117"/>
        <v>3.5000000000000142E-2</v>
      </c>
      <c r="JN32" s="204"/>
      <c r="JP32" s="209">
        <v>22</v>
      </c>
      <c r="JQ32" s="205">
        <v>9978</v>
      </c>
      <c r="JR32" s="161">
        <v>9.9445999999999994</v>
      </c>
      <c r="JS32" s="184">
        <v>1.3326</v>
      </c>
      <c r="JT32" s="184">
        <v>0.50770000000000004</v>
      </c>
      <c r="JU32" s="162">
        <f t="shared" si="81"/>
        <v>0.41435833333333333</v>
      </c>
      <c r="JV32" s="53">
        <f t="shared" si="82"/>
        <v>37.212299999999999</v>
      </c>
      <c r="JW32" s="209">
        <f t="shared" si="118"/>
        <v>2.8200000000000003E-2</v>
      </c>
      <c r="JX32" s="213"/>
      <c r="JY32" s="213"/>
      <c r="JZ32" s="213">
        <v>22</v>
      </c>
      <c r="KA32" s="206">
        <v>9978</v>
      </c>
      <c r="KB32" s="184">
        <v>10.0106</v>
      </c>
      <c r="KC32" s="184">
        <v>1.3414999999999999</v>
      </c>
      <c r="KD32" s="184">
        <v>0.5111</v>
      </c>
      <c r="KE32" s="162">
        <f t="shared" si="83"/>
        <v>0.41710833333333336</v>
      </c>
      <c r="KF32" s="53">
        <f t="shared" si="84"/>
        <v>37.2089</v>
      </c>
      <c r="KG32" s="213">
        <f t="shared" si="119"/>
        <v>6.6000000000000725E-2</v>
      </c>
      <c r="KI32" s="219"/>
      <c r="KJ32" s="219">
        <v>22</v>
      </c>
      <c r="KK32" s="214">
        <v>9978</v>
      </c>
      <c r="KL32" s="161">
        <v>10.0326</v>
      </c>
      <c r="KM32" s="161">
        <v>1.3444</v>
      </c>
      <c r="KN32" s="161">
        <v>0.51219999999999999</v>
      </c>
      <c r="KO32" s="162">
        <f t="shared" si="24"/>
        <v>0.41802500000000004</v>
      </c>
      <c r="KP32" s="53">
        <f t="shared" si="85"/>
        <v>37.207799999999999</v>
      </c>
      <c r="KQ32" s="219">
        <f t="shared" si="120"/>
        <v>2.2000000000000242E-2</v>
      </c>
      <c r="KT32" s="223">
        <v>22</v>
      </c>
      <c r="KU32" s="216">
        <v>9978</v>
      </c>
      <c r="KV32" s="161">
        <v>10.055800000000001</v>
      </c>
      <c r="KW32" s="161">
        <v>1.3474999999999999</v>
      </c>
      <c r="KX32" s="161">
        <v>0.51339999999999997</v>
      </c>
      <c r="KY32" s="162">
        <f t="shared" si="86"/>
        <v>0.41899166666666671</v>
      </c>
      <c r="KZ32" s="53">
        <f t="shared" si="87"/>
        <v>37.206600000000002</v>
      </c>
      <c r="LA32" s="223">
        <f t="shared" si="121"/>
        <v>2.3200000000000998E-2</v>
      </c>
      <c r="LD32" s="228">
        <v>22</v>
      </c>
      <c r="LE32" s="221">
        <v>9978</v>
      </c>
      <c r="LF32" s="161">
        <v>10.075200000000001</v>
      </c>
      <c r="LG32" s="161">
        <v>1.3501000000000001</v>
      </c>
      <c r="LH32" s="161">
        <v>0.51439999999999997</v>
      </c>
      <c r="LI32" s="162">
        <f t="shared" si="88"/>
        <v>0.41980000000000001</v>
      </c>
      <c r="LJ32" s="53">
        <f t="shared" si="89"/>
        <v>37.205599999999997</v>
      </c>
      <c r="LK32" s="228">
        <f t="shared" si="122"/>
        <v>1.9399999999999196E-2</v>
      </c>
      <c r="LL32" s="231"/>
      <c r="LM32" s="231"/>
      <c r="LN32" s="231">
        <v>22</v>
      </c>
      <c r="LO32" s="226">
        <v>9978</v>
      </c>
      <c r="LP32" s="184">
        <v>10.102399999999999</v>
      </c>
      <c r="LQ32" s="184">
        <v>1.3537999999999999</v>
      </c>
      <c r="LR32" s="184">
        <v>0.51580000000000004</v>
      </c>
      <c r="LS32" s="162">
        <f t="shared" si="90"/>
        <v>0.42093333333333333</v>
      </c>
      <c r="LT32" s="53">
        <f t="shared" si="91"/>
        <v>37.2042</v>
      </c>
      <c r="LU32" s="231">
        <f t="shared" si="123"/>
        <v>2.7199999999998781E-2</v>
      </c>
      <c r="LW32" s="231"/>
      <c r="LX32" s="231">
        <v>22</v>
      </c>
      <c r="LY32" s="234">
        <v>9978</v>
      </c>
      <c r="LZ32" s="184">
        <v>10.132999999999999</v>
      </c>
      <c r="MA32" s="184">
        <v>1.3579000000000001</v>
      </c>
      <c r="MB32" s="184">
        <v>0.51729999999999998</v>
      </c>
      <c r="MC32" s="162">
        <f t="shared" si="92"/>
        <v>0.4222083333333333</v>
      </c>
      <c r="MD32" s="53">
        <f t="shared" si="93"/>
        <v>37.2027</v>
      </c>
      <c r="ME32" s="231">
        <f t="shared" si="124"/>
        <v>3.0599999999999739E-2</v>
      </c>
      <c r="MF32" s="231"/>
      <c r="MG32" s="231"/>
      <c r="MH32" s="231">
        <v>22</v>
      </c>
      <c r="MI32" s="236">
        <v>9978</v>
      </c>
      <c r="MJ32" s="184">
        <v>10.1631</v>
      </c>
      <c r="MK32" s="184">
        <v>1.3619000000000001</v>
      </c>
      <c r="ML32" s="184">
        <v>0.51890000000000003</v>
      </c>
      <c r="MM32" s="162">
        <f t="shared" si="94"/>
        <v>0.42346250000000002</v>
      </c>
      <c r="MN32" s="53">
        <f t="shared" si="95"/>
        <v>37.201099999999997</v>
      </c>
      <c r="MO32" s="231">
        <f t="shared" si="125"/>
        <v>3.0100000000000904E-2</v>
      </c>
      <c r="MP32" s="231"/>
      <c r="MQ32" s="231"/>
      <c r="MR32" s="231">
        <v>22</v>
      </c>
      <c r="MS32" s="34">
        <v>9978</v>
      </c>
      <c r="MT32" s="184">
        <v>10.220599999999999</v>
      </c>
      <c r="MU32" s="184">
        <v>1.3695999999999999</v>
      </c>
      <c r="MV32" s="184">
        <v>0.52180000000000004</v>
      </c>
      <c r="MW32" s="162">
        <f t="shared" si="96"/>
        <v>0.42585833333333328</v>
      </c>
      <c r="MX32" s="53">
        <f t="shared" si="97"/>
        <v>37.1982</v>
      </c>
      <c r="MY32" s="231">
        <f t="shared" si="126"/>
        <v>5.7499999999999218E-2</v>
      </c>
      <c r="MZ32" s="246"/>
      <c r="NA32" s="246"/>
      <c r="NB32" s="246">
        <v>22</v>
      </c>
      <c r="NC32" s="34">
        <v>9978</v>
      </c>
      <c r="ND32" s="184">
        <v>10.279400000000001</v>
      </c>
      <c r="NE32" s="184">
        <v>1.3774999999999999</v>
      </c>
      <c r="NF32" s="184">
        <v>0.52480000000000004</v>
      </c>
      <c r="NG32" s="162">
        <f t="shared" si="98"/>
        <v>0.42830833333333335</v>
      </c>
      <c r="NH32" s="53">
        <f t="shared" si="99"/>
        <v>37.1952</v>
      </c>
      <c r="NI32" s="232">
        <f t="shared" si="127"/>
        <v>5.8800000000001518E-2</v>
      </c>
      <c r="NK32" s="250"/>
      <c r="NL32" s="250">
        <v>22</v>
      </c>
      <c r="NM32" s="34">
        <v>9978</v>
      </c>
      <c r="NN32" s="184">
        <v>10.2967</v>
      </c>
      <c r="NO32" s="184">
        <v>1.3797999999999999</v>
      </c>
      <c r="NP32" s="184">
        <v>0.52569999999999995</v>
      </c>
      <c r="NQ32" s="162">
        <f t="shared" si="133"/>
        <v>0.42902916666666663</v>
      </c>
      <c r="NR32" s="53">
        <f t="shared" si="101"/>
        <v>37.194299999999998</v>
      </c>
      <c r="NS32" s="232">
        <f t="shared" si="128"/>
        <v>1.7299999999998761E-2</v>
      </c>
      <c r="NU32" s="250"/>
      <c r="NV32" s="250">
        <v>22</v>
      </c>
      <c r="NW32" s="34">
        <v>9978</v>
      </c>
      <c r="NX32" s="184">
        <v>10.3241</v>
      </c>
      <c r="NY32" s="184">
        <v>1.3835</v>
      </c>
      <c r="NZ32" s="184">
        <v>0.52710000000000001</v>
      </c>
      <c r="OA32" s="162">
        <f t="shared" si="134"/>
        <v>0.43017083333333334</v>
      </c>
      <c r="OB32" s="53">
        <f t="shared" si="103"/>
        <v>37.192900000000002</v>
      </c>
      <c r="OC32" s="232">
        <f t="shared" si="129"/>
        <v>2.7400000000000091E-2</v>
      </c>
      <c r="OE32" s="250"/>
      <c r="OF32" s="250">
        <v>22</v>
      </c>
      <c r="OG32" s="34">
        <v>9978</v>
      </c>
      <c r="OH32" s="184">
        <v>10.337899999999999</v>
      </c>
      <c r="OI32" s="184">
        <v>1.3853</v>
      </c>
      <c r="OJ32" s="184">
        <v>0.52780000000000005</v>
      </c>
      <c r="OK32" s="162">
        <f t="shared" si="135"/>
        <v>0.43074583333333333</v>
      </c>
      <c r="OL32" s="53">
        <f t="shared" si="105"/>
        <v>37.1922</v>
      </c>
      <c r="OM32" s="232">
        <f t="shared" si="130"/>
        <v>1.3799999999999812E-2</v>
      </c>
      <c r="OP32" s="250">
        <v>22</v>
      </c>
      <c r="OQ32" s="34">
        <v>9978</v>
      </c>
      <c r="OR32" s="184">
        <f>VLOOKUP(OQ32,Sheet4!A13:F89,3,0)</f>
        <v>10.3695</v>
      </c>
      <c r="OS32" s="184">
        <f>VLOOKUP(OQ32,Sheet4!A13:F89,4,0)</f>
        <v>1.3895999999999999</v>
      </c>
      <c r="OT32" s="184">
        <f>VLOOKUP(OQ32,Sheet4!A13:F89,5,0)</f>
        <v>0.52939999999999998</v>
      </c>
      <c r="OU32" s="162">
        <f t="shared" si="106"/>
        <v>0.43206250000000002</v>
      </c>
      <c r="OV32" s="53">
        <f t="shared" si="107"/>
        <v>37.190599999999996</v>
      </c>
      <c r="OW32" s="232">
        <f t="shared" si="131"/>
        <v>3.1600000000000961E-2</v>
      </c>
    </row>
    <row r="33" spans="1:413" ht="15.75" x14ac:dyDescent="0.25">
      <c r="A33">
        <v>25</v>
      </c>
      <c r="B33" s="1">
        <v>9997</v>
      </c>
      <c r="C33" s="1" t="s">
        <v>1</v>
      </c>
      <c r="D33" s="2">
        <v>38</v>
      </c>
      <c r="E33" s="8"/>
      <c r="F33" s="8"/>
      <c r="G33" s="8"/>
      <c r="H33" s="8"/>
      <c r="J33" s="15">
        <v>9997</v>
      </c>
      <c r="K33" s="15">
        <v>8.9566999999999997</v>
      </c>
      <c r="L33" s="15">
        <v>1.2001999999999999</v>
      </c>
      <c r="M33" s="15">
        <v>0.45729999999999998</v>
      </c>
      <c r="N33" s="24">
        <f t="shared" si="42"/>
        <v>0.37319583333333334</v>
      </c>
      <c r="O33" s="10">
        <f t="shared" si="36"/>
        <v>37.542700000000004</v>
      </c>
      <c r="P33" s="18"/>
      <c r="R33" s="20">
        <v>9997</v>
      </c>
      <c r="S33" s="9">
        <v>9.0267999999999997</v>
      </c>
      <c r="T33" s="9">
        <v>1.2096</v>
      </c>
      <c r="U33" s="9">
        <v>0.46089999999999998</v>
      </c>
      <c r="V33" s="24">
        <f t="shared" si="43"/>
        <v>0.37611666666666665</v>
      </c>
      <c r="W33" s="10">
        <f t="shared" si="44"/>
        <v>37.539099999999998</v>
      </c>
      <c r="X33" s="18"/>
      <c r="Z33" s="27">
        <v>9997</v>
      </c>
      <c r="AA33" s="9">
        <v>9.1991999999999994</v>
      </c>
      <c r="AB33" s="9">
        <v>1.2326999999999999</v>
      </c>
      <c r="AC33" s="9">
        <v>0.46970000000000001</v>
      </c>
      <c r="AD33" s="24">
        <f t="shared" si="45"/>
        <v>0.38329999999999997</v>
      </c>
      <c r="AE33" s="10">
        <f t="shared" si="46"/>
        <v>37.530299999999997</v>
      </c>
      <c r="AF33" s="79"/>
      <c r="AG33">
        <v>25</v>
      </c>
      <c r="AH33" s="1">
        <v>9997</v>
      </c>
      <c r="AI33" s="1" t="s">
        <v>1</v>
      </c>
      <c r="AJ33" s="2">
        <v>38</v>
      </c>
      <c r="AL33" s="32">
        <v>9997</v>
      </c>
      <c r="AM33" s="9">
        <v>9.3867999999999991</v>
      </c>
      <c r="AN33" s="9">
        <v>1.2579</v>
      </c>
      <c r="AO33" s="9">
        <v>0.47920000000000001</v>
      </c>
      <c r="AP33" s="37">
        <f t="shared" si="0"/>
        <v>0.39111666666666661</v>
      </c>
      <c r="AQ33" s="53">
        <f t="shared" si="108"/>
        <v>37.520800000000001</v>
      </c>
      <c r="AT33" s="39"/>
      <c r="AU33" s="38">
        <v>9997</v>
      </c>
      <c r="AV33" s="9">
        <v>9.4665999999999997</v>
      </c>
      <c r="AW33" s="43">
        <v>1.2685999999999999</v>
      </c>
      <c r="AX33" s="43">
        <v>0.48330000000000001</v>
      </c>
      <c r="AY33" s="47">
        <f t="shared" si="47"/>
        <v>0.39444166666666663</v>
      </c>
      <c r="AZ33" s="56">
        <f t="shared" si="109"/>
        <v>37.5167</v>
      </c>
      <c r="BD33" s="54">
        <v>9997</v>
      </c>
      <c r="BE33" s="53">
        <v>9.4756</v>
      </c>
      <c r="BF33" s="58">
        <v>1.2698</v>
      </c>
      <c r="BG33" s="58">
        <v>0.48380000000000001</v>
      </c>
      <c r="BH33" s="47">
        <f t="shared" si="48"/>
        <v>0.39481666666666665</v>
      </c>
      <c r="BI33" s="56">
        <f t="shared" si="49"/>
        <v>37.516199999999998</v>
      </c>
      <c r="BJ33" s="88"/>
      <c r="BK33" s="88"/>
      <c r="BL33" s="88"/>
      <c r="BN33" s="9">
        <v>9997</v>
      </c>
      <c r="BO33" s="53">
        <v>9.5092999999999996</v>
      </c>
      <c r="BP33" s="53">
        <v>1.2743</v>
      </c>
      <c r="BQ33" s="53">
        <v>0.48549999999999999</v>
      </c>
      <c r="BR33" s="53">
        <f t="shared" si="50"/>
        <v>0.3962208333333333</v>
      </c>
      <c r="BS33" s="53">
        <f t="shared" si="51"/>
        <v>37.514499999999998</v>
      </c>
      <c r="BV33" s="88"/>
      <c r="BX33" s="93">
        <v>9997</v>
      </c>
      <c r="BY33" s="9">
        <v>9.5755999999999997</v>
      </c>
      <c r="BZ33" s="9">
        <v>1.2831999999999999</v>
      </c>
      <c r="CA33" s="9">
        <v>0.4889</v>
      </c>
      <c r="CB33" s="58">
        <f t="shared" si="52"/>
        <v>0.3989833333333333</v>
      </c>
      <c r="CC33" s="53">
        <f t="shared" si="110"/>
        <v>37.511099999999999</v>
      </c>
      <c r="CF33" s="88"/>
      <c r="CG33">
        <v>23</v>
      </c>
      <c r="CH33" s="93">
        <v>9997</v>
      </c>
      <c r="CI33" s="93">
        <v>9.6326000000000001</v>
      </c>
      <c r="CJ33" s="9">
        <v>1.2907999999999999</v>
      </c>
      <c r="CK33" s="9">
        <v>0.49180000000000001</v>
      </c>
      <c r="CL33" s="47">
        <f t="shared" si="5"/>
        <v>0.40135833333333332</v>
      </c>
      <c r="CM33" s="53">
        <f t="shared" si="53"/>
        <v>37.508200000000002</v>
      </c>
      <c r="CQ33">
        <v>23</v>
      </c>
      <c r="CR33" s="98">
        <v>9997</v>
      </c>
      <c r="CS33" s="101">
        <v>9.7042999999999999</v>
      </c>
      <c r="CT33" s="101">
        <v>1.3004</v>
      </c>
      <c r="CU33" s="101">
        <v>0.4955</v>
      </c>
      <c r="CV33" s="47">
        <f t="shared" si="6"/>
        <v>0.40434583333333335</v>
      </c>
      <c r="CW33" s="53">
        <f t="shared" si="37"/>
        <v>37.5045</v>
      </c>
      <c r="DA33">
        <v>23</v>
      </c>
      <c r="DB33" s="106">
        <v>9997</v>
      </c>
      <c r="DC33" s="107">
        <v>9.7112999999999996</v>
      </c>
      <c r="DD33" s="107">
        <v>1.3013999999999999</v>
      </c>
      <c r="DE33" s="107">
        <v>0.49580000000000002</v>
      </c>
      <c r="DF33" s="47">
        <f t="shared" si="136"/>
        <v>0.40463749999999998</v>
      </c>
      <c r="DG33" s="53">
        <f t="shared" si="111"/>
        <v>37.504199999999997</v>
      </c>
      <c r="DK33">
        <v>23</v>
      </c>
      <c r="DL33" s="110">
        <v>9997</v>
      </c>
      <c r="DM33" s="53">
        <v>9.7931000000000008</v>
      </c>
      <c r="DN33" s="53">
        <v>1.3123</v>
      </c>
      <c r="DO33" s="53">
        <v>0.5</v>
      </c>
      <c r="DP33" s="47">
        <f t="shared" si="137"/>
        <v>0.40804583333333339</v>
      </c>
      <c r="DQ33" s="53">
        <f t="shared" si="54"/>
        <v>37.5</v>
      </c>
      <c r="DS33" s="3">
        <f t="shared" si="55"/>
        <v>8.1800000000001205E-2</v>
      </c>
      <c r="DU33">
        <v>23</v>
      </c>
      <c r="DV33" s="115">
        <v>9997</v>
      </c>
      <c r="DW33" s="9">
        <v>9.8440999999999992</v>
      </c>
      <c r="DX33" s="9">
        <v>1.3190999999999999</v>
      </c>
      <c r="DY33" s="9">
        <v>0.50260000000000005</v>
      </c>
      <c r="DZ33" s="47">
        <f t="shared" si="138"/>
        <v>0.41017083333333332</v>
      </c>
      <c r="EA33" s="53">
        <f t="shared" si="112"/>
        <v>37.497399999999999</v>
      </c>
      <c r="EB33" s="3"/>
      <c r="EE33">
        <v>23</v>
      </c>
      <c r="EF33" s="118">
        <v>9997</v>
      </c>
      <c r="EG33" s="9">
        <v>9.9238</v>
      </c>
      <c r="EH33" s="9">
        <v>1.3298000000000001</v>
      </c>
      <c r="EI33" s="9">
        <v>0.50670000000000004</v>
      </c>
      <c r="EJ33" s="47">
        <f t="shared" si="10"/>
        <v>0.41349166666666665</v>
      </c>
      <c r="EK33" s="53">
        <f t="shared" si="56"/>
        <v>37.493299999999998</v>
      </c>
      <c r="EM33" s="3">
        <f t="shared" si="57"/>
        <v>-4.1000000000011028E-3</v>
      </c>
      <c r="EN33" s="3"/>
      <c r="EO33">
        <v>23</v>
      </c>
      <c r="EP33" s="121">
        <v>9997</v>
      </c>
      <c r="EQ33" s="122">
        <v>10.0822</v>
      </c>
      <c r="ER33" s="122">
        <v>1.3511</v>
      </c>
      <c r="ES33" s="129">
        <v>0.51480000000000004</v>
      </c>
      <c r="ET33" s="130">
        <f t="shared" si="11"/>
        <v>0.4200916666666667</v>
      </c>
      <c r="EU33" s="131">
        <f t="shared" si="58"/>
        <v>37.485199999999999</v>
      </c>
      <c r="EX33" s="3"/>
      <c r="EY33">
        <v>23</v>
      </c>
      <c r="EZ33" s="135">
        <v>9997</v>
      </c>
      <c r="FA33" s="135">
        <v>10.1569</v>
      </c>
      <c r="FB33" s="135">
        <v>1.3611</v>
      </c>
      <c r="FC33" s="135">
        <v>0.51859999999999995</v>
      </c>
      <c r="FD33" s="136">
        <f t="shared" si="12"/>
        <v>0.42320416666666666</v>
      </c>
      <c r="FE33" s="131">
        <f t="shared" si="59"/>
        <v>37.481400000000001</v>
      </c>
      <c r="FG33" s="123">
        <f t="shared" si="60"/>
        <v>-3.7999999999982492E-3</v>
      </c>
      <c r="FH33" s="3"/>
      <c r="FI33">
        <v>23</v>
      </c>
      <c r="FJ33" s="145">
        <v>9997</v>
      </c>
      <c r="FK33" s="9">
        <v>10.256399999999999</v>
      </c>
      <c r="FL33" s="9">
        <v>1.3744000000000001</v>
      </c>
      <c r="FM33" s="9">
        <v>0.52359999999999995</v>
      </c>
      <c r="FN33" s="146">
        <f t="shared" si="113"/>
        <v>0.42734999999999995</v>
      </c>
      <c r="FO33" s="131">
        <f t="shared" si="61"/>
        <v>37.476399999999998</v>
      </c>
      <c r="FP33" s="123">
        <f t="shared" si="62"/>
        <v>-5.000000000002558E-3</v>
      </c>
      <c r="FS33">
        <v>23</v>
      </c>
      <c r="FT33" s="147">
        <v>9997</v>
      </c>
      <c r="FU33" s="148">
        <v>10.276899999999999</v>
      </c>
      <c r="FV33" s="148">
        <v>1.3771</v>
      </c>
      <c r="FW33" s="148">
        <v>0.52470000000000006</v>
      </c>
      <c r="FX33" s="150">
        <f t="shared" si="114"/>
        <v>0.42820416666666666</v>
      </c>
      <c r="FY33" s="131">
        <f t="shared" si="115"/>
        <v>37.475299999999997</v>
      </c>
      <c r="FZ33">
        <f t="shared" si="63"/>
        <v>2.0500000000000185E-2</v>
      </c>
      <c r="GC33">
        <v>23</v>
      </c>
      <c r="GD33" s="151">
        <v>9997</v>
      </c>
      <c r="GE33" s="151">
        <v>10.3276</v>
      </c>
      <c r="GF33" s="151">
        <v>1.3838999999999999</v>
      </c>
      <c r="GG33" s="151">
        <v>0.52729999999999999</v>
      </c>
      <c r="GH33" s="153">
        <f t="shared" si="132"/>
        <v>0.43031666666666668</v>
      </c>
      <c r="GI33" s="131">
        <f t="shared" si="64"/>
        <v>37.472700000000003</v>
      </c>
      <c r="GJ33">
        <f t="shared" si="38"/>
        <v>5.0700000000000855E-2</v>
      </c>
      <c r="GM33">
        <v>23</v>
      </c>
      <c r="GN33" s="155">
        <v>9997</v>
      </c>
      <c r="GO33" s="155">
        <v>10.434900000000001</v>
      </c>
      <c r="GP33" s="155">
        <v>1.3983000000000001</v>
      </c>
      <c r="GQ33" s="155">
        <v>0.53280000000000005</v>
      </c>
      <c r="GR33" s="58">
        <f t="shared" si="65"/>
        <v>0.43478750000000005</v>
      </c>
      <c r="GS33" s="131">
        <f t="shared" si="66"/>
        <v>37.467199999999998</v>
      </c>
      <c r="GT33">
        <f t="shared" si="39"/>
        <v>0.1073000000000004</v>
      </c>
      <c r="GW33">
        <v>23</v>
      </c>
      <c r="GX33" s="157">
        <v>9997</v>
      </c>
      <c r="GY33" s="161">
        <f>VLOOKUP(GX33,Sheet3!$AJ$7:$AN$83,2,0)</f>
        <v>10.571099999999999</v>
      </c>
      <c r="GZ33" s="161">
        <f>VLOOKUP(GX33,Sheet3!$AJ$7:$AN$83,3,0)</f>
        <v>1.4166000000000001</v>
      </c>
      <c r="HA33" s="161">
        <f>VLOOKUP(GX33,Sheet3!$AJ$7:$AN$83,4,0)</f>
        <v>0.53969999999999996</v>
      </c>
      <c r="HB33" s="162">
        <f t="shared" si="17"/>
        <v>0.44046249999999998</v>
      </c>
      <c r="HC33" s="131">
        <f t="shared" si="116"/>
        <v>37.460299999999997</v>
      </c>
      <c r="HD33" s="159">
        <f t="shared" si="40"/>
        <v>0.13619999999999877</v>
      </c>
      <c r="HE33" s="159">
        <f t="shared" si="41"/>
        <v>6.8999999999999062E-3</v>
      </c>
      <c r="HG33" s="159"/>
      <c r="HH33" s="159">
        <v>23</v>
      </c>
      <c r="HI33" s="158">
        <v>9997</v>
      </c>
      <c r="HJ33" s="161">
        <v>10.626099999999999</v>
      </c>
      <c r="HK33" s="161">
        <v>1.4238999999999999</v>
      </c>
      <c r="HL33" s="161">
        <v>0.54249999999999998</v>
      </c>
      <c r="HM33" s="162">
        <f t="shared" si="18"/>
        <v>0.44275416666666662</v>
      </c>
      <c r="HN33" s="131">
        <f t="shared" si="67"/>
        <v>37.457500000000003</v>
      </c>
      <c r="HO33" s="159">
        <f t="shared" si="68"/>
        <v>5.4999999999999716E-2</v>
      </c>
      <c r="HQ33" s="183"/>
      <c r="HR33" s="183">
        <v>23</v>
      </c>
      <c r="HS33" s="178">
        <v>9997</v>
      </c>
      <c r="HT33" s="184">
        <v>10.661899999999999</v>
      </c>
      <c r="HU33" s="184">
        <v>1.4287000000000001</v>
      </c>
      <c r="HV33" s="184">
        <v>0.54430000000000001</v>
      </c>
      <c r="HW33" s="171">
        <f t="shared" si="19"/>
        <v>0.44424583333333328</v>
      </c>
      <c r="HX33" s="53">
        <f t="shared" si="69"/>
        <v>37.4557</v>
      </c>
      <c r="HY33" s="183">
        <f t="shared" si="70"/>
        <v>3.5800000000000054E-2</v>
      </c>
      <c r="IA33" s="194"/>
      <c r="IB33" s="194">
        <v>23</v>
      </c>
      <c r="IC33" s="193">
        <v>9997</v>
      </c>
      <c r="ID33" s="161">
        <v>10.6774</v>
      </c>
      <c r="IE33" s="184">
        <v>1.4308000000000001</v>
      </c>
      <c r="IF33" s="184">
        <v>0.54510000000000003</v>
      </c>
      <c r="IG33" s="171">
        <f t="shared" si="71"/>
        <v>0.44489166666666669</v>
      </c>
      <c r="IH33" s="53">
        <f t="shared" si="72"/>
        <v>37.454900000000002</v>
      </c>
      <c r="II33" s="194">
        <f t="shared" si="73"/>
        <v>1.550000000000118E-2</v>
      </c>
      <c r="IL33" s="199">
        <v>23</v>
      </c>
      <c r="IM33" s="197">
        <v>9997</v>
      </c>
      <c r="IN33" s="161">
        <v>10.759</v>
      </c>
      <c r="IO33" s="184">
        <v>1.4417</v>
      </c>
      <c r="IP33" s="184">
        <v>0.54930000000000001</v>
      </c>
      <c r="IQ33" s="171">
        <f t="shared" si="74"/>
        <v>0.4482916666666667</v>
      </c>
      <c r="IR33" s="53">
        <f t="shared" si="75"/>
        <v>37.450699999999998</v>
      </c>
      <c r="IS33" s="199">
        <f t="shared" si="76"/>
        <v>8.1599999999999895E-2</v>
      </c>
      <c r="IU33" s="202"/>
      <c r="IV33" s="202">
        <v>23</v>
      </c>
      <c r="IW33" s="201">
        <v>9997</v>
      </c>
      <c r="IX33" s="184">
        <v>10.869199999999999</v>
      </c>
      <c r="IY33" s="184">
        <v>1.4564999999999999</v>
      </c>
      <c r="IZ33" s="184">
        <v>0.55489999999999995</v>
      </c>
      <c r="JA33" s="162">
        <f t="shared" si="22"/>
        <v>0.4528833333333333</v>
      </c>
      <c r="JB33" s="53">
        <f t="shared" si="77"/>
        <v>37.445099999999996</v>
      </c>
      <c r="JC33" s="202">
        <f t="shared" si="78"/>
        <v>0.11019999999999897</v>
      </c>
      <c r="JE33" s="204"/>
      <c r="JF33" s="204">
        <v>23</v>
      </c>
      <c r="JG33" s="203">
        <v>9997</v>
      </c>
      <c r="JH33" s="161">
        <v>10.904199999999999</v>
      </c>
      <c r="JI33" s="184">
        <v>1.4612000000000001</v>
      </c>
      <c r="JJ33" s="184">
        <v>0.55669999999999997</v>
      </c>
      <c r="JK33" s="162">
        <f t="shared" si="79"/>
        <v>0.45434166666666664</v>
      </c>
      <c r="JL33" s="53">
        <f t="shared" si="80"/>
        <v>37.443300000000001</v>
      </c>
      <c r="JM33" s="204">
        <f t="shared" si="117"/>
        <v>3.5000000000000142E-2</v>
      </c>
      <c r="JN33" s="204"/>
      <c r="JP33" s="209">
        <v>23</v>
      </c>
      <c r="JQ33" s="205">
        <v>9997</v>
      </c>
      <c r="JR33" s="161">
        <v>10.932399999999999</v>
      </c>
      <c r="JS33" s="184">
        <v>1.4650000000000001</v>
      </c>
      <c r="JT33" s="184">
        <v>0.55820000000000003</v>
      </c>
      <c r="JU33" s="162">
        <f t="shared" si="81"/>
        <v>0.45551666666666663</v>
      </c>
      <c r="JV33" s="53">
        <f t="shared" si="82"/>
        <v>37.441800000000001</v>
      </c>
      <c r="JW33" s="209">
        <f t="shared" si="118"/>
        <v>2.8200000000000003E-2</v>
      </c>
      <c r="JX33" s="213"/>
      <c r="JY33" s="213"/>
      <c r="JZ33" s="213">
        <v>23</v>
      </c>
      <c r="KA33" s="206">
        <v>9997</v>
      </c>
      <c r="KB33" s="184">
        <v>10.9984</v>
      </c>
      <c r="KC33" s="184">
        <v>1.4738</v>
      </c>
      <c r="KD33" s="184">
        <v>0.5615</v>
      </c>
      <c r="KE33" s="162">
        <f t="shared" si="83"/>
        <v>0.45826666666666666</v>
      </c>
      <c r="KF33" s="53">
        <f t="shared" si="84"/>
        <v>37.438499999999998</v>
      </c>
      <c r="KG33" s="213">
        <f t="shared" si="119"/>
        <v>6.6000000000000725E-2</v>
      </c>
      <c r="KI33" s="219"/>
      <c r="KJ33" s="219">
        <v>23</v>
      </c>
      <c r="KK33" s="214">
        <v>9997</v>
      </c>
      <c r="KL33" s="161">
        <v>11.0204</v>
      </c>
      <c r="KM33" s="161">
        <v>1.4767999999999999</v>
      </c>
      <c r="KN33" s="161">
        <v>0.56269999999999998</v>
      </c>
      <c r="KO33" s="162">
        <f t="shared" si="24"/>
        <v>0.45918333333333333</v>
      </c>
      <c r="KP33" s="53">
        <f t="shared" si="85"/>
        <v>37.4373</v>
      </c>
      <c r="KQ33" s="219">
        <f t="shared" si="120"/>
        <v>2.2000000000000242E-2</v>
      </c>
      <c r="KT33" s="223">
        <v>23</v>
      </c>
      <c r="KU33" s="216">
        <v>9997</v>
      </c>
      <c r="KV33" s="161">
        <v>11.043600000000001</v>
      </c>
      <c r="KW33" s="161">
        <v>1.4799</v>
      </c>
      <c r="KX33" s="161">
        <v>0.56379999999999997</v>
      </c>
      <c r="KY33" s="162">
        <f t="shared" si="86"/>
        <v>0.46015000000000006</v>
      </c>
      <c r="KZ33" s="53">
        <f t="shared" si="87"/>
        <v>37.436199999999999</v>
      </c>
      <c r="LA33" s="223">
        <f t="shared" si="121"/>
        <v>2.3200000000000998E-2</v>
      </c>
      <c r="LD33" s="228">
        <v>23</v>
      </c>
      <c r="LE33" s="221">
        <v>9997</v>
      </c>
      <c r="LF33" s="161">
        <v>11.063000000000001</v>
      </c>
      <c r="LG33" s="161">
        <v>1.4824999999999999</v>
      </c>
      <c r="LH33" s="161">
        <v>0.56479999999999997</v>
      </c>
      <c r="LI33" s="162">
        <f t="shared" si="88"/>
        <v>0.46095833333333336</v>
      </c>
      <c r="LJ33" s="53">
        <f t="shared" si="89"/>
        <v>37.435200000000002</v>
      </c>
      <c r="LK33" s="228">
        <f t="shared" si="122"/>
        <v>1.9399999999999196E-2</v>
      </c>
      <c r="LL33" s="231"/>
      <c r="LM33" s="231"/>
      <c r="LN33" s="231">
        <v>23</v>
      </c>
      <c r="LO33" s="226">
        <v>9997</v>
      </c>
      <c r="LP33" s="184">
        <v>11.090199999999999</v>
      </c>
      <c r="LQ33" s="184">
        <v>1.4861</v>
      </c>
      <c r="LR33" s="184">
        <v>0.56620000000000004</v>
      </c>
      <c r="LS33" s="162">
        <f t="shared" si="90"/>
        <v>0.46209166666666662</v>
      </c>
      <c r="LT33" s="53">
        <f t="shared" si="91"/>
        <v>37.433799999999998</v>
      </c>
      <c r="LU33" s="231">
        <f t="shared" si="123"/>
        <v>2.7199999999998781E-2</v>
      </c>
      <c r="LW33" s="231"/>
      <c r="LX33" s="231">
        <v>23</v>
      </c>
      <c r="LY33" s="234">
        <v>9997</v>
      </c>
      <c r="LZ33" s="184">
        <v>11.120799999999999</v>
      </c>
      <c r="MA33" s="184">
        <v>1.4902</v>
      </c>
      <c r="MB33" s="184">
        <v>0.56779999999999997</v>
      </c>
      <c r="MC33" s="162">
        <f t="shared" si="92"/>
        <v>0.46336666666666665</v>
      </c>
      <c r="MD33" s="53">
        <f t="shared" si="93"/>
        <v>37.432200000000002</v>
      </c>
      <c r="ME33" s="231">
        <f t="shared" si="124"/>
        <v>3.0599999999999739E-2</v>
      </c>
      <c r="MF33" s="231"/>
      <c r="MG33" s="231"/>
      <c r="MH33" s="231">
        <v>23</v>
      </c>
      <c r="MI33" s="236">
        <v>9997</v>
      </c>
      <c r="MJ33" s="184">
        <v>11.1509</v>
      </c>
      <c r="MK33" s="184">
        <v>1.4943</v>
      </c>
      <c r="ML33" s="184">
        <v>0.56930000000000003</v>
      </c>
      <c r="MM33" s="162">
        <f t="shared" si="94"/>
        <v>0.46462083333333332</v>
      </c>
      <c r="MN33" s="53">
        <f t="shared" si="95"/>
        <v>37.430700000000002</v>
      </c>
      <c r="MO33" s="231">
        <f t="shared" si="125"/>
        <v>3.0100000000000904E-2</v>
      </c>
      <c r="MP33" s="231"/>
      <c r="MQ33" s="231"/>
      <c r="MR33" s="231">
        <v>23</v>
      </c>
      <c r="MS33" s="34">
        <v>9997</v>
      </c>
      <c r="MT33" s="184">
        <v>11.208399999999999</v>
      </c>
      <c r="MU33" s="184">
        <v>1.502</v>
      </c>
      <c r="MV33" s="184">
        <v>0.57230000000000003</v>
      </c>
      <c r="MW33" s="162">
        <f t="shared" si="96"/>
        <v>0.46701666666666664</v>
      </c>
      <c r="MX33" s="53">
        <f t="shared" si="97"/>
        <v>37.427700000000002</v>
      </c>
      <c r="MY33" s="231">
        <f t="shared" si="126"/>
        <v>5.7499999999999218E-2</v>
      </c>
      <c r="MZ33" s="246"/>
      <c r="NA33" s="246"/>
      <c r="NB33" s="246">
        <v>23</v>
      </c>
      <c r="NC33" s="34">
        <v>9997</v>
      </c>
      <c r="ND33" s="184">
        <v>11.267200000000001</v>
      </c>
      <c r="NE33" s="184">
        <v>1.5098</v>
      </c>
      <c r="NF33" s="184">
        <v>0.57530000000000003</v>
      </c>
      <c r="NG33" s="162">
        <f t="shared" si="98"/>
        <v>0.4694666666666667</v>
      </c>
      <c r="NH33" s="53">
        <f t="shared" si="99"/>
        <v>37.424700000000001</v>
      </c>
      <c r="NI33" s="232">
        <f t="shared" si="127"/>
        <v>5.8800000000001518E-2</v>
      </c>
      <c r="NK33" s="250"/>
      <c r="NL33" s="250">
        <v>23</v>
      </c>
      <c r="NM33" s="34">
        <v>9997</v>
      </c>
      <c r="NN33" s="184">
        <v>11.2845</v>
      </c>
      <c r="NO33" s="184">
        <v>1.5122</v>
      </c>
      <c r="NP33" s="184">
        <v>0.57609999999999995</v>
      </c>
      <c r="NQ33" s="162">
        <f t="shared" si="133"/>
        <v>0.47018749999999998</v>
      </c>
      <c r="NR33" s="53">
        <f t="shared" si="101"/>
        <v>37.423900000000003</v>
      </c>
      <c r="NS33" s="232">
        <f t="shared" si="128"/>
        <v>1.7299999999998761E-2</v>
      </c>
      <c r="NU33" s="250"/>
      <c r="NV33" s="250">
        <v>23</v>
      </c>
      <c r="NW33" s="34">
        <v>9997</v>
      </c>
      <c r="NX33" s="184">
        <v>11.3119</v>
      </c>
      <c r="NY33" s="184">
        <v>1.5158</v>
      </c>
      <c r="NZ33" s="184">
        <v>0.57750000000000001</v>
      </c>
      <c r="OA33" s="162">
        <f t="shared" si="134"/>
        <v>0.47132916666666663</v>
      </c>
      <c r="OB33" s="53">
        <f t="shared" si="103"/>
        <v>37.422499999999999</v>
      </c>
      <c r="OC33" s="232">
        <f t="shared" si="129"/>
        <v>2.7400000000000091E-2</v>
      </c>
      <c r="OE33" s="250"/>
      <c r="OF33" s="250">
        <v>23</v>
      </c>
      <c r="OG33" s="34">
        <v>9997</v>
      </c>
      <c r="OH33" s="184">
        <v>11.325699999999999</v>
      </c>
      <c r="OI33" s="184">
        <v>1.5177</v>
      </c>
      <c r="OJ33" s="184">
        <v>0.57820000000000005</v>
      </c>
      <c r="OK33" s="162">
        <f t="shared" si="135"/>
        <v>0.47190416666666662</v>
      </c>
      <c r="OL33" s="53">
        <f t="shared" si="105"/>
        <v>37.421799999999998</v>
      </c>
      <c r="OM33" s="232">
        <f t="shared" si="130"/>
        <v>1.3799999999999812E-2</v>
      </c>
      <c r="OP33" s="250">
        <v>23</v>
      </c>
      <c r="OQ33" s="34">
        <v>9997</v>
      </c>
      <c r="OR33" s="184">
        <f>VLOOKUP(OQ33,Sheet4!A14:F90,3,0)</f>
        <v>11.3573</v>
      </c>
      <c r="OS33" s="184">
        <f>VLOOKUP(OQ33,Sheet4!A14:F90,4,0)</f>
        <v>1.5219</v>
      </c>
      <c r="OT33" s="184">
        <f>VLOOKUP(OQ33,Sheet4!A14:F90,5,0)</f>
        <v>0.57989999999999997</v>
      </c>
      <c r="OU33" s="162">
        <f t="shared" si="106"/>
        <v>0.47322083333333337</v>
      </c>
      <c r="OV33" s="53">
        <f t="shared" si="107"/>
        <v>37.420099999999998</v>
      </c>
      <c r="OW33" s="232">
        <f t="shared" si="131"/>
        <v>3.1600000000000961E-2</v>
      </c>
    </row>
    <row r="34" spans="1:413" ht="15.75" x14ac:dyDescent="0.25">
      <c r="A34">
        <v>26</v>
      </c>
      <c r="B34" s="1">
        <v>9593</v>
      </c>
      <c r="C34" s="1" t="s">
        <v>1</v>
      </c>
      <c r="D34" s="2">
        <v>38.07</v>
      </c>
      <c r="E34" s="8"/>
      <c r="F34" s="8"/>
      <c r="G34" s="8"/>
      <c r="H34" s="8"/>
      <c r="J34" s="15">
        <v>9593</v>
      </c>
      <c r="K34" s="15">
        <v>12.2865</v>
      </c>
      <c r="L34" s="15">
        <v>1.6464000000000001</v>
      </c>
      <c r="M34" s="15">
        <v>0.62729999999999997</v>
      </c>
      <c r="N34" s="24">
        <f t="shared" si="42"/>
        <v>0.51193750000000005</v>
      </c>
      <c r="O34" s="10">
        <f t="shared" si="36"/>
        <v>37.442700000000002</v>
      </c>
      <c r="P34" s="18"/>
      <c r="R34" s="20">
        <v>9593</v>
      </c>
      <c r="S34" s="9">
        <v>12.3566</v>
      </c>
      <c r="T34" s="9">
        <v>1.6557999999999999</v>
      </c>
      <c r="U34" s="9">
        <v>0.63090000000000002</v>
      </c>
      <c r="V34" s="24">
        <f t="shared" si="43"/>
        <v>0.51485833333333331</v>
      </c>
      <c r="W34" s="10">
        <f t="shared" si="44"/>
        <v>37.439100000000003</v>
      </c>
      <c r="X34" s="18"/>
      <c r="Z34" s="27">
        <v>9593</v>
      </c>
      <c r="AA34" s="9">
        <v>12.529</v>
      </c>
      <c r="AB34" s="9">
        <v>1.6789000000000001</v>
      </c>
      <c r="AC34" s="9">
        <v>0.63970000000000005</v>
      </c>
      <c r="AD34" s="24">
        <f t="shared" si="45"/>
        <v>0.52204166666666663</v>
      </c>
      <c r="AE34" s="10">
        <f t="shared" si="46"/>
        <v>37.430300000000003</v>
      </c>
      <c r="AF34" s="79"/>
      <c r="AG34">
        <v>26</v>
      </c>
      <c r="AH34" s="1">
        <v>9593</v>
      </c>
      <c r="AI34" s="1" t="s">
        <v>1</v>
      </c>
      <c r="AJ34" s="2">
        <v>38.07</v>
      </c>
      <c r="AL34" s="32">
        <v>9593</v>
      </c>
      <c r="AM34" s="9">
        <v>12.7166</v>
      </c>
      <c r="AN34" s="9">
        <v>1.7040999999999999</v>
      </c>
      <c r="AO34" s="9">
        <v>0.64929999999999999</v>
      </c>
      <c r="AP34" s="37">
        <f t="shared" si="0"/>
        <v>0.52985833333333332</v>
      </c>
      <c r="AQ34" s="53">
        <f t="shared" si="108"/>
        <v>37.420700000000004</v>
      </c>
      <c r="AT34" s="39"/>
      <c r="AU34" s="38">
        <v>9593</v>
      </c>
      <c r="AV34" s="9">
        <v>12.7964</v>
      </c>
      <c r="AW34" s="43">
        <v>1.7148000000000001</v>
      </c>
      <c r="AX34" s="43">
        <v>0.65329999999999999</v>
      </c>
      <c r="AY34" s="47">
        <f t="shared" si="47"/>
        <v>0.53318333333333334</v>
      </c>
      <c r="AZ34" s="56">
        <f t="shared" si="109"/>
        <v>37.416699999999999</v>
      </c>
      <c r="BD34" s="54">
        <v>9593</v>
      </c>
      <c r="BE34" s="53">
        <v>12.805400000000001</v>
      </c>
      <c r="BF34" s="58">
        <v>1.716</v>
      </c>
      <c r="BG34" s="58">
        <v>0.65380000000000005</v>
      </c>
      <c r="BH34" s="47">
        <f t="shared" si="48"/>
        <v>0.53355833333333336</v>
      </c>
      <c r="BI34" s="56">
        <f t="shared" si="49"/>
        <v>37.416200000000003</v>
      </c>
      <c r="BJ34" s="88"/>
      <c r="BK34" s="88"/>
      <c r="BL34" s="88"/>
      <c r="BN34" s="9">
        <v>9593</v>
      </c>
      <c r="BO34" s="53">
        <v>12.8391</v>
      </c>
      <c r="BP34" s="53">
        <v>1.7204999999999999</v>
      </c>
      <c r="BQ34" s="53">
        <v>0.65549999999999997</v>
      </c>
      <c r="BR34" s="53">
        <f t="shared" si="50"/>
        <v>0.53496250000000001</v>
      </c>
      <c r="BS34" s="53">
        <f t="shared" si="51"/>
        <v>37.414500000000004</v>
      </c>
      <c r="BV34" s="88"/>
      <c r="BX34" s="93">
        <v>9593</v>
      </c>
      <c r="BY34" s="9">
        <v>12.9054</v>
      </c>
      <c r="BZ34" s="9">
        <v>1.7294</v>
      </c>
      <c r="CA34" s="9">
        <v>0.65890000000000004</v>
      </c>
      <c r="CB34" s="58">
        <f t="shared" si="52"/>
        <v>0.53772500000000001</v>
      </c>
      <c r="CC34" s="53">
        <f t="shared" si="110"/>
        <v>37.411099999999998</v>
      </c>
      <c r="CF34" s="88"/>
      <c r="CG34">
        <v>24</v>
      </c>
      <c r="CH34" s="93">
        <v>9593</v>
      </c>
      <c r="CI34" s="93">
        <v>12.962400000000001</v>
      </c>
      <c r="CJ34" s="9">
        <v>1.7370000000000001</v>
      </c>
      <c r="CK34" s="9">
        <v>0.66180000000000005</v>
      </c>
      <c r="CL34" s="47">
        <f t="shared" si="5"/>
        <v>0.54010000000000002</v>
      </c>
      <c r="CM34" s="53">
        <f t="shared" si="53"/>
        <v>37.408200000000001</v>
      </c>
      <c r="CQ34">
        <v>24</v>
      </c>
      <c r="CR34" s="98">
        <v>9593</v>
      </c>
      <c r="CS34" s="101">
        <v>13.0341</v>
      </c>
      <c r="CT34" s="101">
        <v>1.7465999999999999</v>
      </c>
      <c r="CU34" s="101">
        <v>0.66549999999999998</v>
      </c>
      <c r="CV34" s="47">
        <f t="shared" si="6"/>
        <v>0.54308750000000006</v>
      </c>
      <c r="CW34" s="53">
        <f t="shared" si="37"/>
        <v>37.404499999999999</v>
      </c>
      <c r="DA34">
        <v>24</v>
      </c>
      <c r="DB34" s="106">
        <v>9593</v>
      </c>
      <c r="DC34" s="107">
        <v>13.0411</v>
      </c>
      <c r="DD34" s="107">
        <v>1.7476</v>
      </c>
      <c r="DE34" s="107">
        <v>0.66579999999999995</v>
      </c>
      <c r="DF34" s="47">
        <f t="shared" si="136"/>
        <v>0.54337916666666664</v>
      </c>
      <c r="DG34" s="53">
        <f t="shared" si="111"/>
        <v>37.404200000000003</v>
      </c>
      <c r="DK34">
        <v>24</v>
      </c>
      <c r="DL34" s="110">
        <v>9593</v>
      </c>
      <c r="DM34" s="53">
        <v>13.1229</v>
      </c>
      <c r="DN34" s="53">
        <v>1.7585</v>
      </c>
      <c r="DO34" s="53">
        <v>0.67</v>
      </c>
      <c r="DP34" s="47">
        <f t="shared" si="137"/>
        <v>0.54678749999999998</v>
      </c>
      <c r="DQ34" s="53">
        <f t="shared" si="54"/>
        <v>37.4</v>
      </c>
      <c r="DS34" s="3">
        <f t="shared" si="55"/>
        <v>8.1799999999999429E-2</v>
      </c>
      <c r="DU34">
        <v>24</v>
      </c>
      <c r="DV34" s="115">
        <v>9593</v>
      </c>
      <c r="DW34" s="9">
        <v>13.1739</v>
      </c>
      <c r="DX34" s="9">
        <v>1.7654000000000001</v>
      </c>
      <c r="DY34" s="9">
        <v>0.67259999999999998</v>
      </c>
      <c r="DZ34" s="47">
        <f t="shared" si="138"/>
        <v>0.54891250000000003</v>
      </c>
      <c r="EA34" s="53">
        <f t="shared" si="112"/>
        <v>37.397399999999998</v>
      </c>
      <c r="EB34" s="3"/>
      <c r="EE34">
        <v>24</v>
      </c>
      <c r="EF34" s="118">
        <v>9593</v>
      </c>
      <c r="EG34" s="9">
        <v>13.2536</v>
      </c>
      <c r="EH34" s="9">
        <v>1.776</v>
      </c>
      <c r="EI34" s="9">
        <v>0.67669999999999997</v>
      </c>
      <c r="EJ34" s="47">
        <f t="shared" si="10"/>
        <v>0.55223333333333335</v>
      </c>
      <c r="EK34" s="53">
        <f t="shared" si="56"/>
        <v>37.393300000000004</v>
      </c>
      <c r="EM34" s="3">
        <f t="shared" si="57"/>
        <v>-4.0999999999939973E-3</v>
      </c>
      <c r="EN34" s="3"/>
      <c r="EO34">
        <v>24</v>
      </c>
      <c r="EP34" s="121">
        <v>9593</v>
      </c>
      <c r="EQ34" s="122">
        <v>13.412000000000001</v>
      </c>
      <c r="ER34" s="122">
        <v>1.7972999999999999</v>
      </c>
      <c r="ES34" s="129">
        <v>0.68479999999999996</v>
      </c>
      <c r="ET34" s="130">
        <f t="shared" si="11"/>
        <v>0.5588333333333334</v>
      </c>
      <c r="EU34" s="131">
        <f t="shared" si="58"/>
        <v>37.385199999999998</v>
      </c>
      <c r="EX34" s="3"/>
      <c r="EY34">
        <v>24</v>
      </c>
      <c r="EZ34" s="135">
        <v>9593</v>
      </c>
      <c r="FA34" s="135">
        <v>13.486700000000001</v>
      </c>
      <c r="FB34" s="135">
        <v>1.8072999999999999</v>
      </c>
      <c r="FC34" s="135">
        <v>0.68859999999999999</v>
      </c>
      <c r="FD34" s="136">
        <f t="shared" si="12"/>
        <v>0.56194583333333337</v>
      </c>
      <c r="FE34" s="131">
        <f t="shared" si="59"/>
        <v>37.381399999999999</v>
      </c>
      <c r="FG34" s="123">
        <f t="shared" si="60"/>
        <v>-3.7999999999982492E-3</v>
      </c>
      <c r="FH34" s="3"/>
      <c r="FI34">
        <v>24</v>
      </c>
      <c r="FJ34" s="145">
        <v>9593</v>
      </c>
      <c r="FK34" s="9">
        <v>13.5862</v>
      </c>
      <c r="FL34" s="9">
        <v>1.8206</v>
      </c>
      <c r="FM34" s="9">
        <v>0.69359999999999999</v>
      </c>
      <c r="FN34" s="146">
        <f t="shared" si="113"/>
        <v>0.56609166666666666</v>
      </c>
      <c r="FO34" s="131">
        <f t="shared" si="61"/>
        <v>37.376400000000004</v>
      </c>
      <c r="FP34" s="123">
        <f t="shared" si="62"/>
        <v>-4.9999999999954525E-3</v>
      </c>
      <c r="FS34">
        <v>24</v>
      </c>
      <c r="FT34" s="147">
        <v>9593</v>
      </c>
      <c r="FU34" s="148">
        <v>13.6067</v>
      </c>
      <c r="FV34" s="148">
        <v>1.8233999999999999</v>
      </c>
      <c r="FW34" s="148">
        <v>0.69469999999999998</v>
      </c>
      <c r="FX34" s="150">
        <f t="shared" si="114"/>
        <v>0.56694583333333337</v>
      </c>
      <c r="FY34" s="131">
        <f t="shared" si="115"/>
        <v>37.375300000000003</v>
      </c>
      <c r="FZ34">
        <f t="shared" si="63"/>
        <v>2.0500000000000185E-2</v>
      </c>
      <c r="GC34">
        <v>24</v>
      </c>
      <c r="GD34" s="151">
        <v>9593</v>
      </c>
      <c r="GE34" s="151">
        <v>13.657400000000001</v>
      </c>
      <c r="GF34" s="151">
        <v>1.8301000000000001</v>
      </c>
      <c r="GG34" s="151">
        <v>0.69730000000000003</v>
      </c>
      <c r="GH34" s="153">
        <f t="shared" si="132"/>
        <v>0.56905833333333333</v>
      </c>
      <c r="GI34" s="131">
        <f t="shared" si="64"/>
        <v>37.372700000000002</v>
      </c>
      <c r="GJ34">
        <f t="shared" si="38"/>
        <v>5.0700000000000855E-2</v>
      </c>
      <c r="GM34">
        <v>24</v>
      </c>
      <c r="GN34" s="155">
        <v>9593</v>
      </c>
      <c r="GO34" s="155">
        <v>13.764699999999999</v>
      </c>
      <c r="GP34" s="155">
        <v>1.8445</v>
      </c>
      <c r="GQ34" s="155">
        <v>0.70279999999999998</v>
      </c>
      <c r="GR34" s="58">
        <f t="shared" si="65"/>
        <v>0.57352916666666665</v>
      </c>
      <c r="GS34" s="131">
        <f t="shared" si="66"/>
        <v>37.367199999999997</v>
      </c>
      <c r="GT34">
        <f t="shared" si="39"/>
        <v>0.10729999999999862</v>
      </c>
      <c r="GW34">
        <v>24</v>
      </c>
      <c r="GX34" s="157">
        <v>9593</v>
      </c>
      <c r="GY34" s="161">
        <f>VLOOKUP(GX34,Sheet3!$AJ$7:$AN$83,2,0)</f>
        <v>13.9009</v>
      </c>
      <c r="GZ34" s="161">
        <f>VLOOKUP(GX34,Sheet3!$AJ$7:$AN$83,3,0)</f>
        <v>1.8628</v>
      </c>
      <c r="HA34" s="161">
        <f>VLOOKUP(GX34,Sheet3!$AJ$7:$AN$83,4,0)</f>
        <v>0.7097</v>
      </c>
      <c r="HB34" s="162">
        <f t="shared" si="17"/>
        <v>0.57920416666666663</v>
      </c>
      <c r="HC34" s="131">
        <f t="shared" si="116"/>
        <v>37.360300000000002</v>
      </c>
      <c r="HD34" s="159">
        <f t="shared" si="40"/>
        <v>0.13620000000000054</v>
      </c>
      <c r="HE34" s="159">
        <f t="shared" si="41"/>
        <v>6.9000000000000172E-3</v>
      </c>
      <c r="HG34" s="159"/>
      <c r="HH34" s="159">
        <v>24</v>
      </c>
      <c r="HI34" s="158">
        <v>9593</v>
      </c>
      <c r="HJ34" s="161">
        <v>13.9559</v>
      </c>
      <c r="HK34" s="161">
        <v>1.8701000000000001</v>
      </c>
      <c r="HL34" s="161">
        <v>0.71250000000000002</v>
      </c>
      <c r="HM34" s="162">
        <f t="shared" si="18"/>
        <v>0.58149583333333332</v>
      </c>
      <c r="HN34" s="131">
        <f t="shared" si="67"/>
        <v>37.357500000000002</v>
      </c>
      <c r="HO34" s="159">
        <f t="shared" si="68"/>
        <v>5.4999999999999716E-2</v>
      </c>
      <c r="HQ34" s="183"/>
      <c r="HR34" s="183">
        <v>24</v>
      </c>
      <c r="HS34" s="178">
        <v>9593</v>
      </c>
      <c r="HT34" s="184">
        <v>13.9917</v>
      </c>
      <c r="HU34" s="184">
        <v>1.8749</v>
      </c>
      <c r="HV34" s="184">
        <v>0.71440000000000003</v>
      </c>
      <c r="HW34" s="171">
        <f t="shared" si="19"/>
        <v>0.58298749999999999</v>
      </c>
      <c r="HX34" s="53">
        <f t="shared" si="69"/>
        <v>37.355600000000003</v>
      </c>
      <c r="HY34" s="183">
        <f t="shared" si="70"/>
        <v>3.5800000000000054E-2</v>
      </c>
      <c r="IA34" s="194"/>
      <c r="IB34" s="194">
        <v>24</v>
      </c>
      <c r="IC34" s="193">
        <v>9593</v>
      </c>
      <c r="ID34" s="161">
        <v>14.007199999999999</v>
      </c>
      <c r="IE34" s="184">
        <v>1.877</v>
      </c>
      <c r="IF34" s="184">
        <v>0.71509999999999996</v>
      </c>
      <c r="IG34" s="171">
        <f t="shared" si="71"/>
        <v>0.58363333333333334</v>
      </c>
      <c r="IH34" s="53">
        <f t="shared" si="72"/>
        <v>37.354900000000001</v>
      </c>
      <c r="II34" s="194">
        <f t="shared" si="73"/>
        <v>1.5499999999999403E-2</v>
      </c>
      <c r="IL34" s="199">
        <v>24</v>
      </c>
      <c r="IM34" s="197">
        <v>9593</v>
      </c>
      <c r="IN34" s="161">
        <v>14.088800000000001</v>
      </c>
      <c r="IO34" s="184">
        <v>1.8879999999999999</v>
      </c>
      <c r="IP34" s="184">
        <v>0.71930000000000005</v>
      </c>
      <c r="IQ34" s="171">
        <f t="shared" si="74"/>
        <v>0.58703333333333341</v>
      </c>
      <c r="IR34" s="53">
        <f t="shared" si="75"/>
        <v>37.350700000000003</v>
      </c>
      <c r="IS34" s="199">
        <f t="shared" si="76"/>
        <v>8.1600000000001671E-2</v>
      </c>
      <c r="IU34" s="202"/>
      <c r="IV34" s="202">
        <v>24</v>
      </c>
      <c r="IW34" s="201">
        <v>9593</v>
      </c>
      <c r="IX34" s="184">
        <v>14.199</v>
      </c>
      <c r="IY34" s="184">
        <v>1.9027000000000001</v>
      </c>
      <c r="IZ34" s="184">
        <v>0.72489999999999999</v>
      </c>
      <c r="JA34" s="162">
        <f t="shared" si="22"/>
        <v>0.59162499999999996</v>
      </c>
      <c r="JB34" s="53">
        <f t="shared" si="77"/>
        <v>37.345100000000002</v>
      </c>
      <c r="JC34" s="202">
        <f t="shared" si="78"/>
        <v>0.11019999999999897</v>
      </c>
      <c r="JE34" s="204"/>
      <c r="JF34" s="204">
        <v>24</v>
      </c>
      <c r="JG34" s="203">
        <v>9593</v>
      </c>
      <c r="JH34" s="161">
        <v>14.234</v>
      </c>
      <c r="JI34" s="184">
        <v>1.9074</v>
      </c>
      <c r="JJ34" s="184">
        <v>0.72670000000000001</v>
      </c>
      <c r="JK34" s="162">
        <f t="shared" si="79"/>
        <v>0.5930833333333333</v>
      </c>
      <c r="JL34" s="53">
        <f t="shared" si="80"/>
        <v>37.343299999999999</v>
      </c>
      <c r="JM34" s="204">
        <f t="shared" si="117"/>
        <v>3.5000000000000142E-2</v>
      </c>
      <c r="JN34" s="204"/>
      <c r="JP34" s="209">
        <v>24</v>
      </c>
      <c r="JQ34" s="205">
        <v>9593</v>
      </c>
      <c r="JR34" s="161">
        <v>14.2622</v>
      </c>
      <c r="JS34" s="184">
        <v>1.9112</v>
      </c>
      <c r="JT34" s="184">
        <v>0.72819999999999996</v>
      </c>
      <c r="JU34" s="162">
        <f t="shared" si="81"/>
        <v>0.59425833333333333</v>
      </c>
      <c r="JV34" s="53">
        <f t="shared" si="82"/>
        <v>37.341799999999999</v>
      </c>
      <c r="JW34" s="209">
        <f t="shared" si="118"/>
        <v>2.8200000000000003E-2</v>
      </c>
      <c r="JX34" s="213"/>
      <c r="JY34" s="213"/>
      <c r="JZ34" s="213">
        <v>24</v>
      </c>
      <c r="KA34" s="206">
        <v>9593</v>
      </c>
      <c r="KB34" s="184">
        <v>14.328200000000001</v>
      </c>
      <c r="KC34" s="184">
        <v>1.92</v>
      </c>
      <c r="KD34" s="184">
        <v>0.73150000000000004</v>
      </c>
      <c r="KE34" s="162">
        <f t="shared" si="83"/>
        <v>0.59700833333333336</v>
      </c>
      <c r="KF34" s="53">
        <f t="shared" si="84"/>
        <v>37.338500000000003</v>
      </c>
      <c r="KG34" s="213">
        <f t="shared" si="119"/>
        <v>6.6000000000000725E-2</v>
      </c>
      <c r="KI34" s="219"/>
      <c r="KJ34" s="219">
        <v>24</v>
      </c>
      <c r="KK34" s="214">
        <v>9593</v>
      </c>
      <c r="KL34" s="161">
        <v>14.350300000000001</v>
      </c>
      <c r="KM34" s="161">
        <v>1.923</v>
      </c>
      <c r="KN34" s="161">
        <v>0.73270000000000002</v>
      </c>
      <c r="KO34" s="162">
        <f t="shared" si="24"/>
        <v>0.59792916666666673</v>
      </c>
      <c r="KP34" s="53">
        <f t="shared" si="85"/>
        <v>37.337299999999999</v>
      </c>
      <c r="KQ34" s="218">
        <f t="shared" si="120"/>
        <v>2.2100000000000009E-2</v>
      </c>
      <c r="KT34" s="223">
        <v>24</v>
      </c>
      <c r="KU34" s="216">
        <v>9593</v>
      </c>
      <c r="KV34" s="161">
        <v>14.373500000000002</v>
      </c>
      <c r="KW34" s="161">
        <v>1.9260999999999999</v>
      </c>
      <c r="KX34" s="161">
        <v>0.73380000000000001</v>
      </c>
      <c r="KY34" s="162">
        <f t="shared" si="86"/>
        <v>0.5988958333333334</v>
      </c>
      <c r="KZ34" s="53">
        <f t="shared" si="87"/>
        <v>37.336199999999998</v>
      </c>
      <c r="LA34" s="224">
        <f t="shared" si="121"/>
        <v>2.3200000000000998E-2</v>
      </c>
      <c r="LD34" s="228">
        <v>24</v>
      </c>
      <c r="LE34" s="221">
        <v>9593</v>
      </c>
      <c r="LF34" s="161">
        <v>14.392899999999999</v>
      </c>
      <c r="LG34" s="161">
        <v>1.9287000000000001</v>
      </c>
      <c r="LH34" s="161">
        <v>0.73480000000000001</v>
      </c>
      <c r="LI34" s="162">
        <f t="shared" si="88"/>
        <v>0.59970416666666659</v>
      </c>
      <c r="LJ34" s="53">
        <f t="shared" si="89"/>
        <v>37.3352</v>
      </c>
      <c r="LK34" s="229">
        <f t="shared" si="122"/>
        <v>1.9399999999997419E-2</v>
      </c>
      <c r="LL34" s="231"/>
      <c r="LM34" s="231"/>
      <c r="LN34" s="231">
        <v>24</v>
      </c>
      <c r="LO34" s="226">
        <v>9593</v>
      </c>
      <c r="LP34" s="184">
        <v>14.4201</v>
      </c>
      <c r="LQ34" s="184">
        <v>1.9322999999999999</v>
      </c>
      <c r="LR34" s="184">
        <v>0.73619999999999997</v>
      </c>
      <c r="LS34" s="162">
        <f t="shared" si="90"/>
        <v>0.60083750000000002</v>
      </c>
      <c r="LT34" s="53">
        <f t="shared" si="91"/>
        <v>37.333800000000004</v>
      </c>
      <c r="LU34" s="232">
        <f t="shared" si="123"/>
        <v>2.7200000000000557E-2</v>
      </c>
      <c r="LW34" s="231"/>
      <c r="LX34" s="231">
        <v>24</v>
      </c>
      <c r="LY34" s="234">
        <v>9593</v>
      </c>
      <c r="LZ34" s="184">
        <v>14.450699999999999</v>
      </c>
      <c r="MA34" s="184">
        <v>1.9363999999999999</v>
      </c>
      <c r="MB34" s="184">
        <v>0.73780000000000001</v>
      </c>
      <c r="MC34" s="162">
        <f t="shared" si="92"/>
        <v>0.60211249999999994</v>
      </c>
      <c r="MD34" s="53">
        <f t="shared" si="93"/>
        <v>37.3322</v>
      </c>
      <c r="ME34" s="232">
        <f t="shared" si="124"/>
        <v>3.0599999999999739E-2</v>
      </c>
      <c r="MF34" s="231"/>
      <c r="MG34" s="231"/>
      <c r="MH34" s="231">
        <v>24</v>
      </c>
      <c r="MI34" s="236">
        <v>9593</v>
      </c>
      <c r="MJ34" s="184">
        <v>14.4808</v>
      </c>
      <c r="MK34" s="184">
        <v>1.9404999999999999</v>
      </c>
      <c r="ML34" s="184">
        <v>0.73929999999999996</v>
      </c>
      <c r="MM34" s="162">
        <f t="shared" si="94"/>
        <v>0.60336666666666672</v>
      </c>
      <c r="MN34" s="53">
        <f t="shared" si="95"/>
        <v>37.3307</v>
      </c>
      <c r="MO34" s="232">
        <f t="shared" si="125"/>
        <v>3.0100000000000904E-2</v>
      </c>
      <c r="MP34" s="231"/>
      <c r="MQ34" s="231"/>
      <c r="MR34" s="231">
        <v>24</v>
      </c>
      <c r="MS34" s="34">
        <v>9593</v>
      </c>
      <c r="MT34" s="184">
        <v>14.5383</v>
      </c>
      <c r="MU34" s="184">
        <v>1.9481999999999999</v>
      </c>
      <c r="MV34" s="184">
        <v>0.74229999999999996</v>
      </c>
      <c r="MW34" s="162">
        <f t="shared" si="96"/>
        <v>0.60576249999999998</v>
      </c>
      <c r="MX34" s="53">
        <f t="shared" si="97"/>
        <v>37.3277</v>
      </c>
      <c r="MY34" s="232">
        <f t="shared" si="126"/>
        <v>5.7499999999999218E-2</v>
      </c>
      <c r="MZ34" s="246"/>
      <c r="NA34" s="246"/>
      <c r="NB34" s="246">
        <v>24</v>
      </c>
      <c r="NC34" s="34">
        <v>9593</v>
      </c>
      <c r="ND34" s="184">
        <v>14.597099999999999</v>
      </c>
      <c r="NE34" s="184">
        <v>1.9560999999999999</v>
      </c>
      <c r="NF34" s="184">
        <v>0.74529999999999996</v>
      </c>
      <c r="NG34" s="162">
        <f t="shared" si="98"/>
        <v>0.60821249999999993</v>
      </c>
      <c r="NH34" s="53">
        <f t="shared" si="99"/>
        <v>37.3247</v>
      </c>
      <c r="NI34" s="232">
        <f t="shared" si="127"/>
        <v>5.8799999999999741E-2</v>
      </c>
      <c r="NK34" s="250"/>
      <c r="NL34" s="250">
        <v>24</v>
      </c>
      <c r="NM34" s="34">
        <v>9593</v>
      </c>
      <c r="NN34" s="184">
        <v>14.6144</v>
      </c>
      <c r="NO34" s="184">
        <v>1.9583999999999999</v>
      </c>
      <c r="NP34" s="184">
        <v>0.74609999999999999</v>
      </c>
      <c r="NQ34" s="162">
        <f t="shared" si="133"/>
        <v>0.60893333333333333</v>
      </c>
      <c r="NR34" s="53">
        <f t="shared" si="101"/>
        <v>37.323900000000002</v>
      </c>
      <c r="NS34" s="232">
        <f t="shared" si="128"/>
        <v>1.7300000000000537E-2</v>
      </c>
      <c r="NU34" s="250"/>
      <c r="NV34" s="250">
        <v>24</v>
      </c>
      <c r="NW34" s="34">
        <v>9593</v>
      </c>
      <c r="NX34" s="184">
        <v>14.6418</v>
      </c>
      <c r="NY34" s="184">
        <v>1.9621</v>
      </c>
      <c r="NZ34" s="184">
        <v>0.74750000000000005</v>
      </c>
      <c r="OA34" s="162">
        <f t="shared" si="134"/>
        <v>0.61007500000000003</v>
      </c>
      <c r="OB34" s="53">
        <f t="shared" si="103"/>
        <v>37.322499999999998</v>
      </c>
      <c r="OC34" s="232">
        <f t="shared" si="129"/>
        <v>2.7400000000000091E-2</v>
      </c>
      <c r="OE34" s="250"/>
      <c r="OF34" s="250">
        <v>24</v>
      </c>
      <c r="OG34" s="34">
        <v>9593</v>
      </c>
      <c r="OH34" s="184">
        <v>14.6556</v>
      </c>
      <c r="OI34" s="184">
        <v>1.9639</v>
      </c>
      <c r="OJ34" s="184">
        <v>0.74819999999999998</v>
      </c>
      <c r="OK34" s="162">
        <f t="shared" si="135"/>
        <v>0.61065000000000003</v>
      </c>
      <c r="OL34" s="53">
        <f t="shared" si="105"/>
        <v>37.321800000000003</v>
      </c>
      <c r="OM34" s="232">
        <f t="shared" si="130"/>
        <v>1.3799999999999812E-2</v>
      </c>
      <c r="OP34" s="250">
        <v>24</v>
      </c>
      <c r="OQ34" s="34">
        <v>9593</v>
      </c>
      <c r="OR34" s="184">
        <f>VLOOKUP(OQ34,Sheet4!A15:F91,3,0)</f>
        <v>14.687200000000001</v>
      </c>
      <c r="OS34" s="184">
        <f>VLOOKUP(OQ34,Sheet4!A15:F91,4,0)</f>
        <v>1.9681</v>
      </c>
      <c r="OT34" s="184">
        <f>VLOOKUP(OQ34,Sheet4!A15:F91,5,0)</f>
        <v>0.74990000000000001</v>
      </c>
      <c r="OU34" s="162">
        <f t="shared" si="106"/>
        <v>0.61196666666666666</v>
      </c>
      <c r="OV34" s="53">
        <f t="shared" si="107"/>
        <v>37.320100000000004</v>
      </c>
      <c r="OW34" s="232">
        <f t="shared" si="131"/>
        <v>3.1600000000000961E-2</v>
      </c>
    </row>
    <row r="35" spans="1:413" ht="15.75" x14ac:dyDescent="0.25">
      <c r="A35">
        <v>27</v>
      </c>
      <c r="B35" s="1">
        <v>9870</v>
      </c>
      <c r="C35" s="1" t="s">
        <v>1</v>
      </c>
      <c r="D35" s="2">
        <v>37.79</v>
      </c>
      <c r="E35" s="8"/>
      <c r="F35" s="8"/>
      <c r="G35" s="8"/>
      <c r="H35" s="8"/>
      <c r="J35" s="15">
        <v>9870</v>
      </c>
      <c r="K35" s="15">
        <v>7.5768000000000004</v>
      </c>
      <c r="L35" s="15">
        <v>1.0153000000000001</v>
      </c>
      <c r="M35" s="15">
        <v>0.38679999999999998</v>
      </c>
      <c r="N35" s="24">
        <f t="shared" si="42"/>
        <v>0.31570000000000004</v>
      </c>
      <c r="O35" s="10">
        <f t="shared" si="36"/>
        <v>37.403199999999998</v>
      </c>
      <c r="P35" s="18"/>
      <c r="R35" s="20">
        <v>9870</v>
      </c>
      <c r="S35" s="9">
        <v>7.6468999999999996</v>
      </c>
      <c r="T35" s="9">
        <v>1.0246999999999999</v>
      </c>
      <c r="U35" s="9">
        <v>0.39040000000000002</v>
      </c>
      <c r="V35" s="24">
        <f t="shared" si="43"/>
        <v>0.3186208333333333</v>
      </c>
      <c r="W35" s="10">
        <f t="shared" si="44"/>
        <v>37.3996</v>
      </c>
      <c r="X35" s="18"/>
      <c r="Z35" s="27">
        <v>9870</v>
      </c>
      <c r="AA35" s="9">
        <v>7.8193000000000001</v>
      </c>
      <c r="AB35" s="9">
        <v>1.0478000000000001</v>
      </c>
      <c r="AC35" s="9">
        <v>0.3992</v>
      </c>
      <c r="AD35" s="24">
        <f t="shared" si="45"/>
        <v>0.32580416666666667</v>
      </c>
      <c r="AE35" s="10">
        <f t="shared" si="46"/>
        <v>37.390799999999999</v>
      </c>
      <c r="AF35" s="79"/>
      <c r="AG35">
        <v>27</v>
      </c>
      <c r="AH35" s="1">
        <v>9870</v>
      </c>
      <c r="AI35" s="1" t="s">
        <v>1</v>
      </c>
      <c r="AJ35" s="2">
        <v>37.79</v>
      </c>
      <c r="AL35" s="32">
        <v>9870</v>
      </c>
      <c r="AM35" s="9">
        <v>8.0068999999999999</v>
      </c>
      <c r="AN35" s="9">
        <v>1.073</v>
      </c>
      <c r="AO35" s="9">
        <v>0.4088</v>
      </c>
      <c r="AP35" s="37">
        <f t="shared" si="0"/>
        <v>0.33362083333333331</v>
      </c>
      <c r="AQ35" s="53">
        <f t="shared" si="108"/>
        <v>37.3812</v>
      </c>
      <c r="AT35" s="39"/>
      <c r="AU35" s="38">
        <v>9870</v>
      </c>
      <c r="AV35" s="9">
        <v>8.0867000000000004</v>
      </c>
      <c r="AW35" s="43">
        <v>1.0835999999999999</v>
      </c>
      <c r="AX35" s="43">
        <v>0.41289999999999999</v>
      </c>
      <c r="AY35" s="47">
        <f t="shared" si="47"/>
        <v>0.33694583333333333</v>
      </c>
      <c r="AZ35" s="56">
        <f t="shared" si="109"/>
        <v>37.377099999999999</v>
      </c>
      <c r="BD35" s="54">
        <v>9870</v>
      </c>
      <c r="BE35" s="53">
        <v>8.0957000000000008</v>
      </c>
      <c r="BF35" s="58">
        <v>1.0849</v>
      </c>
      <c r="BG35" s="58">
        <v>0.4133</v>
      </c>
      <c r="BH35" s="47">
        <f t="shared" si="48"/>
        <v>0.33732083333333335</v>
      </c>
      <c r="BI35" s="56">
        <f t="shared" si="49"/>
        <v>37.3767</v>
      </c>
      <c r="BJ35" s="88"/>
      <c r="BK35" s="88"/>
      <c r="BL35" s="88"/>
      <c r="BN35" s="9">
        <v>9870</v>
      </c>
      <c r="BO35" s="53">
        <v>8.1294000000000004</v>
      </c>
      <c r="BP35" s="53">
        <v>1.0893999999999999</v>
      </c>
      <c r="BQ35" s="53">
        <v>0.41510000000000002</v>
      </c>
      <c r="BR35" s="53">
        <f t="shared" si="50"/>
        <v>0.338725</v>
      </c>
      <c r="BS35" s="53">
        <f t="shared" si="51"/>
        <v>37.374899999999997</v>
      </c>
      <c r="BV35" s="88"/>
      <c r="BX35" s="93">
        <v>9870</v>
      </c>
      <c r="BY35" s="9">
        <v>8.1957000000000004</v>
      </c>
      <c r="BZ35" s="9">
        <v>1.0983000000000001</v>
      </c>
      <c r="CA35" s="9">
        <v>0.41839999999999999</v>
      </c>
      <c r="CB35" s="58">
        <f t="shared" si="52"/>
        <v>0.3414875</v>
      </c>
      <c r="CC35" s="53">
        <f t="shared" si="110"/>
        <v>37.371600000000001</v>
      </c>
      <c r="CF35" s="88"/>
      <c r="CG35">
        <v>25</v>
      </c>
      <c r="CH35" s="93">
        <v>9870</v>
      </c>
      <c r="CI35" s="93">
        <v>8.2527000000000008</v>
      </c>
      <c r="CJ35" s="9">
        <v>1.1059000000000001</v>
      </c>
      <c r="CK35" s="9">
        <v>0.42130000000000001</v>
      </c>
      <c r="CL35" s="47">
        <f t="shared" si="5"/>
        <v>0.34386250000000002</v>
      </c>
      <c r="CM35" s="53">
        <f t="shared" si="53"/>
        <v>37.368699999999997</v>
      </c>
      <c r="CQ35">
        <v>25</v>
      </c>
      <c r="CR35" s="98">
        <v>9870</v>
      </c>
      <c r="CS35" s="101">
        <v>8.3244000000000007</v>
      </c>
      <c r="CT35" s="101">
        <v>1.1154999999999999</v>
      </c>
      <c r="CU35" s="101">
        <v>0.42499999999999999</v>
      </c>
      <c r="CV35" s="47">
        <f t="shared" si="6"/>
        <v>0.34685000000000005</v>
      </c>
      <c r="CW35" s="53">
        <f t="shared" si="37"/>
        <v>37.365000000000002</v>
      </c>
      <c r="DA35">
        <v>25</v>
      </c>
      <c r="DB35" s="106">
        <v>9870</v>
      </c>
      <c r="DC35" s="107">
        <v>8.3314000000000004</v>
      </c>
      <c r="DD35" s="107">
        <v>1.1164000000000001</v>
      </c>
      <c r="DE35" s="107">
        <v>0.4254</v>
      </c>
      <c r="DF35" s="47">
        <f t="shared" si="136"/>
        <v>0.34714166666666668</v>
      </c>
      <c r="DG35" s="53">
        <f t="shared" si="111"/>
        <v>37.364599999999996</v>
      </c>
      <c r="DK35">
        <v>25</v>
      </c>
      <c r="DL35" s="110">
        <v>9870</v>
      </c>
      <c r="DM35" s="53">
        <v>8.4131999999999998</v>
      </c>
      <c r="DN35" s="53">
        <v>1.1274</v>
      </c>
      <c r="DO35" s="53">
        <v>0.42949999999999999</v>
      </c>
      <c r="DP35" s="47">
        <f t="shared" si="137"/>
        <v>0.35054999999999997</v>
      </c>
      <c r="DQ35" s="53">
        <f t="shared" si="54"/>
        <v>37.360500000000002</v>
      </c>
      <c r="DS35" s="3">
        <f t="shared" si="55"/>
        <v>8.1799999999999429E-2</v>
      </c>
      <c r="DU35">
        <v>25</v>
      </c>
      <c r="DV35" s="115">
        <v>9870</v>
      </c>
      <c r="DW35" s="9">
        <v>8.4641999999999999</v>
      </c>
      <c r="DX35" s="9">
        <v>1.1342000000000001</v>
      </c>
      <c r="DY35" s="9">
        <v>0.43209999999999998</v>
      </c>
      <c r="DZ35" s="47">
        <f t="shared" si="138"/>
        <v>0.35267500000000002</v>
      </c>
      <c r="EA35" s="53">
        <f t="shared" si="112"/>
        <v>37.357900000000001</v>
      </c>
      <c r="EB35" s="3"/>
      <c r="EE35">
        <v>25</v>
      </c>
      <c r="EF35" s="118">
        <v>9870</v>
      </c>
      <c r="EG35" s="9">
        <v>8.5439000000000007</v>
      </c>
      <c r="EH35" s="9">
        <v>1.1449</v>
      </c>
      <c r="EI35" s="9">
        <v>0.43619999999999998</v>
      </c>
      <c r="EJ35" s="47">
        <f t="shared" si="10"/>
        <v>0.35599583333333334</v>
      </c>
      <c r="EK35" s="53">
        <f t="shared" si="56"/>
        <v>37.3538</v>
      </c>
      <c r="EM35" s="3">
        <f t="shared" si="57"/>
        <v>-4.1000000000011028E-3</v>
      </c>
      <c r="EN35" s="3"/>
      <c r="EO35">
        <v>25</v>
      </c>
      <c r="EP35" s="121">
        <v>9870</v>
      </c>
      <c r="EQ35" s="122">
        <v>8.7022999999999993</v>
      </c>
      <c r="ER35" s="122">
        <v>1.1660999999999999</v>
      </c>
      <c r="ES35" s="129">
        <v>0.44429999999999997</v>
      </c>
      <c r="ET35" s="130">
        <f t="shared" si="11"/>
        <v>0.36259583333333328</v>
      </c>
      <c r="EU35" s="131">
        <f t="shared" si="58"/>
        <v>37.345700000000001</v>
      </c>
      <c r="EX35" s="3"/>
      <c r="EY35">
        <v>25</v>
      </c>
      <c r="EZ35" s="135">
        <v>9870</v>
      </c>
      <c r="FA35" s="135">
        <v>8.7769999999999992</v>
      </c>
      <c r="FB35" s="135">
        <v>1.1761999999999999</v>
      </c>
      <c r="FC35" s="135">
        <v>0.4481</v>
      </c>
      <c r="FD35" s="136">
        <f t="shared" si="12"/>
        <v>0.3657083333333333</v>
      </c>
      <c r="FE35" s="131">
        <f t="shared" si="59"/>
        <v>37.341900000000003</v>
      </c>
      <c r="FG35" s="123">
        <f t="shared" si="60"/>
        <v>-3.7999999999982492E-3</v>
      </c>
      <c r="FH35" s="3"/>
      <c r="FI35">
        <v>25</v>
      </c>
      <c r="FJ35" s="145">
        <v>9870</v>
      </c>
      <c r="FK35" s="9">
        <v>8.8765000000000001</v>
      </c>
      <c r="FL35" s="9">
        <v>1.1895</v>
      </c>
      <c r="FM35" s="9">
        <v>0.45319999999999999</v>
      </c>
      <c r="FN35" s="146">
        <f t="shared" si="113"/>
        <v>0.36985416666666665</v>
      </c>
      <c r="FO35" s="131">
        <f t="shared" si="61"/>
        <v>37.336799999999997</v>
      </c>
      <c r="FP35" s="123">
        <f t="shared" si="62"/>
        <v>-5.1000000000058776E-3</v>
      </c>
      <c r="FS35">
        <v>25</v>
      </c>
      <c r="FT35" s="147">
        <v>9870</v>
      </c>
      <c r="FU35" s="148">
        <v>8.8970000000000002</v>
      </c>
      <c r="FV35" s="148">
        <v>1.1921999999999999</v>
      </c>
      <c r="FW35" s="148">
        <v>0.45419999999999999</v>
      </c>
      <c r="FX35" s="150">
        <f t="shared" si="114"/>
        <v>0.37070833333333336</v>
      </c>
      <c r="FY35" s="131">
        <f t="shared" si="115"/>
        <v>37.335799999999999</v>
      </c>
      <c r="FZ35">
        <f t="shared" si="63"/>
        <v>2.0500000000000185E-2</v>
      </c>
      <c r="GC35">
        <v>25</v>
      </c>
      <c r="GD35" s="151">
        <v>9870</v>
      </c>
      <c r="GE35" s="151">
        <v>8.9476999999999993</v>
      </c>
      <c r="GF35" s="151">
        <v>1.1990000000000001</v>
      </c>
      <c r="GG35" s="151">
        <v>0.45679999999999998</v>
      </c>
      <c r="GH35" s="153">
        <f t="shared" si="132"/>
        <v>0.37282083333333332</v>
      </c>
      <c r="GI35" s="131">
        <f t="shared" si="64"/>
        <v>37.333199999999998</v>
      </c>
      <c r="GJ35">
        <f t="shared" si="38"/>
        <v>5.0699999999999079E-2</v>
      </c>
      <c r="GM35">
        <v>25</v>
      </c>
      <c r="GN35" s="155">
        <v>9870</v>
      </c>
      <c r="GO35" s="155">
        <v>9.0549999999999997</v>
      </c>
      <c r="GP35" s="155">
        <v>1.2134</v>
      </c>
      <c r="GQ35" s="155">
        <v>0.46229999999999999</v>
      </c>
      <c r="GR35" s="58">
        <f t="shared" si="65"/>
        <v>0.37729166666666664</v>
      </c>
      <c r="GS35" s="131">
        <f t="shared" si="66"/>
        <v>37.3277</v>
      </c>
      <c r="GT35">
        <f t="shared" si="39"/>
        <v>0.1073000000000004</v>
      </c>
      <c r="GW35">
        <v>25</v>
      </c>
      <c r="GX35" s="157">
        <v>9870</v>
      </c>
      <c r="GY35" s="161">
        <f>VLOOKUP(GX35,Sheet3!$AJ$7:$AN$83,2,0)</f>
        <v>9.1912000000000003</v>
      </c>
      <c r="GZ35" s="161">
        <f>VLOOKUP(GX35,Sheet3!$AJ$7:$AN$83,3,0)</f>
        <v>1.2317</v>
      </c>
      <c r="HA35" s="161">
        <f>VLOOKUP(GX35,Sheet3!$AJ$7:$AN$83,4,0)</f>
        <v>0.46929999999999999</v>
      </c>
      <c r="HB35" s="162">
        <f t="shared" si="17"/>
        <v>0.38296666666666668</v>
      </c>
      <c r="HC35" s="131">
        <f t="shared" si="116"/>
        <v>37.320700000000002</v>
      </c>
      <c r="HD35" s="159">
        <f t="shared" si="40"/>
        <v>0.13620000000000054</v>
      </c>
      <c r="HE35" s="159">
        <f t="shared" si="41"/>
        <v>7.0000000000000062E-3</v>
      </c>
      <c r="HG35" s="159"/>
      <c r="HH35" s="159">
        <v>25</v>
      </c>
      <c r="HI35" s="158">
        <v>9870</v>
      </c>
      <c r="HJ35" s="161">
        <v>9.2462</v>
      </c>
      <c r="HK35" s="161">
        <v>1.2390000000000001</v>
      </c>
      <c r="HL35" s="161">
        <v>0.47210000000000002</v>
      </c>
      <c r="HM35" s="162">
        <f t="shared" si="18"/>
        <v>0.38525833333333331</v>
      </c>
      <c r="HN35" s="131">
        <f t="shared" si="67"/>
        <v>37.317900000000002</v>
      </c>
      <c r="HO35" s="159">
        <f t="shared" si="68"/>
        <v>5.4999999999999716E-2</v>
      </c>
      <c r="HQ35" s="183"/>
      <c r="HR35" s="183">
        <v>25</v>
      </c>
      <c r="HS35" s="178">
        <v>9870</v>
      </c>
      <c r="HT35" s="184">
        <v>9.282</v>
      </c>
      <c r="HU35" s="184">
        <v>1.2438</v>
      </c>
      <c r="HV35" s="184">
        <v>0.47389999999999999</v>
      </c>
      <c r="HW35" s="171">
        <f t="shared" si="19"/>
        <v>0.38674999999999998</v>
      </c>
      <c r="HX35" s="53">
        <f t="shared" si="69"/>
        <v>37.316099999999999</v>
      </c>
      <c r="HY35" s="183">
        <f t="shared" si="70"/>
        <v>3.5800000000000054E-2</v>
      </c>
      <c r="IA35" s="194"/>
      <c r="IB35" s="194">
        <v>25</v>
      </c>
      <c r="IC35" s="193">
        <v>9870</v>
      </c>
      <c r="ID35" s="161">
        <v>9.2974999999999994</v>
      </c>
      <c r="IE35" s="184">
        <v>1.2459</v>
      </c>
      <c r="IF35" s="184">
        <v>0.47470000000000001</v>
      </c>
      <c r="IG35" s="171">
        <f t="shared" si="71"/>
        <v>0.38739583333333333</v>
      </c>
      <c r="IH35" s="53">
        <f t="shared" si="72"/>
        <v>37.315300000000001</v>
      </c>
      <c r="II35" s="194">
        <f t="shared" si="73"/>
        <v>1.5499999999999403E-2</v>
      </c>
      <c r="IL35" s="199">
        <v>25</v>
      </c>
      <c r="IM35" s="197">
        <v>9870</v>
      </c>
      <c r="IN35" s="161">
        <v>9.3790999999999993</v>
      </c>
      <c r="IO35" s="184">
        <v>1.2567999999999999</v>
      </c>
      <c r="IP35" s="184">
        <v>0.47889999999999999</v>
      </c>
      <c r="IQ35" s="171">
        <f t="shared" si="74"/>
        <v>0.39079583333333329</v>
      </c>
      <c r="IR35" s="53">
        <f t="shared" si="75"/>
        <v>37.311099999999996</v>
      </c>
      <c r="IS35" s="199">
        <f t="shared" si="76"/>
        <v>8.1599999999999895E-2</v>
      </c>
      <c r="IU35" s="202"/>
      <c r="IV35" s="202">
        <v>25</v>
      </c>
      <c r="IW35" s="201">
        <v>9870</v>
      </c>
      <c r="IX35" s="184">
        <v>9.4893000000000001</v>
      </c>
      <c r="IY35" s="184">
        <v>1.2716000000000001</v>
      </c>
      <c r="IZ35" s="184">
        <v>0.48449999999999999</v>
      </c>
      <c r="JA35" s="162">
        <f t="shared" si="22"/>
        <v>0.3953875</v>
      </c>
      <c r="JB35" s="53">
        <f t="shared" si="77"/>
        <v>37.305500000000002</v>
      </c>
      <c r="JC35" s="202">
        <f t="shared" si="78"/>
        <v>0.11020000000000074</v>
      </c>
      <c r="JE35" s="204"/>
      <c r="JF35" s="204">
        <v>25</v>
      </c>
      <c r="JG35" s="203">
        <v>9870</v>
      </c>
      <c r="JH35" s="161">
        <v>9.5243000000000002</v>
      </c>
      <c r="JI35" s="184">
        <v>1.2763</v>
      </c>
      <c r="JJ35" s="184">
        <v>0.48630000000000001</v>
      </c>
      <c r="JK35" s="162">
        <f t="shared" si="79"/>
        <v>0.39684583333333334</v>
      </c>
      <c r="JL35" s="53">
        <f t="shared" si="80"/>
        <v>37.303699999999999</v>
      </c>
      <c r="JM35" s="204">
        <f t="shared" si="117"/>
        <v>3.5000000000000142E-2</v>
      </c>
      <c r="JN35" s="204"/>
      <c r="JP35" s="209">
        <v>25</v>
      </c>
      <c r="JQ35" s="205">
        <v>9870</v>
      </c>
      <c r="JR35" s="161">
        <v>9.5525000000000002</v>
      </c>
      <c r="JS35" s="184">
        <v>1.2801</v>
      </c>
      <c r="JT35" s="184">
        <v>0.48770000000000002</v>
      </c>
      <c r="JU35" s="162">
        <f t="shared" si="81"/>
        <v>0.39802083333333332</v>
      </c>
      <c r="JV35" s="53">
        <f t="shared" si="82"/>
        <v>37.302300000000002</v>
      </c>
      <c r="JW35" s="209">
        <f t="shared" si="118"/>
        <v>2.8200000000000003E-2</v>
      </c>
      <c r="JX35" s="213"/>
      <c r="JY35" s="213"/>
      <c r="JZ35" s="213">
        <v>25</v>
      </c>
      <c r="KA35" s="206">
        <v>9870</v>
      </c>
      <c r="KB35" s="184">
        <v>9.6184999999999992</v>
      </c>
      <c r="KC35" s="184">
        <v>1.2888999999999999</v>
      </c>
      <c r="KD35" s="184">
        <v>0.49109999999999998</v>
      </c>
      <c r="KE35" s="162">
        <f t="shared" si="83"/>
        <v>0.4007708333333333</v>
      </c>
      <c r="KF35" s="53">
        <f t="shared" si="84"/>
        <v>37.298899999999996</v>
      </c>
      <c r="KG35" s="213">
        <f t="shared" si="119"/>
        <v>6.5999999999998948E-2</v>
      </c>
      <c r="KI35" s="219"/>
      <c r="KJ35" s="219">
        <v>25</v>
      </c>
      <c r="KK35" s="214">
        <v>9870</v>
      </c>
      <c r="KL35" s="161">
        <v>9.6404999999999994</v>
      </c>
      <c r="KM35" s="161">
        <v>1.2919</v>
      </c>
      <c r="KN35" s="161">
        <v>0.49220000000000003</v>
      </c>
      <c r="KO35" s="162">
        <f t="shared" si="24"/>
        <v>0.40168749999999998</v>
      </c>
      <c r="KP35" s="53">
        <f t="shared" si="85"/>
        <v>37.297800000000002</v>
      </c>
      <c r="KQ35" s="219">
        <f t="shared" si="120"/>
        <v>2.2000000000000242E-2</v>
      </c>
      <c r="KT35" s="223">
        <v>25</v>
      </c>
      <c r="KU35" s="216">
        <v>9870</v>
      </c>
      <c r="KV35" s="161">
        <v>9.6637000000000004</v>
      </c>
      <c r="KW35" s="161">
        <v>1.2949999999999999</v>
      </c>
      <c r="KX35" s="161">
        <v>0.49340000000000001</v>
      </c>
      <c r="KY35" s="162">
        <f t="shared" si="86"/>
        <v>0.4026541666666667</v>
      </c>
      <c r="KZ35" s="53">
        <f t="shared" si="87"/>
        <v>37.296599999999998</v>
      </c>
      <c r="LA35" s="223">
        <f t="shared" si="121"/>
        <v>2.3200000000000998E-2</v>
      </c>
      <c r="LD35" s="228">
        <v>25</v>
      </c>
      <c r="LE35" s="221">
        <v>9870</v>
      </c>
      <c r="LF35" s="161">
        <v>9.6830999999999996</v>
      </c>
      <c r="LG35" s="161">
        <v>1.2976000000000001</v>
      </c>
      <c r="LH35" s="161">
        <v>0.49440000000000001</v>
      </c>
      <c r="LI35" s="162">
        <f t="shared" si="88"/>
        <v>0.4034625</v>
      </c>
      <c r="LJ35" s="53">
        <f t="shared" si="89"/>
        <v>37.2956</v>
      </c>
      <c r="LK35" s="228">
        <f t="shared" si="122"/>
        <v>1.9399999999999196E-2</v>
      </c>
      <c r="LL35" s="231"/>
      <c r="LM35" s="231"/>
      <c r="LN35" s="231">
        <v>25</v>
      </c>
      <c r="LO35" s="226">
        <v>9870</v>
      </c>
      <c r="LP35" s="184">
        <v>9.7103000000000002</v>
      </c>
      <c r="LQ35" s="184">
        <v>1.3011999999999999</v>
      </c>
      <c r="LR35" s="184">
        <v>0.49580000000000002</v>
      </c>
      <c r="LS35" s="162">
        <f t="shared" si="90"/>
        <v>0.40459583333333332</v>
      </c>
      <c r="LT35" s="53">
        <f t="shared" si="91"/>
        <v>37.294199999999996</v>
      </c>
      <c r="LU35" s="231">
        <f t="shared" si="123"/>
        <v>2.7200000000000557E-2</v>
      </c>
      <c r="LW35" s="231"/>
      <c r="LX35" s="231">
        <v>25</v>
      </c>
      <c r="LY35" s="234">
        <v>9870</v>
      </c>
      <c r="LZ35" s="184">
        <v>9.7408999999999999</v>
      </c>
      <c r="MA35" s="184">
        <v>1.3052999999999999</v>
      </c>
      <c r="MB35" s="184">
        <v>0.49730000000000002</v>
      </c>
      <c r="MC35" s="162">
        <f t="shared" si="92"/>
        <v>0.40587083333333335</v>
      </c>
      <c r="MD35" s="53">
        <f t="shared" si="93"/>
        <v>37.292699999999996</v>
      </c>
      <c r="ME35" s="231">
        <f t="shared" si="124"/>
        <v>3.0599999999999739E-2</v>
      </c>
      <c r="MF35" s="231"/>
      <c r="MG35" s="231"/>
      <c r="MH35" s="231">
        <v>25</v>
      </c>
      <c r="MI35" s="236">
        <v>9870</v>
      </c>
      <c r="MJ35" s="184">
        <v>9.7710000000000008</v>
      </c>
      <c r="MK35" s="184">
        <v>1.3093999999999999</v>
      </c>
      <c r="ML35" s="184">
        <v>0.49890000000000001</v>
      </c>
      <c r="MM35" s="162">
        <f t="shared" si="94"/>
        <v>0.40712500000000001</v>
      </c>
      <c r="MN35" s="53">
        <f t="shared" si="95"/>
        <v>37.2911</v>
      </c>
      <c r="MO35" s="231">
        <f t="shared" si="125"/>
        <v>3.0100000000000904E-2</v>
      </c>
      <c r="MP35" s="231"/>
      <c r="MQ35" s="231"/>
      <c r="MR35" s="231">
        <v>25</v>
      </c>
      <c r="MS35" s="34">
        <v>9870</v>
      </c>
      <c r="MT35" s="184">
        <v>9.8285</v>
      </c>
      <c r="MU35" s="184">
        <v>1.3170999999999999</v>
      </c>
      <c r="MV35" s="184">
        <v>0.50180000000000002</v>
      </c>
      <c r="MW35" s="162">
        <f t="shared" si="96"/>
        <v>0.40952083333333333</v>
      </c>
      <c r="MX35" s="53">
        <f t="shared" si="97"/>
        <v>37.288199999999996</v>
      </c>
      <c r="MY35" s="231">
        <f t="shared" si="126"/>
        <v>5.7499999999999218E-2</v>
      </c>
      <c r="MZ35" s="246"/>
      <c r="NA35" s="246"/>
      <c r="NB35" s="246">
        <v>25</v>
      </c>
      <c r="NC35" s="34">
        <v>9870</v>
      </c>
      <c r="ND35" s="184">
        <v>9.8872999999999998</v>
      </c>
      <c r="NE35" s="184">
        <v>1.3249</v>
      </c>
      <c r="NF35" s="184">
        <v>0.50480000000000003</v>
      </c>
      <c r="NG35" s="162">
        <f t="shared" si="98"/>
        <v>0.41197083333333334</v>
      </c>
      <c r="NH35" s="53">
        <f t="shared" si="99"/>
        <v>37.285199999999996</v>
      </c>
      <c r="NI35" s="232">
        <f t="shared" si="127"/>
        <v>5.8799999999999741E-2</v>
      </c>
      <c r="NK35" s="250"/>
      <c r="NL35" s="250">
        <v>25</v>
      </c>
      <c r="NM35" s="34">
        <v>9870</v>
      </c>
      <c r="NN35" s="184">
        <v>9.9046000000000003</v>
      </c>
      <c r="NO35" s="184">
        <v>1.3272999999999999</v>
      </c>
      <c r="NP35" s="184">
        <v>0.50570000000000004</v>
      </c>
      <c r="NQ35" s="162">
        <f t="shared" si="133"/>
        <v>0.41269166666666668</v>
      </c>
      <c r="NR35" s="53">
        <f t="shared" si="101"/>
        <v>37.284300000000002</v>
      </c>
      <c r="NS35" s="232">
        <f t="shared" si="128"/>
        <v>1.7300000000000537E-2</v>
      </c>
      <c r="NU35" s="250"/>
      <c r="NV35" s="250">
        <v>25</v>
      </c>
      <c r="NW35" s="34">
        <v>9870</v>
      </c>
      <c r="NX35" s="184">
        <v>9.9320000000000004</v>
      </c>
      <c r="NY35" s="184">
        <v>1.3309</v>
      </c>
      <c r="NZ35" s="184">
        <v>0.5071</v>
      </c>
      <c r="OA35" s="162">
        <f t="shared" si="134"/>
        <v>0.41383333333333333</v>
      </c>
      <c r="OB35" s="53">
        <f t="shared" si="103"/>
        <v>37.282899999999998</v>
      </c>
      <c r="OC35" s="232">
        <f t="shared" si="129"/>
        <v>2.7400000000000091E-2</v>
      </c>
      <c r="OE35" s="250"/>
      <c r="OF35" s="250">
        <v>25</v>
      </c>
      <c r="OG35" s="34">
        <v>9870</v>
      </c>
      <c r="OH35" s="184">
        <v>9.9458000000000002</v>
      </c>
      <c r="OI35" s="184">
        <v>1.3328</v>
      </c>
      <c r="OJ35" s="184">
        <v>0.50780000000000003</v>
      </c>
      <c r="OK35" s="162">
        <f t="shared" si="135"/>
        <v>0.41440833333333332</v>
      </c>
      <c r="OL35" s="53">
        <f t="shared" si="105"/>
        <v>37.282199999999996</v>
      </c>
      <c r="OM35" s="232">
        <f t="shared" si="130"/>
        <v>1.3799999999999812E-2</v>
      </c>
      <c r="OP35" s="250">
        <v>25</v>
      </c>
      <c r="OQ35" s="34">
        <v>9870</v>
      </c>
      <c r="OR35" s="184">
        <f>VLOOKUP(OQ35,Sheet4!A16:F92,3,0)</f>
        <v>9.9773999999999994</v>
      </c>
      <c r="OS35" s="184">
        <f>VLOOKUP(OQ35,Sheet4!A16:F92,4,0)</f>
        <v>1.337</v>
      </c>
      <c r="OT35" s="184">
        <f>VLOOKUP(OQ35,Sheet4!A16:F92,5,0)</f>
        <v>0.50939999999999996</v>
      </c>
      <c r="OU35" s="162">
        <f t="shared" si="106"/>
        <v>0.41572499999999996</v>
      </c>
      <c r="OV35" s="53">
        <f t="shared" si="107"/>
        <v>37.2806</v>
      </c>
      <c r="OW35" s="232">
        <f t="shared" si="131"/>
        <v>3.1599999999999184E-2</v>
      </c>
    </row>
    <row r="36" spans="1:413" ht="15.75" x14ac:dyDescent="0.25">
      <c r="A36">
        <v>28</v>
      </c>
      <c r="B36" s="1">
        <v>9873</v>
      </c>
      <c r="C36" s="1" t="s">
        <v>1</v>
      </c>
      <c r="D36" s="2">
        <v>37.69</v>
      </c>
      <c r="E36" s="8"/>
      <c r="F36" s="8"/>
      <c r="G36" s="8"/>
      <c r="H36" s="8"/>
      <c r="J36" s="15">
        <v>9873</v>
      </c>
      <c r="K36" s="15">
        <v>7.5768000000000004</v>
      </c>
      <c r="L36" s="15">
        <v>1.0153000000000001</v>
      </c>
      <c r="M36" s="15">
        <v>0.38679999999999998</v>
      </c>
      <c r="N36" s="24">
        <f t="shared" si="42"/>
        <v>0.31570000000000004</v>
      </c>
      <c r="O36" s="10">
        <f t="shared" si="36"/>
        <v>37.303199999999997</v>
      </c>
      <c r="P36" s="18"/>
      <c r="R36" s="20">
        <v>9873</v>
      </c>
      <c r="S36" s="9">
        <v>7.6468999999999996</v>
      </c>
      <c r="T36" s="9">
        <v>1.0246999999999999</v>
      </c>
      <c r="U36" s="9">
        <v>0.39040000000000002</v>
      </c>
      <c r="V36" s="24">
        <f t="shared" si="43"/>
        <v>0.3186208333333333</v>
      </c>
      <c r="W36" s="10">
        <f t="shared" si="44"/>
        <v>37.299599999999998</v>
      </c>
      <c r="X36" s="18"/>
      <c r="Z36" s="27">
        <v>9873</v>
      </c>
      <c r="AA36" s="9">
        <v>7.8193000000000001</v>
      </c>
      <c r="AB36" s="9">
        <v>1.0478000000000001</v>
      </c>
      <c r="AC36" s="9">
        <v>0.3992</v>
      </c>
      <c r="AD36" s="24">
        <f t="shared" si="45"/>
        <v>0.32580416666666667</v>
      </c>
      <c r="AE36" s="10">
        <f t="shared" si="46"/>
        <v>37.290799999999997</v>
      </c>
      <c r="AF36" s="79"/>
      <c r="AG36">
        <v>28</v>
      </c>
      <c r="AH36" s="1">
        <v>9873</v>
      </c>
      <c r="AI36" s="1" t="s">
        <v>1</v>
      </c>
      <c r="AJ36" s="2">
        <v>37.69</v>
      </c>
      <c r="AL36" s="32">
        <v>9873</v>
      </c>
      <c r="AM36" s="9">
        <v>8.0068999999999999</v>
      </c>
      <c r="AN36" s="9">
        <v>1.073</v>
      </c>
      <c r="AO36" s="9">
        <v>0.4088</v>
      </c>
      <c r="AP36" s="37">
        <f t="shared" si="0"/>
        <v>0.33362083333333331</v>
      </c>
      <c r="AQ36" s="53">
        <f t="shared" si="108"/>
        <v>37.281199999999998</v>
      </c>
      <c r="AT36" s="39"/>
      <c r="AU36" s="38">
        <v>9873</v>
      </c>
      <c r="AV36" s="9">
        <v>8.0867000000000004</v>
      </c>
      <c r="AW36" s="43">
        <v>1.0835999999999999</v>
      </c>
      <c r="AX36" s="43">
        <v>0.41289999999999999</v>
      </c>
      <c r="AY36" s="47">
        <f t="shared" si="47"/>
        <v>0.33694583333333333</v>
      </c>
      <c r="AZ36" s="56">
        <f t="shared" si="109"/>
        <v>37.277099999999997</v>
      </c>
      <c r="BD36" s="54">
        <v>9873</v>
      </c>
      <c r="BE36" s="53">
        <v>8.0957000000000008</v>
      </c>
      <c r="BF36" s="58">
        <v>1.0849</v>
      </c>
      <c r="BG36" s="58">
        <v>0.4133</v>
      </c>
      <c r="BH36" s="47">
        <f t="shared" si="48"/>
        <v>0.33732083333333335</v>
      </c>
      <c r="BI36" s="56">
        <f t="shared" si="49"/>
        <v>37.276699999999998</v>
      </c>
      <c r="BJ36" s="88"/>
      <c r="BK36" s="88"/>
      <c r="BL36" s="88"/>
      <c r="BN36" s="9">
        <v>9873</v>
      </c>
      <c r="BO36" s="53">
        <v>8.1294000000000004</v>
      </c>
      <c r="BP36" s="53">
        <v>1.0893999999999999</v>
      </c>
      <c r="BQ36" s="53">
        <v>0.41510000000000002</v>
      </c>
      <c r="BR36" s="53">
        <f t="shared" si="50"/>
        <v>0.338725</v>
      </c>
      <c r="BS36" s="53">
        <f t="shared" si="51"/>
        <v>37.274899999999995</v>
      </c>
      <c r="BV36" s="88"/>
      <c r="BX36" s="93">
        <v>9873</v>
      </c>
      <c r="BY36" s="9">
        <v>8.1957000000000004</v>
      </c>
      <c r="BZ36" s="9">
        <v>1.0983000000000001</v>
      </c>
      <c r="CA36" s="9">
        <v>0.41839999999999999</v>
      </c>
      <c r="CB36" s="58">
        <f t="shared" si="52"/>
        <v>0.3414875</v>
      </c>
      <c r="CC36" s="53">
        <f t="shared" si="110"/>
        <v>37.271599999999999</v>
      </c>
      <c r="CF36" s="88"/>
      <c r="CG36">
        <v>26</v>
      </c>
      <c r="CH36" s="93">
        <v>9873</v>
      </c>
      <c r="CI36" s="93">
        <v>8.2527000000000008</v>
      </c>
      <c r="CJ36" s="9">
        <v>1.1059000000000001</v>
      </c>
      <c r="CK36" s="9">
        <v>0.42130000000000001</v>
      </c>
      <c r="CL36" s="47">
        <f t="shared" si="5"/>
        <v>0.34386250000000002</v>
      </c>
      <c r="CM36" s="53">
        <f t="shared" si="53"/>
        <v>37.268699999999995</v>
      </c>
      <c r="CQ36">
        <v>26</v>
      </c>
      <c r="CR36" s="98">
        <v>9873</v>
      </c>
      <c r="CS36" s="101">
        <v>8.3244000000000007</v>
      </c>
      <c r="CT36" s="101">
        <v>1.1154999999999999</v>
      </c>
      <c r="CU36" s="101">
        <v>0.42499999999999999</v>
      </c>
      <c r="CV36" s="47">
        <f t="shared" si="6"/>
        <v>0.34685000000000005</v>
      </c>
      <c r="CW36" s="53">
        <f t="shared" si="37"/>
        <v>37.265000000000001</v>
      </c>
      <c r="DA36">
        <v>26</v>
      </c>
      <c r="DB36" s="106">
        <v>9873</v>
      </c>
      <c r="DC36" s="107">
        <v>8.3314000000000004</v>
      </c>
      <c r="DD36" s="107">
        <v>1.1164000000000001</v>
      </c>
      <c r="DE36" s="107">
        <v>0.4254</v>
      </c>
      <c r="DF36" s="47">
        <f t="shared" si="136"/>
        <v>0.34714166666666668</v>
      </c>
      <c r="DG36" s="53">
        <f t="shared" si="111"/>
        <v>37.264599999999994</v>
      </c>
      <c r="DK36">
        <v>26</v>
      </c>
      <c r="DL36" s="110">
        <v>9873</v>
      </c>
      <c r="DM36" s="53">
        <v>8.4131999999999998</v>
      </c>
      <c r="DN36" s="53">
        <v>1.1274</v>
      </c>
      <c r="DO36" s="53">
        <v>0.42949999999999999</v>
      </c>
      <c r="DP36" s="47">
        <f t="shared" si="137"/>
        <v>0.35054999999999997</v>
      </c>
      <c r="DQ36" s="53">
        <f t="shared" si="54"/>
        <v>37.2605</v>
      </c>
      <c r="DS36" s="3">
        <f t="shared" si="55"/>
        <v>8.1799999999999429E-2</v>
      </c>
      <c r="DU36">
        <v>26</v>
      </c>
      <c r="DV36" s="115">
        <v>9873</v>
      </c>
      <c r="DW36" s="9">
        <v>8.4641999999999999</v>
      </c>
      <c r="DX36" s="9">
        <v>1.1342000000000001</v>
      </c>
      <c r="DY36" s="9">
        <v>0.43209999999999998</v>
      </c>
      <c r="DZ36" s="47">
        <f t="shared" si="138"/>
        <v>0.35267500000000002</v>
      </c>
      <c r="EA36" s="53">
        <f t="shared" si="112"/>
        <v>37.257899999999999</v>
      </c>
      <c r="EB36" s="3"/>
      <c r="EE36">
        <v>26</v>
      </c>
      <c r="EF36" s="118">
        <v>9873</v>
      </c>
      <c r="EG36" s="9">
        <v>8.5439000000000007</v>
      </c>
      <c r="EH36" s="9">
        <v>1.1449</v>
      </c>
      <c r="EI36" s="9">
        <v>0.43619999999999998</v>
      </c>
      <c r="EJ36" s="47">
        <f t="shared" si="10"/>
        <v>0.35599583333333334</v>
      </c>
      <c r="EK36" s="53">
        <f t="shared" si="56"/>
        <v>37.253799999999998</v>
      </c>
      <c r="EM36" s="3">
        <f t="shared" si="57"/>
        <v>-4.1000000000011028E-3</v>
      </c>
      <c r="EN36" s="3"/>
      <c r="EO36">
        <v>26</v>
      </c>
      <c r="EP36" s="121">
        <v>9873</v>
      </c>
      <c r="EQ36" s="122">
        <v>8.7022999999999993</v>
      </c>
      <c r="ER36" s="122">
        <v>1.1660999999999999</v>
      </c>
      <c r="ES36" s="129">
        <v>0.44429999999999997</v>
      </c>
      <c r="ET36" s="130">
        <f t="shared" si="11"/>
        <v>0.36259583333333328</v>
      </c>
      <c r="EU36" s="131">
        <f t="shared" si="58"/>
        <v>37.245699999999999</v>
      </c>
      <c r="EX36" s="3"/>
      <c r="EY36">
        <v>26</v>
      </c>
      <c r="EZ36" s="135">
        <v>9873</v>
      </c>
      <c r="FA36" s="135">
        <v>8.7769999999999992</v>
      </c>
      <c r="FB36" s="135">
        <v>1.1761999999999999</v>
      </c>
      <c r="FC36" s="135">
        <v>0.4481</v>
      </c>
      <c r="FD36" s="136">
        <f t="shared" si="12"/>
        <v>0.3657083333333333</v>
      </c>
      <c r="FE36" s="131">
        <f t="shared" si="59"/>
        <v>37.241900000000001</v>
      </c>
      <c r="FG36" s="123">
        <f t="shared" si="60"/>
        <v>-3.7999999999982492E-3</v>
      </c>
      <c r="FH36" s="3"/>
      <c r="FI36">
        <v>26</v>
      </c>
      <c r="FJ36" s="145">
        <v>9873</v>
      </c>
      <c r="FK36" s="9">
        <v>8.8765000000000001</v>
      </c>
      <c r="FL36" s="9">
        <v>1.1895</v>
      </c>
      <c r="FM36" s="9">
        <v>0.45319999999999999</v>
      </c>
      <c r="FN36" s="146">
        <f t="shared" si="113"/>
        <v>0.36985416666666665</v>
      </c>
      <c r="FO36" s="131">
        <f t="shared" si="61"/>
        <v>37.236799999999995</v>
      </c>
      <c r="FP36" s="123">
        <f t="shared" si="62"/>
        <v>-5.1000000000058776E-3</v>
      </c>
      <c r="FS36">
        <v>26</v>
      </c>
      <c r="FT36" s="147">
        <v>9873</v>
      </c>
      <c r="FU36" s="148">
        <v>8.8970000000000002</v>
      </c>
      <c r="FV36" s="148">
        <v>1.1921999999999999</v>
      </c>
      <c r="FW36" s="148">
        <v>0.45419999999999999</v>
      </c>
      <c r="FX36" s="150">
        <f t="shared" si="114"/>
        <v>0.37070833333333336</v>
      </c>
      <c r="FY36" s="131">
        <f t="shared" si="115"/>
        <v>37.235799999999998</v>
      </c>
      <c r="FZ36">
        <f t="shared" si="63"/>
        <v>2.0500000000000185E-2</v>
      </c>
      <c r="GC36">
        <v>26</v>
      </c>
      <c r="GD36" s="151">
        <v>9873</v>
      </c>
      <c r="GE36" s="151">
        <v>8.9476999999999993</v>
      </c>
      <c r="GF36" s="151">
        <v>1.1990000000000001</v>
      </c>
      <c r="GG36" s="151">
        <v>0.45679999999999998</v>
      </c>
      <c r="GH36" s="153">
        <f t="shared" si="132"/>
        <v>0.37282083333333332</v>
      </c>
      <c r="GI36" s="131">
        <f t="shared" si="64"/>
        <v>37.233199999999997</v>
      </c>
      <c r="GJ36">
        <f t="shared" si="38"/>
        <v>5.0699999999999079E-2</v>
      </c>
      <c r="GM36">
        <v>26</v>
      </c>
      <c r="GN36" s="155">
        <v>9873</v>
      </c>
      <c r="GO36" s="155">
        <v>9.0549999999999997</v>
      </c>
      <c r="GP36" s="155">
        <v>1.2134</v>
      </c>
      <c r="GQ36" s="155">
        <v>0.46229999999999999</v>
      </c>
      <c r="GR36" s="58">
        <f t="shared" si="65"/>
        <v>0.37729166666666664</v>
      </c>
      <c r="GS36" s="131">
        <f t="shared" si="66"/>
        <v>37.227699999999999</v>
      </c>
      <c r="GT36">
        <f t="shared" si="39"/>
        <v>0.1073000000000004</v>
      </c>
      <c r="GW36">
        <v>26</v>
      </c>
      <c r="GX36" s="157">
        <v>9873</v>
      </c>
      <c r="GY36" s="161">
        <f>VLOOKUP(GX36,Sheet3!$AJ$7:$AN$83,2,0)</f>
        <v>9.1912000000000003</v>
      </c>
      <c r="GZ36" s="161">
        <f>VLOOKUP(GX36,Sheet3!$AJ$7:$AN$83,3,0)</f>
        <v>1.2317</v>
      </c>
      <c r="HA36" s="161">
        <f>VLOOKUP(GX36,Sheet3!$AJ$7:$AN$83,4,0)</f>
        <v>0.46929999999999999</v>
      </c>
      <c r="HB36" s="162">
        <f t="shared" si="17"/>
        <v>0.38296666666666668</v>
      </c>
      <c r="HC36" s="131">
        <f t="shared" si="116"/>
        <v>37.220700000000001</v>
      </c>
      <c r="HD36" s="159">
        <f t="shared" si="40"/>
        <v>0.13620000000000054</v>
      </c>
      <c r="HE36" s="159">
        <f t="shared" si="41"/>
        <v>7.0000000000000062E-3</v>
      </c>
      <c r="HG36" s="159"/>
      <c r="HH36" s="159">
        <v>26</v>
      </c>
      <c r="HI36" s="158">
        <v>9873</v>
      </c>
      <c r="HJ36" s="161">
        <v>9.2462</v>
      </c>
      <c r="HK36" s="161">
        <v>1.2390000000000001</v>
      </c>
      <c r="HL36" s="161">
        <v>0.47210000000000002</v>
      </c>
      <c r="HM36" s="162">
        <f t="shared" si="18"/>
        <v>0.38525833333333331</v>
      </c>
      <c r="HN36" s="131">
        <f t="shared" si="67"/>
        <v>37.2179</v>
      </c>
      <c r="HO36" s="159">
        <f t="shared" si="68"/>
        <v>5.4999999999999716E-2</v>
      </c>
      <c r="HQ36" s="183"/>
      <c r="HR36" s="183">
        <v>26</v>
      </c>
      <c r="HS36" s="178">
        <v>9873</v>
      </c>
      <c r="HT36" s="184">
        <v>9.282</v>
      </c>
      <c r="HU36" s="184">
        <v>1.2438</v>
      </c>
      <c r="HV36" s="184">
        <v>0.47389999999999999</v>
      </c>
      <c r="HW36" s="171">
        <f t="shared" si="19"/>
        <v>0.38674999999999998</v>
      </c>
      <c r="HX36" s="53">
        <f t="shared" si="69"/>
        <v>37.216099999999997</v>
      </c>
      <c r="HY36" s="183">
        <f t="shared" si="70"/>
        <v>3.5800000000000054E-2</v>
      </c>
      <c r="IA36" s="194"/>
      <c r="IB36" s="194">
        <v>26</v>
      </c>
      <c r="IC36" s="193">
        <v>9873</v>
      </c>
      <c r="ID36" s="161">
        <v>9.2974999999999994</v>
      </c>
      <c r="IE36" s="184">
        <v>1.2459</v>
      </c>
      <c r="IF36" s="184">
        <v>0.47470000000000001</v>
      </c>
      <c r="IG36" s="171">
        <f t="shared" si="71"/>
        <v>0.38739583333333333</v>
      </c>
      <c r="IH36" s="53">
        <f t="shared" si="72"/>
        <v>37.215299999999999</v>
      </c>
      <c r="II36" s="194">
        <f t="shared" si="73"/>
        <v>1.5499999999999403E-2</v>
      </c>
      <c r="IL36" s="199">
        <v>26</v>
      </c>
      <c r="IM36" s="197">
        <v>9873</v>
      </c>
      <c r="IN36" s="161">
        <v>9.3790999999999993</v>
      </c>
      <c r="IO36" s="184">
        <v>1.2567999999999999</v>
      </c>
      <c r="IP36" s="184">
        <v>0.47889999999999999</v>
      </c>
      <c r="IQ36" s="171">
        <f t="shared" si="74"/>
        <v>0.39079583333333329</v>
      </c>
      <c r="IR36" s="53">
        <f t="shared" si="75"/>
        <v>37.211099999999995</v>
      </c>
      <c r="IS36" s="199">
        <f t="shared" si="76"/>
        <v>8.1599999999999895E-2</v>
      </c>
      <c r="IU36" s="202"/>
      <c r="IV36" s="202">
        <v>26</v>
      </c>
      <c r="IW36" s="201">
        <v>9873</v>
      </c>
      <c r="IX36" s="184">
        <v>9.4893000000000001</v>
      </c>
      <c r="IY36" s="184">
        <v>1.2716000000000001</v>
      </c>
      <c r="IZ36" s="184">
        <v>0.48449999999999999</v>
      </c>
      <c r="JA36" s="162">
        <f t="shared" si="22"/>
        <v>0.3953875</v>
      </c>
      <c r="JB36" s="53">
        <f t="shared" si="77"/>
        <v>37.205500000000001</v>
      </c>
      <c r="JC36" s="202">
        <f t="shared" si="78"/>
        <v>0.11020000000000074</v>
      </c>
      <c r="JE36" s="204"/>
      <c r="JF36" s="204">
        <v>26</v>
      </c>
      <c r="JG36" s="203">
        <v>9873</v>
      </c>
      <c r="JH36" s="161">
        <v>9.5243000000000002</v>
      </c>
      <c r="JI36" s="184">
        <v>1.2763</v>
      </c>
      <c r="JJ36" s="184">
        <v>0.48630000000000001</v>
      </c>
      <c r="JK36" s="162">
        <f t="shared" si="79"/>
        <v>0.39684583333333334</v>
      </c>
      <c r="JL36" s="53">
        <f t="shared" si="80"/>
        <v>37.203699999999998</v>
      </c>
      <c r="JM36" s="204">
        <f t="shared" si="117"/>
        <v>3.5000000000000142E-2</v>
      </c>
      <c r="JN36" s="204"/>
      <c r="JP36" s="209">
        <v>26</v>
      </c>
      <c r="JQ36" s="205">
        <v>9873</v>
      </c>
      <c r="JR36" s="161">
        <v>9.5525000000000002</v>
      </c>
      <c r="JS36" s="184">
        <v>1.2801</v>
      </c>
      <c r="JT36" s="184">
        <v>0.48770000000000002</v>
      </c>
      <c r="JU36" s="162">
        <f t="shared" si="81"/>
        <v>0.39802083333333332</v>
      </c>
      <c r="JV36" s="53">
        <f t="shared" si="82"/>
        <v>37.202300000000001</v>
      </c>
      <c r="JW36" s="209">
        <f t="shared" si="118"/>
        <v>2.8200000000000003E-2</v>
      </c>
      <c r="JX36" s="213"/>
      <c r="JY36" s="213"/>
      <c r="JZ36" s="213">
        <v>26</v>
      </c>
      <c r="KA36" s="206">
        <v>9873</v>
      </c>
      <c r="KB36" s="184">
        <v>9.6184999999999992</v>
      </c>
      <c r="KC36" s="184">
        <v>1.2888999999999999</v>
      </c>
      <c r="KD36" s="184">
        <v>0.49109999999999998</v>
      </c>
      <c r="KE36" s="162">
        <f t="shared" si="83"/>
        <v>0.4007708333333333</v>
      </c>
      <c r="KF36" s="53">
        <f t="shared" si="84"/>
        <v>37.198899999999995</v>
      </c>
      <c r="KG36" s="213">
        <f t="shared" si="119"/>
        <v>6.5999999999998948E-2</v>
      </c>
      <c r="KI36" s="219"/>
      <c r="KJ36" s="219">
        <v>26</v>
      </c>
      <c r="KK36" s="214">
        <v>9873</v>
      </c>
      <c r="KL36" s="161">
        <v>9.6404999999999994</v>
      </c>
      <c r="KM36" s="161">
        <v>1.2919</v>
      </c>
      <c r="KN36" s="161">
        <v>0.49220000000000003</v>
      </c>
      <c r="KO36" s="162">
        <f t="shared" si="24"/>
        <v>0.40168749999999998</v>
      </c>
      <c r="KP36" s="53">
        <f t="shared" si="85"/>
        <v>37.197800000000001</v>
      </c>
      <c r="KQ36" s="219">
        <f t="shared" si="120"/>
        <v>2.2000000000000242E-2</v>
      </c>
      <c r="KT36" s="223">
        <v>26</v>
      </c>
      <c r="KU36" s="216">
        <v>9873</v>
      </c>
      <c r="KV36" s="161">
        <v>9.6637000000000004</v>
      </c>
      <c r="KW36" s="161">
        <v>1.2949999999999999</v>
      </c>
      <c r="KX36" s="161">
        <v>0.49340000000000001</v>
      </c>
      <c r="KY36" s="162">
        <f t="shared" si="86"/>
        <v>0.4026541666666667</v>
      </c>
      <c r="KZ36" s="53">
        <f t="shared" si="87"/>
        <v>37.196599999999997</v>
      </c>
      <c r="LA36" s="223">
        <f t="shared" si="121"/>
        <v>2.3200000000000998E-2</v>
      </c>
      <c r="LD36" s="228">
        <v>26</v>
      </c>
      <c r="LE36" s="221">
        <v>9873</v>
      </c>
      <c r="LF36" s="161">
        <v>9.6830999999999996</v>
      </c>
      <c r="LG36" s="161">
        <v>1.2976000000000001</v>
      </c>
      <c r="LH36" s="161">
        <v>0.49440000000000001</v>
      </c>
      <c r="LI36" s="162">
        <f t="shared" si="88"/>
        <v>0.4034625</v>
      </c>
      <c r="LJ36" s="53">
        <f t="shared" si="89"/>
        <v>37.195599999999999</v>
      </c>
      <c r="LK36" s="228">
        <f t="shared" si="122"/>
        <v>1.9399999999999196E-2</v>
      </c>
      <c r="LL36" s="231"/>
      <c r="LM36" s="231"/>
      <c r="LN36" s="231">
        <v>26</v>
      </c>
      <c r="LO36" s="226">
        <v>9873</v>
      </c>
      <c r="LP36" s="184">
        <v>9.7103000000000002</v>
      </c>
      <c r="LQ36" s="184">
        <v>1.3011999999999999</v>
      </c>
      <c r="LR36" s="184">
        <v>0.49580000000000002</v>
      </c>
      <c r="LS36" s="162">
        <f t="shared" si="90"/>
        <v>0.40459583333333332</v>
      </c>
      <c r="LT36" s="53">
        <f t="shared" si="91"/>
        <v>37.194199999999995</v>
      </c>
      <c r="LU36" s="231">
        <f t="shared" si="123"/>
        <v>2.7200000000000557E-2</v>
      </c>
      <c r="LW36" s="231"/>
      <c r="LX36" s="231">
        <v>26</v>
      </c>
      <c r="LY36" s="234">
        <v>9873</v>
      </c>
      <c r="LZ36" s="184">
        <v>9.7408999999999999</v>
      </c>
      <c r="MA36" s="184">
        <v>1.3052999999999999</v>
      </c>
      <c r="MB36" s="184">
        <v>0.49730000000000002</v>
      </c>
      <c r="MC36" s="162">
        <f t="shared" si="92"/>
        <v>0.40587083333333335</v>
      </c>
      <c r="MD36" s="53">
        <f t="shared" si="93"/>
        <v>37.192699999999995</v>
      </c>
      <c r="ME36" s="231">
        <f t="shared" si="124"/>
        <v>3.0599999999999739E-2</v>
      </c>
      <c r="MF36" s="231"/>
      <c r="MG36" s="231"/>
      <c r="MH36" s="231">
        <v>26</v>
      </c>
      <c r="MI36" s="236">
        <v>9873</v>
      </c>
      <c r="MJ36" s="184">
        <v>9.7710000000000008</v>
      </c>
      <c r="MK36" s="184">
        <v>1.3093999999999999</v>
      </c>
      <c r="ML36" s="184">
        <v>0.49890000000000001</v>
      </c>
      <c r="MM36" s="162">
        <f t="shared" si="94"/>
        <v>0.40712500000000001</v>
      </c>
      <c r="MN36" s="53">
        <f t="shared" si="95"/>
        <v>37.191099999999999</v>
      </c>
      <c r="MO36" s="231">
        <f t="shared" si="125"/>
        <v>3.0100000000000904E-2</v>
      </c>
      <c r="MP36" s="231"/>
      <c r="MQ36" s="231"/>
      <c r="MR36" s="231">
        <v>26</v>
      </c>
      <c r="MS36" s="34">
        <v>9873</v>
      </c>
      <c r="MT36" s="184">
        <v>9.8285</v>
      </c>
      <c r="MU36" s="184">
        <v>1.3170999999999999</v>
      </c>
      <c r="MV36" s="184">
        <v>0.50180000000000002</v>
      </c>
      <c r="MW36" s="162">
        <f t="shared" si="96"/>
        <v>0.40952083333333333</v>
      </c>
      <c r="MX36" s="53">
        <f t="shared" si="97"/>
        <v>37.188199999999995</v>
      </c>
      <c r="MY36" s="231">
        <f t="shared" si="126"/>
        <v>5.7499999999999218E-2</v>
      </c>
      <c r="MZ36" s="246"/>
      <c r="NA36" s="246"/>
      <c r="NB36" s="246">
        <v>26</v>
      </c>
      <c r="NC36" s="34">
        <v>9873</v>
      </c>
      <c r="ND36" s="184">
        <v>9.8872999999999998</v>
      </c>
      <c r="NE36" s="184">
        <v>1.3249</v>
      </c>
      <c r="NF36" s="184">
        <v>0.50480000000000003</v>
      </c>
      <c r="NG36" s="162">
        <f t="shared" si="98"/>
        <v>0.41197083333333334</v>
      </c>
      <c r="NH36" s="53">
        <f t="shared" si="99"/>
        <v>37.185199999999995</v>
      </c>
      <c r="NI36" s="232">
        <f t="shared" si="127"/>
        <v>5.8799999999999741E-2</v>
      </c>
      <c r="NK36" s="250"/>
      <c r="NL36" s="250">
        <v>26</v>
      </c>
      <c r="NM36" s="34">
        <v>9873</v>
      </c>
      <c r="NN36" s="184">
        <v>9.9046000000000003</v>
      </c>
      <c r="NO36" s="184">
        <v>1.3272999999999999</v>
      </c>
      <c r="NP36" s="184">
        <v>0.50570000000000004</v>
      </c>
      <c r="NQ36" s="162">
        <f t="shared" si="133"/>
        <v>0.41269166666666668</v>
      </c>
      <c r="NR36" s="53">
        <f t="shared" si="101"/>
        <v>37.1843</v>
      </c>
      <c r="NS36" s="232">
        <f t="shared" si="128"/>
        <v>1.7300000000000537E-2</v>
      </c>
      <c r="NU36" s="250"/>
      <c r="NV36" s="250">
        <v>26</v>
      </c>
      <c r="NW36" s="34">
        <v>9873</v>
      </c>
      <c r="NX36" s="184">
        <v>9.9320000000000004</v>
      </c>
      <c r="NY36" s="184">
        <v>1.3309</v>
      </c>
      <c r="NZ36" s="184">
        <v>0.5071</v>
      </c>
      <c r="OA36" s="162">
        <f t="shared" si="134"/>
        <v>0.41383333333333333</v>
      </c>
      <c r="OB36" s="53">
        <f t="shared" si="103"/>
        <v>37.182899999999997</v>
      </c>
      <c r="OC36" s="232">
        <f t="shared" si="129"/>
        <v>2.7400000000000091E-2</v>
      </c>
      <c r="OE36" s="250"/>
      <c r="OF36" s="250">
        <v>26</v>
      </c>
      <c r="OG36" s="34">
        <v>9873</v>
      </c>
      <c r="OH36" s="184">
        <v>9.9458000000000002</v>
      </c>
      <c r="OI36" s="184">
        <v>1.3328</v>
      </c>
      <c r="OJ36" s="184">
        <v>0.50780000000000003</v>
      </c>
      <c r="OK36" s="162">
        <f t="shared" si="135"/>
        <v>0.41440833333333332</v>
      </c>
      <c r="OL36" s="53">
        <f t="shared" si="105"/>
        <v>37.182199999999995</v>
      </c>
      <c r="OM36" s="232">
        <f t="shared" si="130"/>
        <v>1.3799999999999812E-2</v>
      </c>
      <c r="OP36" s="250">
        <v>26</v>
      </c>
      <c r="OQ36" s="34">
        <v>9873</v>
      </c>
      <c r="OR36" s="184">
        <f>VLOOKUP(OQ36,Sheet4!A17:F93,3,0)</f>
        <v>9.9773999999999994</v>
      </c>
      <c r="OS36" s="184">
        <f>VLOOKUP(OQ36,Sheet4!A17:F93,4,0)</f>
        <v>1.337</v>
      </c>
      <c r="OT36" s="184">
        <f>VLOOKUP(OQ36,Sheet4!A17:F93,5,0)</f>
        <v>0.50939999999999996</v>
      </c>
      <c r="OU36" s="162">
        <f t="shared" si="106"/>
        <v>0.41572499999999996</v>
      </c>
      <c r="OV36" s="53">
        <f t="shared" si="107"/>
        <v>37.180599999999998</v>
      </c>
      <c r="OW36" s="232">
        <f t="shared" si="131"/>
        <v>3.1599999999999184E-2</v>
      </c>
    </row>
    <row r="37" spans="1:413" ht="15.75" x14ac:dyDescent="0.25">
      <c r="A37">
        <v>29</v>
      </c>
      <c r="B37" s="1">
        <v>9984</v>
      </c>
      <c r="C37" s="1" t="s">
        <v>1</v>
      </c>
      <c r="D37" s="2">
        <v>37.92</v>
      </c>
      <c r="E37" s="8"/>
      <c r="F37" s="8"/>
      <c r="G37" s="8"/>
      <c r="H37" s="8"/>
      <c r="J37" s="15">
        <v>9984</v>
      </c>
      <c r="K37" s="15">
        <v>8.6685999999999996</v>
      </c>
      <c r="L37" s="15">
        <v>1.1616</v>
      </c>
      <c r="M37" s="15">
        <v>0.44259999999999999</v>
      </c>
      <c r="N37" s="24">
        <f t="shared" si="42"/>
        <v>0.36119166666666663</v>
      </c>
      <c r="O37" s="10">
        <f t="shared" si="36"/>
        <v>37.477400000000003</v>
      </c>
      <c r="P37" s="18"/>
      <c r="R37" s="20">
        <v>9984</v>
      </c>
      <c r="S37" s="9">
        <v>8.7386999999999997</v>
      </c>
      <c r="T37" s="9">
        <v>1.171</v>
      </c>
      <c r="U37" s="9">
        <v>0.44619999999999999</v>
      </c>
      <c r="V37" s="24">
        <f t="shared" si="43"/>
        <v>0.36411250000000001</v>
      </c>
      <c r="W37" s="10">
        <f t="shared" si="44"/>
        <v>37.473800000000004</v>
      </c>
      <c r="X37" s="18"/>
      <c r="Z37" s="27">
        <v>9984</v>
      </c>
      <c r="AA37" s="9">
        <v>8.9110999999999994</v>
      </c>
      <c r="AB37" s="9">
        <v>1.1940999999999999</v>
      </c>
      <c r="AC37" s="9">
        <v>0.45500000000000002</v>
      </c>
      <c r="AD37" s="24">
        <f t="shared" si="45"/>
        <v>0.37129583333333332</v>
      </c>
      <c r="AE37" s="10">
        <f t="shared" si="46"/>
        <v>37.465000000000003</v>
      </c>
      <c r="AF37" s="79"/>
      <c r="AG37">
        <v>29</v>
      </c>
      <c r="AH37" s="1">
        <v>9984</v>
      </c>
      <c r="AI37" s="1" t="s">
        <v>1</v>
      </c>
      <c r="AJ37" s="2">
        <v>37.92</v>
      </c>
      <c r="AL37" s="32">
        <v>9984</v>
      </c>
      <c r="AM37" s="9">
        <v>9.0986999999999991</v>
      </c>
      <c r="AN37" s="9">
        <v>1.2193000000000001</v>
      </c>
      <c r="AO37" s="9">
        <v>0.46450000000000002</v>
      </c>
      <c r="AP37" s="37">
        <f t="shared" si="0"/>
        <v>0.37911249999999996</v>
      </c>
      <c r="AQ37" s="53">
        <f t="shared" si="108"/>
        <v>37.455500000000001</v>
      </c>
      <c r="AT37" s="39"/>
      <c r="AU37" s="38">
        <v>9984</v>
      </c>
      <c r="AV37" s="9">
        <v>9.1784999999999997</v>
      </c>
      <c r="AW37" s="43">
        <v>1.23</v>
      </c>
      <c r="AX37" s="43">
        <v>0.46860000000000002</v>
      </c>
      <c r="AY37" s="47">
        <f t="shared" si="47"/>
        <v>0.38243749999999999</v>
      </c>
      <c r="AZ37" s="56">
        <f t="shared" si="109"/>
        <v>37.4514</v>
      </c>
      <c r="BD37" s="54">
        <v>9984</v>
      </c>
      <c r="BE37" s="53">
        <v>9.1875</v>
      </c>
      <c r="BF37" s="58">
        <v>1.2312000000000001</v>
      </c>
      <c r="BG37" s="58">
        <v>0.46910000000000002</v>
      </c>
      <c r="BH37" s="47">
        <f t="shared" si="48"/>
        <v>0.3828125</v>
      </c>
      <c r="BI37" s="56">
        <f t="shared" si="49"/>
        <v>37.450900000000004</v>
      </c>
      <c r="BJ37" s="88"/>
      <c r="BK37" s="88"/>
      <c r="BL37" s="88"/>
      <c r="BN37" s="9">
        <v>9984</v>
      </c>
      <c r="BO37" s="53">
        <v>9.2211999999999996</v>
      </c>
      <c r="BP37" s="53">
        <v>1.2357</v>
      </c>
      <c r="BQ37" s="53">
        <v>0.4708</v>
      </c>
      <c r="BR37" s="53">
        <f t="shared" si="50"/>
        <v>0.38421666666666665</v>
      </c>
      <c r="BS37" s="53">
        <f t="shared" si="51"/>
        <v>37.449200000000005</v>
      </c>
      <c r="BV37" s="88"/>
      <c r="BX37" s="93">
        <v>9984</v>
      </c>
      <c r="BY37" s="9">
        <v>9.2874999999999996</v>
      </c>
      <c r="BZ37" s="9">
        <v>1.2445999999999999</v>
      </c>
      <c r="CA37" s="9">
        <v>0.47420000000000001</v>
      </c>
      <c r="CB37" s="58">
        <f t="shared" si="52"/>
        <v>0.38697916666666665</v>
      </c>
      <c r="CC37" s="53">
        <f t="shared" si="110"/>
        <v>37.445799999999998</v>
      </c>
      <c r="CF37" s="88"/>
      <c r="CG37">
        <v>27</v>
      </c>
      <c r="CH37" s="93">
        <v>9984</v>
      </c>
      <c r="CI37" s="93">
        <v>9.3445</v>
      </c>
      <c r="CJ37" s="9">
        <v>1.2522</v>
      </c>
      <c r="CK37" s="9">
        <v>0.47710000000000002</v>
      </c>
      <c r="CL37" s="47">
        <f t="shared" si="5"/>
        <v>0.38935416666666667</v>
      </c>
      <c r="CM37" s="53">
        <f t="shared" si="53"/>
        <v>37.442900000000002</v>
      </c>
      <c r="CQ37">
        <v>27</v>
      </c>
      <c r="CR37" s="98">
        <v>9984</v>
      </c>
      <c r="CS37" s="101">
        <v>9.4161999999999999</v>
      </c>
      <c r="CT37" s="101">
        <v>1.2618</v>
      </c>
      <c r="CU37" s="101">
        <v>0.48070000000000002</v>
      </c>
      <c r="CV37" s="47">
        <f t="shared" si="6"/>
        <v>0.39234166666666664</v>
      </c>
      <c r="CW37" s="53">
        <f t="shared" si="37"/>
        <v>37.439300000000003</v>
      </c>
      <c r="DA37">
        <v>27</v>
      </c>
      <c r="DB37" s="106">
        <v>9984</v>
      </c>
      <c r="DC37" s="107">
        <v>9.4231999999999996</v>
      </c>
      <c r="DD37" s="107">
        <v>1.2626999999999999</v>
      </c>
      <c r="DE37" s="107">
        <v>0.48110000000000003</v>
      </c>
      <c r="DF37" s="47">
        <f t="shared" si="136"/>
        <v>0.39263333333333333</v>
      </c>
      <c r="DG37" s="53">
        <f t="shared" si="111"/>
        <v>37.438900000000004</v>
      </c>
      <c r="DK37">
        <v>27</v>
      </c>
      <c r="DL37" s="110">
        <v>9984</v>
      </c>
      <c r="DM37" s="53">
        <v>9.5050000000000008</v>
      </c>
      <c r="DN37" s="53">
        <v>1.2737000000000001</v>
      </c>
      <c r="DO37" s="53">
        <v>0.48530000000000001</v>
      </c>
      <c r="DP37" s="47">
        <f t="shared" si="137"/>
        <v>0.39604166666666668</v>
      </c>
      <c r="DQ37" s="53">
        <f t="shared" si="54"/>
        <v>37.434699999999999</v>
      </c>
      <c r="DS37" s="3">
        <f t="shared" si="55"/>
        <v>8.1800000000001205E-2</v>
      </c>
      <c r="DU37">
        <v>27</v>
      </c>
      <c r="DV37" s="115">
        <v>9984</v>
      </c>
      <c r="DW37" s="9">
        <v>9.5559999999999992</v>
      </c>
      <c r="DX37" s="9">
        <v>1.2805</v>
      </c>
      <c r="DY37" s="9">
        <v>0.4879</v>
      </c>
      <c r="DZ37" s="47">
        <f t="shared" si="138"/>
        <v>0.39816666666666661</v>
      </c>
      <c r="EA37" s="53">
        <f t="shared" si="112"/>
        <v>37.432099999999998</v>
      </c>
      <c r="EB37" s="3"/>
      <c r="EE37">
        <v>27</v>
      </c>
      <c r="EF37" s="118">
        <v>9984</v>
      </c>
      <c r="EG37" s="9">
        <v>9.6356999999999999</v>
      </c>
      <c r="EH37" s="9">
        <v>1.2911999999999999</v>
      </c>
      <c r="EI37" s="9">
        <v>0.49199999999999999</v>
      </c>
      <c r="EJ37" s="47">
        <f t="shared" si="10"/>
        <v>0.4014875</v>
      </c>
      <c r="EK37" s="53">
        <f t="shared" si="56"/>
        <v>37.428000000000004</v>
      </c>
      <c r="EM37" s="3">
        <f t="shared" si="57"/>
        <v>-4.0999999999939973E-3</v>
      </c>
      <c r="EN37" s="3"/>
      <c r="EO37">
        <v>27</v>
      </c>
      <c r="EP37" s="121">
        <v>9984</v>
      </c>
      <c r="EQ37" s="122">
        <v>9.7941000000000003</v>
      </c>
      <c r="ER37" s="122">
        <v>1.3124</v>
      </c>
      <c r="ES37" s="129">
        <v>0.5</v>
      </c>
      <c r="ET37" s="130">
        <f t="shared" si="11"/>
        <v>0.40808749999999999</v>
      </c>
      <c r="EU37" s="131">
        <f t="shared" si="58"/>
        <v>37.42</v>
      </c>
      <c r="EX37" s="3"/>
      <c r="EY37">
        <v>27</v>
      </c>
      <c r="EZ37" s="135">
        <v>9984</v>
      </c>
      <c r="FA37" s="135">
        <v>9.8688000000000002</v>
      </c>
      <c r="FB37" s="135">
        <v>1.3225</v>
      </c>
      <c r="FC37" s="135">
        <v>0.50390000000000001</v>
      </c>
      <c r="FD37" s="136">
        <f t="shared" si="12"/>
        <v>0.41120000000000001</v>
      </c>
      <c r="FE37" s="131">
        <f t="shared" si="59"/>
        <v>37.4161</v>
      </c>
      <c r="FG37" s="123">
        <f t="shared" si="60"/>
        <v>-3.9000000000015689E-3</v>
      </c>
      <c r="FH37" s="3"/>
      <c r="FI37">
        <v>27</v>
      </c>
      <c r="FJ37" s="145">
        <v>9984</v>
      </c>
      <c r="FK37" s="9">
        <v>9.9682999999999993</v>
      </c>
      <c r="FL37" s="9">
        <v>1.3358000000000001</v>
      </c>
      <c r="FM37" s="9">
        <v>0.50890000000000002</v>
      </c>
      <c r="FN37" s="146">
        <f t="shared" si="113"/>
        <v>0.4153458333333333</v>
      </c>
      <c r="FO37" s="131">
        <f t="shared" si="61"/>
        <v>37.411100000000005</v>
      </c>
      <c r="FP37" s="123">
        <f t="shared" si="62"/>
        <v>-4.9999999999954525E-3</v>
      </c>
      <c r="FS37">
        <v>27</v>
      </c>
      <c r="FT37" s="147">
        <v>9984</v>
      </c>
      <c r="FU37" s="148">
        <v>9.9887999999999995</v>
      </c>
      <c r="FV37" s="148">
        <v>1.3385</v>
      </c>
      <c r="FW37" s="148">
        <v>0.51</v>
      </c>
      <c r="FX37" s="150">
        <f t="shared" si="114"/>
        <v>0.41619999999999996</v>
      </c>
      <c r="FY37" s="131">
        <f t="shared" si="115"/>
        <v>37.410000000000004</v>
      </c>
      <c r="FZ37">
        <f t="shared" si="63"/>
        <v>2.0500000000000185E-2</v>
      </c>
      <c r="GC37">
        <v>27</v>
      </c>
      <c r="GD37" s="151">
        <v>9984</v>
      </c>
      <c r="GE37" s="151">
        <v>10.0395</v>
      </c>
      <c r="GF37" s="151">
        <v>1.3452999999999999</v>
      </c>
      <c r="GG37" s="151">
        <v>0.51259999999999994</v>
      </c>
      <c r="GH37" s="153">
        <f t="shared" si="132"/>
        <v>0.41831250000000003</v>
      </c>
      <c r="GI37" s="131">
        <f t="shared" si="64"/>
        <v>37.407400000000003</v>
      </c>
      <c r="GJ37">
        <f t="shared" si="38"/>
        <v>5.0700000000000855E-2</v>
      </c>
      <c r="GM37">
        <v>27</v>
      </c>
      <c r="GN37" s="155">
        <v>9984</v>
      </c>
      <c r="GO37" s="155">
        <v>10.146800000000001</v>
      </c>
      <c r="GP37" s="155">
        <v>1.3596999999999999</v>
      </c>
      <c r="GQ37" s="155">
        <v>0.51800000000000002</v>
      </c>
      <c r="GR37" s="58">
        <f t="shared" si="65"/>
        <v>0.42278333333333334</v>
      </c>
      <c r="GS37" s="131">
        <f t="shared" si="66"/>
        <v>37.402000000000001</v>
      </c>
      <c r="GT37">
        <f t="shared" si="39"/>
        <v>0.1073000000000004</v>
      </c>
      <c r="GW37">
        <v>27</v>
      </c>
      <c r="GX37" s="157">
        <v>9984</v>
      </c>
      <c r="GY37" s="161">
        <f>VLOOKUP(GX37,Sheet3!$AJ$7:$AN$83,2,0)</f>
        <v>10.282999999999999</v>
      </c>
      <c r="GZ37" s="161">
        <f>VLOOKUP(GX37,Sheet3!$AJ$7:$AN$83,3,0)</f>
        <v>1.3779999999999999</v>
      </c>
      <c r="HA37" s="161">
        <f>VLOOKUP(GX37,Sheet3!$AJ$7:$AN$83,4,0)</f>
        <v>0.52500000000000002</v>
      </c>
      <c r="HB37" s="162">
        <f t="shared" si="17"/>
        <v>0.42845833333333333</v>
      </c>
      <c r="HC37" s="131">
        <f t="shared" si="116"/>
        <v>37.395000000000003</v>
      </c>
      <c r="HD37" s="159">
        <f t="shared" si="40"/>
        <v>0.13619999999999877</v>
      </c>
      <c r="HE37" s="159">
        <f t="shared" si="41"/>
        <v>7.0000000000000062E-3</v>
      </c>
      <c r="HG37" s="159"/>
      <c r="HH37" s="159">
        <v>27</v>
      </c>
      <c r="HI37" s="158">
        <v>9984</v>
      </c>
      <c r="HJ37" s="161">
        <v>10.337999999999999</v>
      </c>
      <c r="HK37" s="161">
        <v>1.3853</v>
      </c>
      <c r="HL37" s="161">
        <v>0.52780000000000005</v>
      </c>
      <c r="HM37" s="162">
        <f t="shared" si="18"/>
        <v>0.43074999999999997</v>
      </c>
      <c r="HN37" s="131">
        <f t="shared" si="67"/>
        <v>37.392200000000003</v>
      </c>
      <c r="HO37" s="159">
        <f t="shared" si="68"/>
        <v>5.4999999999999716E-2</v>
      </c>
      <c r="HQ37" s="183"/>
      <c r="HR37" s="183">
        <v>27</v>
      </c>
      <c r="HS37" s="178">
        <v>9984</v>
      </c>
      <c r="HT37" s="184">
        <v>10.373799999999999</v>
      </c>
      <c r="HU37" s="184">
        <v>1.3900999999999999</v>
      </c>
      <c r="HV37" s="184">
        <v>0.52959999999999996</v>
      </c>
      <c r="HW37" s="171">
        <f t="shared" si="19"/>
        <v>0.43224166666666664</v>
      </c>
      <c r="HX37" s="53">
        <f t="shared" si="69"/>
        <v>37.3904</v>
      </c>
      <c r="HY37" s="183">
        <f t="shared" si="70"/>
        <v>3.5800000000000054E-2</v>
      </c>
      <c r="IA37" s="194"/>
      <c r="IB37" s="194">
        <v>27</v>
      </c>
      <c r="IC37" s="193">
        <v>9984</v>
      </c>
      <c r="ID37" s="161">
        <v>10.3893</v>
      </c>
      <c r="IE37" s="184">
        <v>1.3922000000000001</v>
      </c>
      <c r="IF37" s="184">
        <v>0.53039999999999998</v>
      </c>
      <c r="IG37" s="171">
        <f t="shared" si="71"/>
        <v>0.43288750000000004</v>
      </c>
      <c r="IH37" s="53">
        <f t="shared" si="72"/>
        <v>37.389600000000002</v>
      </c>
      <c r="II37" s="194">
        <f t="shared" si="73"/>
        <v>1.550000000000118E-2</v>
      </c>
      <c r="IL37" s="199">
        <v>27</v>
      </c>
      <c r="IM37" s="197">
        <v>9984</v>
      </c>
      <c r="IN37" s="161">
        <v>10.4709</v>
      </c>
      <c r="IO37" s="184">
        <v>1.4031</v>
      </c>
      <c r="IP37" s="184">
        <v>0.53459999999999996</v>
      </c>
      <c r="IQ37" s="171">
        <f t="shared" si="74"/>
        <v>0.43628749999999999</v>
      </c>
      <c r="IR37" s="53">
        <f t="shared" si="75"/>
        <v>37.385400000000004</v>
      </c>
      <c r="IS37" s="199">
        <f t="shared" si="76"/>
        <v>8.1599999999999895E-2</v>
      </c>
      <c r="IU37" s="202"/>
      <c r="IV37" s="202">
        <v>27</v>
      </c>
      <c r="IW37" s="201">
        <v>9984</v>
      </c>
      <c r="IX37" s="184">
        <v>10.581099999999999</v>
      </c>
      <c r="IY37" s="184">
        <v>1.4178999999999999</v>
      </c>
      <c r="IZ37" s="184">
        <v>0.54020000000000001</v>
      </c>
      <c r="JA37" s="162">
        <f t="shared" si="22"/>
        <v>0.44087916666666666</v>
      </c>
      <c r="JB37" s="53">
        <f t="shared" si="77"/>
        <v>37.379800000000003</v>
      </c>
      <c r="JC37" s="202">
        <f t="shared" si="78"/>
        <v>0.11019999999999897</v>
      </c>
      <c r="JE37" s="204"/>
      <c r="JF37" s="204">
        <v>27</v>
      </c>
      <c r="JG37" s="203">
        <v>9984</v>
      </c>
      <c r="JH37" s="161">
        <v>10.616099999999999</v>
      </c>
      <c r="JI37" s="184">
        <v>1.4226000000000001</v>
      </c>
      <c r="JJ37" s="184">
        <v>0.54200000000000004</v>
      </c>
      <c r="JK37" s="162">
        <f t="shared" si="79"/>
        <v>0.44233749999999999</v>
      </c>
      <c r="JL37" s="53">
        <f t="shared" si="80"/>
        <v>37.378</v>
      </c>
      <c r="JM37" s="204">
        <f t="shared" si="117"/>
        <v>3.5000000000000142E-2</v>
      </c>
      <c r="JN37" s="204"/>
      <c r="JP37" s="209">
        <v>27</v>
      </c>
      <c r="JQ37" s="205">
        <v>9984</v>
      </c>
      <c r="JR37" s="161">
        <v>10.644299999999999</v>
      </c>
      <c r="JS37" s="184">
        <v>1.4263999999999999</v>
      </c>
      <c r="JT37" s="184">
        <v>0.54339999999999999</v>
      </c>
      <c r="JU37" s="162">
        <f t="shared" si="81"/>
        <v>0.44351249999999998</v>
      </c>
      <c r="JV37" s="53">
        <f t="shared" si="82"/>
        <v>37.376600000000003</v>
      </c>
      <c r="JW37" s="209">
        <f t="shared" si="118"/>
        <v>2.8200000000000003E-2</v>
      </c>
      <c r="JX37" s="213"/>
      <c r="JY37" s="213"/>
      <c r="JZ37" s="213">
        <v>27</v>
      </c>
      <c r="KA37" s="206">
        <v>9984</v>
      </c>
      <c r="KB37" s="184">
        <v>10.7103</v>
      </c>
      <c r="KC37" s="184">
        <v>1.4352</v>
      </c>
      <c r="KD37" s="184">
        <v>0.54679999999999995</v>
      </c>
      <c r="KE37" s="162">
        <f t="shared" si="83"/>
        <v>0.44626250000000001</v>
      </c>
      <c r="KF37" s="53">
        <f t="shared" si="84"/>
        <v>37.373200000000004</v>
      </c>
      <c r="KG37" s="213">
        <f t="shared" si="119"/>
        <v>6.6000000000000725E-2</v>
      </c>
      <c r="KI37" s="219"/>
      <c r="KJ37" s="219">
        <v>27</v>
      </c>
      <c r="KK37" s="214">
        <v>9984</v>
      </c>
      <c r="KL37" s="161">
        <v>10.7324</v>
      </c>
      <c r="KM37" s="161">
        <v>1.4381999999999999</v>
      </c>
      <c r="KN37" s="161">
        <v>0.54790000000000005</v>
      </c>
      <c r="KO37" s="162">
        <f t="shared" si="24"/>
        <v>0.44718333333333332</v>
      </c>
      <c r="KP37" s="53">
        <f t="shared" si="85"/>
        <v>37.372100000000003</v>
      </c>
      <c r="KQ37" s="218">
        <f t="shared" si="120"/>
        <v>2.2100000000000009E-2</v>
      </c>
      <c r="KT37" s="223">
        <v>27</v>
      </c>
      <c r="KU37" s="216">
        <v>9984</v>
      </c>
      <c r="KV37" s="161">
        <v>10.755599999999999</v>
      </c>
      <c r="KW37" s="161">
        <v>1.4413</v>
      </c>
      <c r="KX37" s="161">
        <v>0.54910000000000003</v>
      </c>
      <c r="KY37" s="162">
        <f t="shared" si="86"/>
        <v>0.44814999999999999</v>
      </c>
      <c r="KZ37" s="53">
        <f t="shared" si="87"/>
        <v>37.370899999999999</v>
      </c>
      <c r="LA37" s="224">
        <f t="shared" si="121"/>
        <v>2.3199999999999221E-2</v>
      </c>
      <c r="LD37" s="228">
        <v>27</v>
      </c>
      <c r="LE37" s="221">
        <v>9984</v>
      </c>
      <c r="LF37" s="161">
        <v>10.775</v>
      </c>
      <c r="LG37" s="161">
        <v>1.4439</v>
      </c>
      <c r="LH37" s="161">
        <v>0.55010000000000003</v>
      </c>
      <c r="LI37" s="162">
        <f t="shared" si="88"/>
        <v>0.44895833333333335</v>
      </c>
      <c r="LJ37" s="53">
        <f t="shared" si="89"/>
        <v>37.369900000000001</v>
      </c>
      <c r="LK37" s="229">
        <f t="shared" si="122"/>
        <v>1.9400000000000972E-2</v>
      </c>
      <c r="LL37" s="231"/>
      <c r="LM37" s="231"/>
      <c r="LN37" s="231">
        <v>27</v>
      </c>
      <c r="LO37" s="226">
        <v>9984</v>
      </c>
      <c r="LP37" s="184">
        <v>10.802199999999999</v>
      </c>
      <c r="LQ37" s="184">
        <v>1.4475</v>
      </c>
      <c r="LR37" s="184">
        <v>0.55149999999999999</v>
      </c>
      <c r="LS37" s="162">
        <f t="shared" si="90"/>
        <v>0.45009166666666661</v>
      </c>
      <c r="LT37" s="53">
        <f t="shared" si="91"/>
        <v>37.368500000000004</v>
      </c>
      <c r="LU37" s="232">
        <f t="shared" si="123"/>
        <v>2.7199999999998781E-2</v>
      </c>
      <c r="LW37" s="231"/>
      <c r="LX37" s="231">
        <v>27</v>
      </c>
      <c r="LY37" s="234">
        <v>9984</v>
      </c>
      <c r="LZ37" s="184">
        <v>10.832800000000001</v>
      </c>
      <c r="MA37" s="184">
        <v>1.4516</v>
      </c>
      <c r="MB37" s="184">
        <v>0.55310000000000004</v>
      </c>
      <c r="MC37" s="162">
        <f t="shared" si="92"/>
        <v>0.45136666666666669</v>
      </c>
      <c r="MD37" s="53">
        <f t="shared" si="93"/>
        <v>37.366900000000001</v>
      </c>
      <c r="ME37" s="232">
        <f t="shared" si="124"/>
        <v>3.0600000000001515E-2</v>
      </c>
      <c r="MF37" s="231"/>
      <c r="MG37" s="231"/>
      <c r="MH37" s="231">
        <v>27</v>
      </c>
      <c r="MI37" s="236">
        <v>9984</v>
      </c>
      <c r="MJ37" s="184">
        <v>10.8629</v>
      </c>
      <c r="MK37" s="184">
        <v>1.4557</v>
      </c>
      <c r="ML37" s="184">
        <v>0.55459999999999998</v>
      </c>
      <c r="MM37" s="162">
        <f t="shared" si="94"/>
        <v>0.45262083333333331</v>
      </c>
      <c r="MN37" s="53">
        <f t="shared" si="95"/>
        <v>37.365400000000001</v>
      </c>
      <c r="MO37" s="232">
        <f t="shared" si="125"/>
        <v>3.0099999999999127E-2</v>
      </c>
      <c r="MP37" s="231"/>
      <c r="MQ37" s="231"/>
      <c r="MR37" s="231">
        <v>27</v>
      </c>
      <c r="MS37" s="34">
        <v>9984</v>
      </c>
      <c r="MT37" s="184">
        <v>10.920400000000001</v>
      </c>
      <c r="MU37" s="184">
        <v>1.4634</v>
      </c>
      <c r="MV37" s="184">
        <v>0.5575</v>
      </c>
      <c r="MW37" s="162">
        <f t="shared" si="96"/>
        <v>0.45501666666666668</v>
      </c>
      <c r="MX37" s="53">
        <f t="shared" si="97"/>
        <v>37.362500000000004</v>
      </c>
      <c r="MY37" s="232">
        <f t="shared" si="126"/>
        <v>5.7500000000000995E-2</v>
      </c>
      <c r="MZ37" s="246"/>
      <c r="NA37" s="246"/>
      <c r="NB37" s="246">
        <v>27</v>
      </c>
      <c r="NC37" s="34">
        <v>9984</v>
      </c>
      <c r="ND37" s="184">
        <v>10.979200000000001</v>
      </c>
      <c r="NE37" s="184">
        <v>1.4713000000000001</v>
      </c>
      <c r="NF37" s="184">
        <v>0.5605</v>
      </c>
      <c r="NG37" s="162">
        <f t="shared" si="98"/>
        <v>0.45746666666666669</v>
      </c>
      <c r="NH37" s="53">
        <f t="shared" si="99"/>
        <v>37.359500000000004</v>
      </c>
      <c r="NI37" s="232">
        <f t="shared" si="127"/>
        <v>5.8799999999999741E-2</v>
      </c>
      <c r="NK37" s="250"/>
      <c r="NL37" s="250">
        <v>27</v>
      </c>
      <c r="NM37" s="34">
        <v>9984</v>
      </c>
      <c r="NN37" s="184">
        <v>10.996499999999999</v>
      </c>
      <c r="NO37" s="184">
        <v>1.4736</v>
      </c>
      <c r="NP37" s="184">
        <v>0.56140000000000001</v>
      </c>
      <c r="NQ37" s="162">
        <f t="shared" si="133"/>
        <v>0.45818749999999997</v>
      </c>
      <c r="NR37" s="53">
        <f t="shared" si="101"/>
        <v>37.358600000000003</v>
      </c>
      <c r="NS37" s="232">
        <f t="shared" si="128"/>
        <v>1.7299999999998761E-2</v>
      </c>
      <c r="NU37" s="250"/>
      <c r="NV37" s="250">
        <v>27</v>
      </c>
      <c r="NW37" s="34">
        <v>9984</v>
      </c>
      <c r="NX37" s="184">
        <v>11.023899999999999</v>
      </c>
      <c r="NY37" s="184">
        <v>1.4772000000000001</v>
      </c>
      <c r="NZ37" s="184">
        <v>0.56279999999999997</v>
      </c>
      <c r="OA37" s="162">
        <f t="shared" si="134"/>
        <v>0.45932916666666662</v>
      </c>
      <c r="OB37" s="53">
        <f t="shared" si="103"/>
        <v>37.357199999999999</v>
      </c>
      <c r="OC37" s="232">
        <f t="shared" si="129"/>
        <v>2.7400000000000091E-2</v>
      </c>
      <c r="OE37" s="250"/>
      <c r="OF37" s="250">
        <v>27</v>
      </c>
      <c r="OG37" s="34">
        <v>9984</v>
      </c>
      <c r="OH37" s="184">
        <v>11.037699999999999</v>
      </c>
      <c r="OI37" s="184">
        <v>1.4791000000000001</v>
      </c>
      <c r="OJ37" s="184">
        <v>0.5635</v>
      </c>
      <c r="OK37" s="162">
        <f t="shared" si="135"/>
        <v>0.45990416666666661</v>
      </c>
      <c r="OL37" s="53">
        <f t="shared" si="105"/>
        <v>37.356500000000004</v>
      </c>
      <c r="OM37" s="232">
        <f t="shared" si="130"/>
        <v>1.3799999999999812E-2</v>
      </c>
      <c r="OP37" s="250">
        <v>27</v>
      </c>
      <c r="OQ37" s="34">
        <v>9984</v>
      </c>
      <c r="OR37" s="184">
        <f>VLOOKUP(OQ37,Sheet4!A18:F94,3,0)</f>
        <v>11.0693</v>
      </c>
      <c r="OS37" s="184">
        <f>VLOOKUP(OQ37,Sheet4!A18:F94,4,0)</f>
        <v>1.4833000000000001</v>
      </c>
      <c r="OT37" s="184">
        <f>VLOOKUP(OQ37,Sheet4!A18:F94,5,0)</f>
        <v>0.56510000000000005</v>
      </c>
      <c r="OU37" s="162">
        <f t="shared" si="106"/>
        <v>0.46122083333333336</v>
      </c>
      <c r="OV37" s="53">
        <f t="shared" si="107"/>
        <v>37.354900000000001</v>
      </c>
      <c r="OW37" s="232">
        <f t="shared" si="131"/>
        <v>3.1600000000000961E-2</v>
      </c>
    </row>
    <row r="38" spans="1:413" ht="15.75" x14ac:dyDescent="0.25">
      <c r="A38">
        <v>30</v>
      </c>
      <c r="B38" s="1">
        <v>9985</v>
      </c>
      <c r="C38" s="1" t="s">
        <v>1</v>
      </c>
      <c r="D38" s="2">
        <v>37.99</v>
      </c>
      <c r="E38" s="8"/>
      <c r="F38" s="8"/>
      <c r="G38" s="8"/>
      <c r="H38" s="8"/>
      <c r="J38" s="15">
        <v>9985</v>
      </c>
      <c r="K38" s="15">
        <v>8.8552999999999997</v>
      </c>
      <c r="L38" s="15">
        <v>1.1866000000000001</v>
      </c>
      <c r="M38" s="15">
        <v>0.4521</v>
      </c>
      <c r="N38" s="24">
        <f t="shared" si="42"/>
        <v>0.3689708333333333</v>
      </c>
      <c r="O38" s="10">
        <f t="shared" si="36"/>
        <v>37.5379</v>
      </c>
      <c r="P38" s="18"/>
      <c r="R38" s="20">
        <v>9985</v>
      </c>
      <c r="S38" s="9">
        <v>8.9253999999999998</v>
      </c>
      <c r="T38" s="9">
        <v>1.196</v>
      </c>
      <c r="U38" s="9">
        <v>0.45569999999999999</v>
      </c>
      <c r="V38" s="24">
        <f t="shared" si="43"/>
        <v>0.37189166666666668</v>
      </c>
      <c r="W38" s="10">
        <f t="shared" si="44"/>
        <v>37.534300000000002</v>
      </c>
      <c r="X38" s="18"/>
      <c r="Z38" s="27">
        <v>9985</v>
      </c>
      <c r="AA38" s="9">
        <v>9.0977999999999994</v>
      </c>
      <c r="AB38" s="9">
        <v>1.2191000000000001</v>
      </c>
      <c r="AC38" s="9">
        <v>0.46450000000000002</v>
      </c>
      <c r="AD38" s="24">
        <f t="shared" si="45"/>
        <v>0.379075</v>
      </c>
      <c r="AE38" s="10">
        <f t="shared" si="46"/>
        <v>37.525500000000001</v>
      </c>
      <c r="AF38" s="79"/>
      <c r="AG38">
        <v>30</v>
      </c>
      <c r="AH38" s="1">
        <v>9985</v>
      </c>
      <c r="AI38" s="1" t="s">
        <v>1</v>
      </c>
      <c r="AJ38" s="2">
        <v>37.99</v>
      </c>
      <c r="AL38" s="35">
        <v>9985</v>
      </c>
      <c r="AM38" s="36">
        <v>9.2853999999999992</v>
      </c>
      <c r="AN38" s="36">
        <v>1.2443</v>
      </c>
      <c r="AO38" s="36">
        <v>0.47410000000000002</v>
      </c>
      <c r="AP38" s="37">
        <f t="shared" si="0"/>
        <v>0.38689166666666663</v>
      </c>
      <c r="AQ38" s="53">
        <f t="shared" si="108"/>
        <v>37.515900000000002</v>
      </c>
      <c r="AT38" s="39"/>
      <c r="AU38" s="35">
        <v>9985</v>
      </c>
      <c r="AV38" s="9">
        <v>9.3651999999999997</v>
      </c>
      <c r="AW38" s="43">
        <v>1.2549999999999999</v>
      </c>
      <c r="AX38" s="43">
        <v>0.47810000000000002</v>
      </c>
      <c r="AY38" s="47">
        <f t="shared" si="47"/>
        <v>0.39021666666666666</v>
      </c>
      <c r="AZ38" s="56">
        <f t="shared" si="109"/>
        <v>37.511900000000004</v>
      </c>
      <c r="BD38" s="35">
        <v>9985</v>
      </c>
      <c r="BE38" s="53">
        <v>9.3742000000000001</v>
      </c>
      <c r="BF38" s="58">
        <v>1.2562</v>
      </c>
      <c r="BG38" s="58">
        <v>0.47860000000000003</v>
      </c>
      <c r="BH38" s="47">
        <f t="shared" si="48"/>
        <v>0.39059166666666667</v>
      </c>
      <c r="BI38" s="56">
        <f t="shared" si="49"/>
        <v>37.511400000000002</v>
      </c>
      <c r="BJ38" s="88"/>
      <c r="BK38" s="88"/>
      <c r="BL38" s="88"/>
      <c r="BN38" s="9">
        <v>9985</v>
      </c>
      <c r="BO38" s="53">
        <v>9.4078999999999997</v>
      </c>
      <c r="BP38" s="53">
        <v>1.2606999999999999</v>
      </c>
      <c r="BQ38" s="53">
        <v>0.4803</v>
      </c>
      <c r="BR38" s="53">
        <f t="shared" si="50"/>
        <v>0.39199583333333332</v>
      </c>
      <c r="BS38" s="53">
        <f t="shared" si="51"/>
        <v>37.509700000000002</v>
      </c>
      <c r="BV38" s="88"/>
      <c r="BX38" s="93">
        <v>9985</v>
      </c>
      <c r="BY38" s="9">
        <v>9.4741999999999997</v>
      </c>
      <c r="BZ38" s="9">
        <v>1.2696000000000001</v>
      </c>
      <c r="CA38" s="9">
        <v>0.48370000000000002</v>
      </c>
      <c r="CB38" s="58">
        <f t="shared" si="52"/>
        <v>0.39475833333333332</v>
      </c>
      <c r="CC38" s="53">
        <f t="shared" si="110"/>
        <v>37.506300000000003</v>
      </c>
      <c r="CF38" s="88"/>
      <c r="CG38">
        <v>28</v>
      </c>
      <c r="CH38" s="93">
        <v>9985</v>
      </c>
      <c r="CI38" s="93">
        <v>9.5312000000000001</v>
      </c>
      <c r="CJ38" s="9">
        <v>1.2771999999999999</v>
      </c>
      <c r="CK38" s="9">
        <v>0.48659999999999998</v>
      </c>
      <c r="CL38" s="47">
        <f t="shared" si="5"/>
        <v>0.39713333333333334</v>
      </c>
      <c r="CM38" s="53">
        <f t="shared" si="53"/>
        <v>37.503399999999999</v>
      </c>
      <c r="CQ38">
        <v>28</v>
      </c>
      <c r="CR38" s="98">
        <v>9985</v>
      </c>
      <c r="CS38" s="101">
        <v>9.6029</v>
      </c>
      <c r="CT38" s="101">
        <v>1.2867999999999999</v>
      </c>
      <c r="CU38" s="101">
        <v>0.49030000000000001</v>
      </c>
      <c r="CV38" s="47">
        <f t="shared" si="6"/>
        <v>0.40012083333333331</v>
      </c>
      <c r="CW38" s="53">
        <f t="shared" si="37"/>
        <v>37.499700000000004</v>
      </c>
      <c r="DA38">
        <v>28</v>
      </c>
      <c r="DB38" s="106">
        <v>9985</v>
      </c>
      <c r="DC38" s="107">
        <v>9.6098999999999997</v>
      </c>
      <c r="DD38" s="107">
        <v>1.2878000000000001</v>
      </c>
      <c r="DE38" s="107">
        <v>0.49059999999999998</v>
      </c>
      <c r="DF38" s="47">
        <f t="shared" si="136"/>
        <v>0.4004125</v>
      </c>
      <c r="DG38" s="53">
        <f t="shared" si="111"/>
        <v>37.499400000000001</v>
      </c>
      <c r="DK38">
        <v>28</v>
      </c>
      <c r="DL38" s="110">
        <v>9985</v>
      </c>
      <c r="DM38" s="53">
        <v>9.6917000000000009</v>
      </c>
      <c r="DN38" s="53">
        <v>1.2987</v>
      </c>
      <c r="DO38" s="53">
        <v>0.49480000000000002</v>
      </c>
      <c r="DP38" s="47">
        <f t="shared" si="137"/>
        <v>0.40382083333333335</v>
      </c>
      <c r="DQ38" s="53">
        <f t="shared" si="54"/>
        <v>37.495200000000004</v>
      </c>
      <c r="DS38" s="3">
        <f t="shared" si="55"/>
        <v>8.1800000000001205E-2</v>
      </c>
      <c r="DU38">
        <v>28</v>
      </c>
      <c r="DV38" s="115">
        <v>9985</v>
      </c>
      <c r="DW38" s="9">
        <v>9.7426999999999992</v>
      </c>
      <c r="DX38" s="9">
        <v>1.3056000000000001</v>
      </c>
      <c r="DY38" s="9">
        <v>0.49740000000000001</v>
      </c>
      <c r="DZ38" s="47">
        <f t="shared" si="138"/>
        <v>0.40594583333333328</v>
      </c>
      <c r="EA38" s="53">
        <f t="shared" si="112"/>
        <v>37.492600000000003</v>
      </c>
      <c r="EB38" s="3"/>
      <c r="EE38">
        <v>28</v>
      </c>
      <c r="EF38" s="118">
        <v>9985</v>
      </c>
      <c r="EG38" s="9">
        <v>9.8224</v>
      </c>
      <c r="EH38" s="9">
        <v>1.3162</v>
      </c>
      <c r="EI38" s="9">
        <v>0.50149999999999995</v>
      </c>
      <c r="EJ38" s="47">
        <f t="shared" si="10"/>
        <v>0.40926666666666667</v>
      </c>
      <c r="EK38" s="53">
        <f t="shared" si="56"/>
        <v>37.488500000000002</v>
      </c>
      <c r="EM38" s="3">
        <f t="shared" si="57"/>
        <v>-4.1000000000011028E-3</v>
      </c>
      <c r="EN38" s="3"/>
      <c r="EO38">
        <v>28</v>
      </c>
      <c r="EP38" s="121">
        <v>9985</v>
      </c>
      <c r="EQ38" s="122">
        <v>9.9808000000000003</v>
      </c>
      <c r="ER38" s="122">
        <v>1.3374999999999999</v>
      </c>
      <c r="ES38" s="129">
        <v>0.50960000000000005</v>
      </c>
      <c r="ET38" s="130">
        <f t="shared" si="11"/>
        <v>0.41586666666666666</v>
      </c>
      <c r="EU38" s="131">
        <f t="shared" si="58"/>
        <v>37.480400000000003</v>
      </c>
      <c r="EX38" s="3"/>
      <c r="EY38">
        <v>28</v>
      </c>
      <c r="EZ38" s="135">
        <v>9985</v>
      </c>
      <c r="FA38" s="135">
        <v>10.0555</v>
      </c>
      <c r="FB38" s="135">
        <v>1.3474999999999999</v>
      </c>
      <c r="FC38" s="135">
        <v>0.51339999999999997</v>
      </c>
      <c r="FD38" s="136">
        <f t="shared" si="12"/>
        <v>0.41897916666666668</v>
      </c>
      <c r="FE38" s="131">
        <f t="shared" si="59"/>
        <v>37.476600000000005</v>
      </c>
      <c r="FG38" s="123">
        <f t="shared" si="60"/>
        <v>-3.7999999999982492E-3</v>
      </c>
      <c r="FH38" s="3"/>
      <c r="FI38">
        <v>28</v>
      </c>
      <c r="FJ38" s="145">
        <v>9985</v>
      </c>
      <c r="FK38" s="9">
        <v>10.154999999999999</v>
      </c>
      <c r="FL38" s="9">
        <v>1.3608</v>
      </c>
      <c r="FM38" s="9">
        <v>0.51849999999999996</v>
      </c>
      <c r="FN38" s="146">
        <f t="shared" si="113"/>
        <v>0.42312499999999997</v>
      </c>
      <c r="FO38" s="131">
        <f t="shared" si="61"/>
        <v>37.471499999999999</v>
      </c>
      <c r="FP38" s="123">
        <f t="shared" si="62"/>
        <v>-5.1000000000058776E-3</v>
      </c>
      <c r="FS38">
        <v>28</v>
      </c>
      <c r="FT38" s="147">
        <v>9985</v>
      </c>
      <c r="FU38" s="148">
        <v>10.1755</v>
      </c>
      <c r="FV38" s="148">
        <v>1.3635999999999999</v>
      </c>
      <c r="FW38" s="148">
        <v>0.51949999999999996</v>
      </c>
      <c r="FX38" s="150">
        <f t="shared" si="114"/>
        <v>0.42397916666666663</v>
      </c>
      <c r="FY38" s="131">
        <f t="shared" si="115"/>
        <v>37.470500000000001</v>
      </c>
      <c r="FZ38">
        <f t="shared" si="63"/>
        <v>2.0500000000000185E-2</v>
      </c>
      <c r="GC38">
        <v>28</v>
      </c>
      <c r="GD38" s="151">
        <v>9985</v>
      </c>
      <c r="GE38" s="151">
        <v>10.2262</v>
      </c>
      <c r="GF38" s="151">
        <v>1.3704000000000001</v>
      </c>
      <c r="GG38" s="151">
        <v>0.52210000000000001</v>
      </c>
      <c r="GH38" s="153">
        <f t="shared" si="132"/>
        <v>0.4260916666666667</v>
      </c>
      <c r="GI38" s="131">
        <f t="shared" si="64"/>
        <v>37.4679</v>
      </c>
      <c r="GJ38">
        <f t="shared" si="38"/>
        <v>5.0700000000000855E-2</v>
      </c>
      <c r="GM38">
        <v>28</v>
      </c>
      <c r="GN38" s="155">
        <v>9985</v>
      </c>
      <c r="GO38" s="155">
        <v>10.333500000000001</v>
      </c>
      <c r="GP38" s="155">
        <v>1.3847</v>
      </c>
      <c r="GQ38" s="155">
        <v>0.52759999999999996</v>
      </c>
      <c r="GR38" s="58">
        <f t="shared" si="65"/>
        <v>0.43056250000000001</v>
      </c>
      <c r="GS38" s="131">
        <f t="shared" si="66"/>
        <v>37.462400000000002</v>
      </c>
      <c r="GT38">
        <f t="shared" si="39"/>
        <v>0.1073000000000004</v>
      </c>
      <c r="GW38">
        <v>28</v>
      </c>
      <c r="GX38" s="157">
        <v>9985</v>
      </c>
      <c r="GY38" s="161">
        <f>VLOOKUP(GX38,Sheet3!$AJ$7:$AN$83,2,0)</f>
        <v>10.4697</v>
      </c>
      <c r="GZ38" s="161">
        <f>VLOOKUP(GX38,Sheet3!$AJ$7:$AN$83,3,0)</f>
        <v>1.403</v>
      </c>
      <c r="HA38" s="161">
        <f>VLOOKUP(GX38,Sheet3!$AJ$7:$AN$83,4,0)</f>
        <v>0.53449999999999998</v>
      </c>
      <c r="HB38" s="162">
        <f t="shared" si="17"/>
        <v>0.4362375</v>
      </c>
      <c r="HC38" s="131">
        <f t="shared" si="116"/>
        <v>37.455500000000001</v>
      </c>
      <c r="HD38" s="159">
        <f t="shared" si="40"/>
        <v>0.13619999999999877</v>
      </c>
      <c r="HE38" s="159">
        <f t="shared" si="41"/>
        <v>6.9000000000000172E-3</v>
      </c>
      <c r="HG38" s="159"/>
      <c r="HH38" s="159">
        <v>28</v>
      </c>
      <c r="HI38" s="158">
        <v>9985</v>
      </c>
      <c r="HJ38" s="161">
        <v>10.524699999999999</v>
      </c>
      <c r="HK38" s="161">
        <v>1.4104000000000001</v>
      </c>
      <c r="HL38" s="161">
        <v>0.5373</v>
      </c>
      <c r="HM38" s="162">
        <f t="shared" si="18"/>
        <v>0.43852916666666664</v>
      </c>
      <c r="HN38" s="131">
        <f t="shared" si="67"/>
        <v>37.4527</v>
      </c>
      <c r="HO38" s="159">
        <f t="shared" si="68"/>
        <v>5.4999999999999716E-2</v>
      </c>
      <c r="HQ38" s="183"/>
      <c r="HR38" s="183">
        <v>28</v>
      </c>
      <c r="HS38" s="178">
        <v>9985</v>
      </c>
      <c r="HT38" s="184">
        <v>10.560499999999999</v>
      </c>
      <c r="HU38" s="184">
        <v>1.4151</v>
      </c>
      <c r="HV38" s="184">
        <v>0.53920000000000001</v>
      </c>
      <c r="HW38" s="171">
        <f t="shared" si="19"/>
        <v>0.44002083333333331</v>
      </c>
      <c r="HX38" s="53">
        <f t="shared" si="69"/>
        <v>37.450800000000001</v>
      </c>
      <c r="HY38" s="183">
        <f t="shared" si="70"/>
        <v>3.5800000000000054E-2</v>
      </c>
      <c r="IA38" s="194"/>
      <c r="IB38" s="194">
        <v>28</v>
      </c>
      <c r="IC38" s="193">
        <v>9985</v>
      </c>
      <c r="ID38" s="161">
        <v>10.576000000000001</v>
      </c>
      <c r="IE38" s="184">
        <v>1.4172</v>
      </c>
      <c r="IF38" s="184">
        <v>0.54</v>
      </c>
      <c r="IG38" s="171">
        <f t="shared" si="71"/>
        <v>0.44066666666666671</v>
      </c>
      <c r="IH38" s="53">
        <f t="shared" si="72"/>
        <v>37.450000000000003</v>
      </c>
      <c r="II38" s="194">
        <f t="shared" si="73"/>
        <v>1.550000000000118E-2</v>
      </c>
      <c r="IL38" s="199">
        <v>28</v>
      </c>
      <c r="IM38" s="197">
        <v>9985</v>
      </c>
      <c r="IN38" s="161">
        <v>10.6576</v>
      </c>
      <c r="IO38" s="184">
        <v>1.4281999999999999</v>
      </c>
      <c r="IP38" s="184">
        <v>0.54410000000000003</v>
      </c>
      <c r="IQ38" s="171">
        <f t="shared" si="74"/>
        <v>0.44406666666666667</v>
      </c>
      <c r="IR38" s="53">
        <f t="shared" si="75"/>
        <v>37.445900000000002</v>
      </c>
      <c r="IS38" s="199">
        <f t="shared" si="76"/>
        <v>8.1599999999999895E-2</v>
      </c>
      <c r="IU38" s="202"/>
      <c r="IV38" s="202">
        <v>28</v>
      </c>
      <c r="IW38" s="201">
        <v>9985</v>
      </c>
      <c r="IX38" s="184">
        <v>10.767799999999999</v>
      </c>
      <c r="IY38" s="184">
        <v>1.4429000000000001</v>
      </c>
      <c r="IZ38" s="184">
        <v>0.54979999999999996</v>
      </c>
      <c r="JA38" s="162">
        <f t="shared" si="22"/>
        <v>0.44865833333333333</v>
      </c>
      <c r="JB38" s="53">
        <f t="shared" si="77"/>
        <v>37.440200000000004</v>
      </c>
      <c r="JC38" s="202">
        <f t="shared" si="78"/>
        <v>0.11019999999999897</v>
      </c>
      <c r="JE38" s="204"/>
      <c r="JF38" s="204">
        <v>28</v>
      </c>
      <c r="JG38" s="203">
        <v>9985</v>
      </c>
      <c r="JH38" s="161">
        <v>10.8028</v>
      </c>
      <c r="JI38" s="184">
        <v>1.4476</v>
      </c>
      <c r="JJ38" s="184">
        <v>0.55149999999999999</v>
      </c>
      <c r="JK38" s="162">
        <f t="shared" si="79"/>
        <v>0.45011666666666666</v>
      </c>
      <c r="JL38" s="53">
        <f t="shared" si="80"/>
        <v>37.438500000000005</v>
      </c>
      <c r="JM38" s="204">
        <f t="shared" si="117"/>
        <v>3.5000000000000142E-2</v>
      </c>
      <c r="JN38" s="204"/>
      <c r="JP38" s="209">
        <v>28</v>
      </c>
      <c r="JQ38" s="205">
        <v>9985</v>
      </c>
      <c r="JR38" s="161">
        <v>10.831</v>
      </c>
      <c r="JS38" s="184">
        <v>1.4514</v>
      </c>
      <c r="JT38" s="184">
        <v>0.55300000000000005</v>
      </c>
      <c r="JU38" s="162">
        <f t="shared" si="81"/>
        <v>0.45129166666666665</v>
      </c>
      <c r="JV38" s="53">
        <f t="shared" si="82"/>
        <v>37.437000000000005</v>
      </c>
      <c r="JW38" s="209">
        <f t="shared" si="118"/>
        <v>2.8200000000000003E-2</v>
      </c>
      <c r="JX38" s="213"/>
      <c r="JY38" s="213"/>
      <c r="JZ38" s="213">
        <v>28</v>
      </c>
      <c r="KA38" s="206">
        <v>9985</v>
      </c>
      <c r="KB38" s="184">
        <v>10.897</v>
      </c>
      <c r="KC38" s="184">
        <v>1.4601999999999999</v>
      </c>
      <c r="KD38" s="184">
        <v>0.55640000000000001</v>
      </c>
      <c r="KE38" s="162">
        <f t="shared" si="83"/>
        <v>0.45404166666666668</v>
      </c>
      <c r="KF38" s="53">
        <f t="shared" si="84"/>
        <v>37.433599999999998</v>
      </c>
      <c r="KG38" s="213">
        <f t="shared" si="119"/>
        <v>6.6000000000000725E-2</v>
      </c>
      <c r="KI38" s="219"/>
      <c r="KJ38" s="219">
        <v>28</v>
      </c>
      <c r="KK38" s="214">
        <v>9985</v>
      </c>
      <c r="KL38" s="161">
        <v>10.9191</v>
      </c>
      <c r="KM38" s="161">
        <v>1.4632000000000001</v>
      </c>
      <c r="KN38" s="161">
        <v>0.5575</v>
      </c>
      <c r="KO38" s="162">
        <f t="shared" si="24"/>
        <v>0.45496249999999999</v>
      </c>
      <c r="KP38" s="53">
        <f t="shared" si="85"/>
        <v>37.432500000000005</v>
      </c>
      <c r="KQ38" s="218">
        <f t="shared" si="120"/>
        <v>2.2100000000000009E-2</v>
      </c>
      <c r="KT38" s="223">
        <v>28</v>
      </c>
      <c r="KU38" s="216">
        <v>9985</v>
      </c>
      <c r="KV38" s="161">
        <v>10.942299999999999</v>
      </c>
      <c r="KW38" s="161">
        <v>1.4662999999999999</v>
      </c>
      <c r="KX38" s="161">
        <v>0.55869999999999997</v>
      </c>
      <c r="KY38" s="162">
        <f t="shared" si="86"/>
        <v>0.45592916666666666</v>
      </c>
      <c r="KZ38" s="53">
        <f t="shared" si="87"/>
        <v>37.4313</v>
      </c>
      <c r="LA38" s="224">
        <f t="shared" si="121"/>
        <v>2.3199999999999221E-2</v>
      </c>
      <c r="LD38" s="228">
        <v>28</v>
      </c>
      <c r="LE38" s="221">
        <v>9985</v>
      </c>
      <c r="LF38" s="161">
        <v>10.9617</v>
      </c>
      <c r="LG38" s="161">
        <v>1.4689000000000001</v>
      </c>
      <c r="LH38" s="161">
        <v>0.55969999999999998</v>
      </c>
      <c r="LI38" s="162">
        <f t="shared" si="88"/>
        <v>0.45673750000000002</v>
      </c>
      <c r="LJ38" s="53">
        <f t="shared" si="89"/>
        <v>37.430300000000003</v>
      </c>
      <c r="LK38" s="229">
        <f t="shared" si="122"/>
        <v>1.9400000000000972E-2</v>
      </c>
      <c r="LL38" s="231"/>
      <c r="LM38" s="231"/>
      <c r="LN38" s="231">
        <v>28</v>
      </c>
      <c r="LO38" s="226">
        <v>9985</v>
      </c>
      <c r="LP38" s="184">
        <v>10.988899999999999</v>
      </c>
      <c r="LQ38" s="184">
        <v>1.4725999999999999</v>
      </c>
      <c r="LR38" s="184">
        <v>0.56100000000000005</v>
      </c>
      <c r="LS38" s="162">
        <f t="shared" si="90"/>
        <v>0.45787083333333328</v>
      </c>
      <c r="LT38" s="53">
        <f t="shared" si="91"/>
        <v>37.429000000000002</v>
      </c>
      <c r="LU38" s="232">
        <f t="shared" si="123"/>
        <v>2.7199999999998781E-2</v>
      </c>
      <c r="LW38" s="231"/>
      <c r="LX38" s="231">
        <v>28</v>
      </c>
      <c r="LY38" s="234">
        <v>9985</v>
      </c>
      <c r="LZ38" s="184">
        <v>11.019500000000001</v>
      </c>
      <c r="MA38" s="184">
        <v>1.4766999999999999</v>
      </c>
      <c r="MB38" s="184">
        <v>0.56259999999999999</v>
      </c>
      <c r="MC38" s="162">
        <f t="shared" si="92"/>
        <v>0.45914583333333336</v>
      </c>
      <c r="MD38" s="53">
        <f t="shared" si="93"/>
        <v>37.427399999999999</v>
      </c>
      <c r="ME38" s="232">
        <f t="shared" si="124"/>
        <v>3.0600000000001515E-2</v>
      </c>
      <c r="MF38" s="231"/>
      <c r="MG38" s="231"/>
      <c r="MH38" s="231">
        <v>28</v>
      </c>
      <c r="MI38" s="236">
        <v>9985</v>
      </c>
      <c r="MJ38" s="184">
        <v>11.0496</v>
      </c>
      <c r="MK38" s="184">
        <v>1.4806999999999999</v>
      </c>
      <c r="ML38" s="184">
        <v>0.56410000000000005</v>
      </c>
      <c r="MM38" s="162">
        <f t="shared" si="94"/>
        <v>0.46039999999999998</v>
      </c>
      <c r="MN38" s="53">
        <f t="shared" si="95"/>
        <v>37.425899999999999</v>
      </c>
      <c r="MO38" s="232">
        <f t="shared" si="125"/>
        <v>3.0099999999999127E-2</v>
      </c>
      <c r="MP38" s="231"/>
      <c r="MQ38" s="231"/>
      <c r="MR38" s="231">
        <v>28</v>
      </c>
      <c r="MS38" s="34">
        <v>9985</v>
      </c>
      <c r="MT38" s="184">
        <v>11.107100000000001</v>
      </c>
      <c r="MU38" s="184">
        <v>1.4883999999999999</v>
      </c>
      <c r="MV38" s="184">
        <v>0.56710000000000005</v>
      </c>
      <c r="MW38" s="162">
        <f t="shared" si="96"/>
        <v>0.46279583333333335</v>
      </c>
      <c r="MX38" s="53">
        <f t="shared" si="97"/>
        <v>37.422899999999998</v>
      </c>
      <c r="MY38" s="232">
        <f t="shared" si="126"/>
        <v>5.7500000000000995E-2</v>
      </c>
      <c r="MZ38" s="246"/>
      <c r="NA38" s="246"/>
      <c r="NB38" s="246">
        <v>28</v>
      </c>
      <c r="NC38" s="34">
        <v>9985</v>
      </c>
      <c r="ND38" s="184">
        <v>11.165900000000001</v>
      </c>
      <c r="NE38" s="184">
        <v>1.4963</v>
      </c>
      <c r="NF38" s="184">
        <v>0.57010000000000005</v>
      </c>
      <c r="NG38" s="162">
        <f t="shared" si="98"/>
        <v>0.46524583333333336</v>
      </c>
      <c r="NH38" s="53">
        <f t="shared" si="99"/>
        <v>37.419899999999998</v>
      </c>
      <c r="NI38" s="232">
        <f t="shared" si="127"/>
        <v>5.8799999999999741E-2</v>
      </c>
      <c r="NK38" s="250"/>
      <c r="NL38" s="250">
        <v>28</v>
      </c>
      <c r="NM38" s="34">
        <v>9985</v>
      </c>
      <c r="NN38" s="184">
        <v>11.183199999999999</v>
      </c>
      <c r="NO38" s="184">
        <v>1.4985999999999999</v>
      </c>
      <c r="NP38" s="184">
        <v>0.57099999999999995</v>
      </c>
      <c r="NQ38" s="162">
        <f t="shared" si="133"/>
        <v>0.46596666666666664</v>
      </c>
      <c r="NR38" s="53">
        <f t="shared" si="101"/>
        <v>37.419000000000004</v>
      </c>
      <c r="NS38" s="232">
        <f t="shared" si="128"/>
        <v>1.7299999999998761E-2</v>
      </c>
      <c r="NU38" s="250"/>
      <c r="NV38" s="250">
        <v>28</v>
      </c>
      <c r="NW38" s="34">
        <v>9985</v>
      </c>
      <c r="NX38" s="184">
        <v>11.210599999999999</v>
      </c>
      <c r="NY38" s="184">
        <v>1.5023</v>
      </c>
      <c r="NZ38" s="184">
        <v>0.57240000000000002</v>
      </c>
      <c r="OA38" s="162">
        <f t="shared" si="134"/>
        <v>0.46710833333333329</v>
      </c>
      <c r="OB38" s="53">
        <f t="shared" si="103"/>
        <v>37.4176</v>
      </c>
      <c r="OC38" s="232">
        <f t="shared" si="129"/>
        <v>2.7400000000000091E-2</v>
      </c>
      <c r="OE38" s="250"/>
      <c r="OF38" s="250">
        <v>28</v>
      </c>
      <c r="OG38" s="34">
        <v>9985</v>
      </c>
      <c r="OH38" s="184">
        <v>11.224399999999999</v>
      </c>
      <c r="OI38" s="184">
        <v>1.5041</v>
      </c>
      <c r="OJ38" s="184">
        <v>0.57310000000000005</v>
      </c>
      <c r="OK38" s="162">
        <f t="shared" si="135"/>
        <v>0.46768333333333328</v>
      </c>
      <c r="OL38" s="53">
        <f t="shared" si="105"/>
        <v>37.416900000000005</v>
      </c>
      <c r="OM38" s="232">
        <f t="shared" si="130"/>
        <v>1.3799999999999812E-2</v>
      </c>
      <c r="OP38" s="250">
        <v>28</v>
      </c>
      <c r="OQ38" s="34">
        <v>9985</v>
      </c>
      <c r="OR38" s="184">
        <f>VLOOKUP(OQ38,Sheet4!A19:F95,3,0)</f>
        <v>11.256</v>
      </c>
      <c r="OS38" s="184">
        <f>VLOOKUP(OQ38,Sheet4!A19:F95,4,0)</f>
        <v>1.5083</v>
      </c>
      <c r="OT38" s="184">
        <f>VLOOKUP(OQ38,Sheet4!A19:F95,5,0)</f>
        <v>0.57469999999999999</v>
      </c>
      <c r="OU38" s="162">
        <f t="shared" si="106"/>
        <v>0.46900000000000003</v>
      </c>
      <c r="OV38" s="53">
        <f t="shared" si="107"/>
        <v>37.415300000000002</v>
      </c>
      <c r="OW38" s="232">
        <f t="shared" si="131"/>
        <v>3.1600000000000961E-2</v>
      </c>
    </row>
    <row r="39" spans="1:413" ht="15.75" x14ac:dyDescent="0.25">
      <c r="A39">
        <v>31</v>
      </c>
      <c r="B39" s="1">
        <v>9982</v>
      </c>
      <c r="C39" s="1" t="s">
        <v>1</v>
      </c>
      <c r="D39" s="2">
        <v>37.96</v>
      </c>
      <c r="E39" s="8"/>
      <c r="F39" s="8"/>
      <c r="G39" s="8"/>
      <c r="H39" s="8"/>
      <c r="J39" s="15">
        <v>9982</v>
      </c>
      <c r="K39" s="15">
        <v>8.6685999999999996</v>
      </c>
      <c r="L39" s="15">
        <v>1.1616</v>
      </c>
      <c r="M39" s="15">
        <v>0.44259999999999999</v>
      </c>
      <c r="N39" s="24">
        <f t="shared" si="42"/>
        <v>0.36119166666666663</v>
      </c>
      <c r="O39" s="10">
        <f t="shared" si="36"/>
        <v>37.517400000000002</v>
      </c>
      <c r="P39" s="18"/>
      <c r="R39" s="20">
        <v>9982</v>
      </c>
      <c r="S39" s="9">
        <v>8.7386999999999997</v>
      </c>
      <c r="T39" s="9">
        <v>1.171</v>
      </c>
      <c r="U39" s="9">
        <v>0.44619999999999999</v>
      </c>
      <c r="V39" s="24">
        <f t="shared" si="43"/>
        <v>0.36411250000000001</v>
      </c>
      <c r="W39" s="10">
        <f t="shared" si="44"/>
        <v>37.513800000000003</v>
      </c>
      <c r="X39" s="18"/>
      <c r="Z39" s="27">
        <v>9982</v>
      </c>
      <c r="AA39" s="9">
        <v>8.9110999999999994</v>
      </c>
      <c r="AB39" s="9">
        <v>1.1940999999999999</v>
      </c>
      <c r="AC39" s="9">
        <v>0.45500000000000002</v>
      </c>
      <c r="AD39" s="24">
        <f t="shared" si="45"/>
        <v>0.37129583333333332</v>
      </c>
      <c r="AE39" s="10">
        <f t="shared" si="46"/>
        <v>37.505000000000003</v>
      </c>
      <c r="AF39" s="79"/>
      <c r="AG39">
        <v>31</v>
      </c>
      <c r="AH39" s="1">
        <v>9982</v>
      </c>
      <c r="AI39" s="1" t="s">
        <v>1</v>
      </c>
      <c r="AJ39" s="2">
        <v>37.96</v>
      </c>
      <c r="AL39" s="35">
        <v>9982</v>
      </c>
      <c r="AM39" s="36">
        <v>9.0986999999999991</v>
      </c>
      <c r="AN39" s="36">
        <v>1.2193000000000001</v>
      </c>
      <c r="AO39" s="36">
        <v>0.46450000000000002</v>
      </c>
      <c r="AP39" s="37">
        <f t="shared" si="0"/>
        <v>0.37911249999999996</v>
      </c>
      <c r="AQ39" s="53">
        <f t="shared" si="108"/>
        <v>37.4955</v>
      </c>
      <c r="AT39" s="39"/>
      <c r="AU39" s="35">
        <v>9982</v>
      </c>
      <c r="AV39" s="9">
        <v>9.1784999999999997</v>
      </c>
      <c r="AW39" s="43">
        <v>1.23</v>
      </c>
      <c r="AX39" s="43">
        <v>0.46860000000000002</v>
      </c>
      <c r="AY39" s="47">
        <f t="shared" si="47"/>
        <v>0.38243749999999999</v>
      </c>
      <c r="AZ39" s="56">
        <f t="shared" si="109"/>
        <v>37.491399999999999</v>
      </c>
      <c r="BD39" s="35">
        <v>9982</v>
      </c>
      <c r="BE39" s="53">
        <v>9.1875</v>
      </c>
      <c r="BF39" s="58">
        <v>1.2312000000000001</v>
      </c>
      <c r="BG39" s="58">
        <v>0.46910000000000002</v>
      </c>
      <c r="BH39" s="47">
        <f t="shared" si="48"/>
        <v>0.3828125</v>
      </c>
      <c r="BI39" s="56">
        <f t="shared" si="49"/>
        <v>37.490900000000003</v>
      </c>
      <c r="BJ39" s="88"/>
      <c r="BK39" s="88"/>
      <c r="BL39" s="88"/>
      <c r="BN39" s="9">
        <v>9982</v>
      </c>
      <c r="BO39" s="53">
        <v>9.2211999999999996</v>
      </c>
      <c r="BP39" s="53">
        <v>1.2357</v>
      </c>
      <c r="BQ39" s="53">
        <v>0.4708</v>
      </c>
      <c r="BR39" s="53">
        <f t="shared" si="50"/>
        <v>0.38421666666666665</v>
      </c>
      <c r="BS39" s="53">
        <f t="shared" si="51"/>
        <v>37.489200000000004</v>
      </c>
      <c r="BV39" s="88"/>
      <c r="BX39" s="93">
        <v>9982</v>
      </c>
      <c r="BY39" s="9">
        <v>9.2874999999999996</v>
      </c>
      <c r="BZ39" s="9">
        <v>1.2445999999999999</v>
      </c>
      <c r="CA39" s="9">
        <v>0.47420000000000001</v>
      </c>
      <c r="CB39" s="58">
        <f t="shared" si="52"/>
        <v>0.38697916666666665</v>
      </c>
      <c r="CC39" s="53">
        <f t="shared" si="110"/>
        <v>37.485799999999998</v>
      </c>
      <c r="CF39" s="88"/>
      <c r="CG39">
        <v>29</v>
      </c>
      <c r="CH39" s="93">
        <v>9982</v>
      </c>
      <c r="CI39" s="93">
        <v>9.3445</v>
      </c>
      <c r="CJ39" s="9">
        <v>1.2522</v>
      </c>
      <c r="CK39" s="9">
        <v>0.47710000000000002</v>
      </c>
      <c r="CL39" s="47">
        <f t="shared" si="5"/>
        <v>0.38935416666666667</v>
      </c>
      <c r="CM39" s="53">
        <f t="shared" si="53"/>
        <v>37.482900000000001</v>
      </c>
      <c r="CQ39">
        <v>29</v>
      </c>
      <c r="CR39" s="98">
        <v>9982</v>
      </c>
      <c r="CS39" s="101">
        <v>9.4161999999999999</v>
      </c>
      <c r="CT39" s="101">
        <v>1.2618</v>
      </c>
      <c r="CU39" s="101">
        <v>0.48070000000000002</v>
      </c>
      <c r="CV39" s="47">
        <f t="shared" si="6"/>
        <v>0.39234166666666664</v>
      </c>
      <c r="CW39" s="53">
        <f t="shared" si="37"/>
        <v>37.479300000000002</v>
      </c>
      <c r="DA39">
        <v>29</v>
      </c>
      <c r="DB39" s="106">
        <v>9982</v>
      </c>
      <c r="DC39" s="107">
        <v>9.4231999999999996</v>
      </c>
      <c r="DD39" s="107">
        <v>1.2626999999999999</v>
      </c>
      <c r="DE39" s="107">
        <v>0.48110000000000003</v>
      </c>
      <c r="DF39" s="47">
        <f t="shared" si="136"/>
        <v>0.39263333333333333</v>
      </c>
      <c r="DG39" s="53">
        <f t="shared" si="111"/>
        <v>37.478900000000003</v>
      </c>
      <c r="DK39">
        <v>29</v>
      </c>
      <c r="DL39" s="110">
        <v>9982</v>
      </c>
      <c r="DM39" s="53">
        <v>9.5050000000000008</v>
      </c>
      <c r="DN39" s="53">
        <v>1.2737000000000001</v>
      </c>
      <c r="DO39" s="53">
        <v>0.48530000000000001</v>
      </c>
      <c r="DP39" s="47">
        <f t="shared" si="137"/>
        <v>0.39604166666666668</v>
      </c>
      <c r="DQ39" s="53">
        <f t="shared" si="54"/>
        <v>37.474699999999999</v>
      </c>
      <c r="DS39" s="3">
        <f t="shared" si="55"/>
        <v>8.1800000000001205E-2</v>
      </c>
      <c r="DU39">
        <v>29</v>
      </c>
      <c r="DV39" s="115">
        <v>9982</v>
      </c>
      <c r="DW39" s="9">
        <v>9.5559999999999992</v>
      </c>
      <c r="DX39" s="9">
        <v>1.2805</v>
      </c>
      <c r="DY39" s="9">
        <v>0.4879</v>
      </c>
      <c r="DZ39" s="47">
        <f t="shared" si="138"/>
        <v>0.39816666666666661</v>
      </c>
      <c r="EA39" s="53">
        <f t="shared" si="112"/>
        <v>37.472099999999998</v>
      </c>
      <c r="EB39" s="3"/>
      <c r="EE39">
        <v>29</v>
      </c>
      <c r="EF39" s="118">
        <v>9982</v>
      </c>
      <c r="EG39" s="9">
        <v>9.6356999999999999</v>
      </c>
      <c r="EH39" s="9">
        <v>1.2911999999999999</v>
      </c>
      <c r="EI39" s="9">
        <v>0.49199999999999999</v>
      </c>
      <c r="EJ39" s="47">
        <f t="shared" si="10"/>
        <v>0.4014875</v>
      </c>
      <c r="EK39" s="53">
        <f t="shared" si="56"/>
        <v>37.468000000000004</v>
      </c>
      <c r="EM39" s="3">
        <f t="shared" si="57"/>
        <v>-4.0999999999939973E-3</v>
      </c>
      <c r="EN39" s="3"/>
      <c r="EO39">
        <v>29</v>
      </c>
      <c r="EP39" s="121">
        <v>9982</v>
      </c>
      <c r="EQ39" s="122">
        <v>9.7941000000000003</v>
      </c>
      <c r="ER39" s="122">
        <v>1.3124</v>
      </c>
      <c r="ES39" s="129">
        <v>0.5</v>
      </c>
      <c r="ET39" s="130">
        <f t="shared" si="11"/>
        <v>0.40808749999999999</v>
      </c>
      <c r="EU39" s="131">
        <f t="shared" si="58"/>
        <v>37.46</v>
      </c>
      <c r="EX39" s="3"/>
      <c r="EY39">
        <v>29</v>
      </c>
      <c r="EZ39" s="135">
        <v>9982</v>
      </c>
      <c r="FA39" s="135">
        <v>9.8688000000000002</v>
      </c>
      <c r="FB39" s="135">
        <v>1.3225</v>
      </c>
      <c r="FC39" s="135">
        <v>0.50390000000000001</v>
      </c>
      <c r="FD39" s="136">
        <f t="shared" si="12"/>
        <v>0.41120000000000001</v>
      </c>
      <c r="FE39" s="131">
        <f t="shared" si="59"/>
        <v>37.456099999999999</v>
      </c>
      <c r="FG39" s="123">
        <f t="shared" si="60"/>
        <v>-3.9000000000015689E-3</v>
      </c>
      <c r="FH39" s="3"/>
      <c r="FI39">
        <v>29</v>
      </c>
      <c r="FJ39" s="145">
        <v>9982</v>
      </c>
      <c r="FK39" s="9">
        <v>9.9682999999999993</v>
      </c>
      <c r="FL39" s="9">
        <v>1.3358000000000001</v>
      </c>
      <c r="FM39" s="9">
        <v>0.50890000000000002</v>
      </c>
      <c r="FN39" s="146">
        <f t="shared" si="113"/>
        <v>0.4153458333333333</v>
      </c>
      <c r="FO39" s="131">
        <f t="shared" si="61"/>
        <v>37.451100000000004</v>
      </c>
      <c r="FP39" s="123">
        <f t="shared" si="62"/>
        <v>-4.9999999999954525E-3</v>
      </c>
      <c r="FS39">
        <v>29</v>
      </c>
      <c r="FT39" s="147">
        <v>9982</v>
      </c>
      <c r="FU39" s="148">
        <v>9.9887999999999995</v>
      </c>
      <c r="FV39" s="148">
        <v>1.3385</v>
      </c>
      <c r="FW39" s="148">
        <v>0.51</v>
      </c>
      <c r="FX39" s="150">
        <f t="shared" si="114"/>
        <v>0.41619999999999996</v>
      </c>
      <c r="FY39" s="131">
        <f t="shared" si="115"/>
        <v>37.450000000000003</v>
      </c>
      <c r="FZ39">
        <f t="shared" si="63"/>
        <v>2.0500000000000185E-2</v>
      </c>
      <c r="GC39">
        <v>29</v>
      </c>
      <c r="GD39" s="151">
        <v>9982</v>
      </c>
      <c r="GE39" s="151">
        <v>10.0395</v>
      </c>
      <c r="GF39" s="151">
        <v>1.3452999999999999</v>
      </c>
      <c r="GG39" s="151">
        <v>0.51259999999999994</v>
      </c>
      <c r="GH39" s="153">
        <f t="shared" si="132"/>
        <v>0.41831250000000003</v>
      </c>
      <c r="GI39" s="131">
        <f t="shared" si="64"/>
        <v>37.447400000000002</v>
      </c>
      <c r="GJ39">
        <f t="shared" si="38"/>
        <v>5.0700000000000855E-2</v>
      </c>
      <c r="GM39">
        <v>29</v>
      </c>
      <c r="GN39" s="155">
        <v>9982</v>
      </c>
      <c r="GO39" s="155">
        <v>10.146800000000001</v>
      </c>
      <c r="GP39" s="155">
        <v>1.3596999999999999</v>
      </c>
      <c r="GQ39" s="155">
        <v>0.51800000000000002</v>
      </c>
      <c r="GR39" s="58">
        <f t="shared" si="65"/>
        <v>0.42278333333333334</v>
      </c>
      <c r="GS39" s="131">
        <f t="shared" si="66"/>
        <v>37.442</v>
      </c>
      <c r="GT39">
        <f t="shared" si="39"/>
        <v>0.1073000000000004</v>
      </c>
      <c r="GW39">
        <v>29</v>
      </c>
      <c r="GX39" s="157">
        <v>9982</v>
      </c>
      <c r="GY39" s="161">
        <f>VLOOKUP(GX39,Sheet3!$AJ$7:$AN$83,2,0)</f>
        <v>10.282999999999999</v>
      </c>
      <c r="GZ39" s="161">
        <f>VLOOKUP(GX39,Sheet3!$AJ$7:$AN$83,3,0)</f>
        <v>1.3779999999999999</v>
      </c>
      <c r="HA39" s="161">
        <f>VLOOKUP(GX39,Sheet3!$AJ$7:$AN$83,4,0)</f>
        <v>0.52500000000000002</v>
      </c>
      <c r="HB39" s="162">
        <f t="shared" si="17"/>
        <v>0.42845833333333333</v>
      </c>
      <c r="HC39" s="131">
        <f t="shared" si="116"/>
        <v>37.435000000000002</v>
      </c>
      <c r="HD39" s="159">
        <f t="shared" si="40"/>
        <v>0.13619999999999877</v>
      </c>
      <c r="HE39" s="159">
        <f t="shared" si="41"/>
        <v>7.0000000000000062E-3</v>
      </c>
      <c r="HG39" s="159"/>
      <c r="HH39" s="159">
        <v>29</v>
      </c>
      <c r="HI39" s="158">
        <v>9982</v>
      </c>
      <c r="HJ39" s="161">
        <v>10.337999999999999</v>
      </c>
      <c r="HK39" s="161">
        <v>1.3853</v>
      </c>
      <c r="HL39" s="161">
        <v>0.52780000000000005</v>
      </c>
      <c r="HM39" s="162">
        <f t="shared" si="18"/>
        <v>0.43074999999999997</v>
      </c>
      <c r="HN39" s="131">
        <f t="shared" si="67"/>
        <v>37.432200000000002</v>
      </c>
      <c r="HO39" s="159">
        <f t="shared" si="68"/>
        <v>5.4999999999999716E-2</v>
      </c>
      <c r="HQ39" s="183"/>
      <c r="HR39" s="183">
        <v>29</v>
      </c>
      <c r="HS39" s="178">
        <v>9982</v>
      </c>
      <c r="HT39" s="184">
        <v>10.373799999999999</v>
      </c>
      <c r="HU39" s="184">
        <v>1.3900999999999999</v>
      </c>
      <c r="HV39" s="184">
        <v>0.52959999999999996</v>
      </c>
      <c r="HW39" s="171">
        <f t="shared" si="19"/>
        <v>0.43224166666666664</v>
      </c>
      <c r="HX39" s="53">
        <f t="shared" si="69"/>
        <v>37.430399999999999</v>
      </c>
      <c r="HY39" s="183">
        <f t="shared" si="70"/>
        <v>3.5800000000000054E-2</v>
      </c>
      <c r="IA39" s="194"/>
      <c r="IB39" s="194">
        <v>29</v>
      </c>
      <c r="IC39" s="193">
        <v>9982</v>
      </c>
      <c r="ID39" s="161">
        <v>10.3893</v>
      </c>
      <c r="IE39" s="184">
        <v>1.3922000000000001</v>
      </c>
      <c r="IF39" s="184">
        <v>0.53039999999999998</v>
      </c>
      <c r="IG39" s="171">
        <f t="shared" si="71"/>
        <v>0.43288750000000004</v>
      </c>
      <c r="IH39" s="53">
        <f t="shared" si="72"/>
        <v>37.429600000000001</v>
      </c>
      <c r="II39" s="194">
        <f t="shared" si="73"/>
        <v>1.550000000000118E-2</v>
      </c>
      <c r="IL39" s="199">
        <v>29</v>
      </c>
      <c r="IM39" s="197">
        <v>9982</v>
      </c>
      <c r="IN39" s="161">
        <v>10.4709</v>
      </c>
      <c r="IO39" s="184">
        <v>1.4031</v>
      </c>
      <c r="IP39" s="184">
        <v>0.53459999999999996</v>
      </c>
      <c r="IQ39" s="171">
        <f t="shared" si="74"/>
        <v>0.43628749999999999</v>
      </c>
      <c r="IR39" s="53">
        <f t="shared" si="75"/>
        <v>37.425400000000003</v>
      </c>
      <c r="IS39" s="199">
        <f t="shared" si="76"/>
        <v>8.1599999999999895E-2</v>
      </c>
      <c r="IU39" s="202"/>
      <c r="IV39" s="202">
        <v>29</v>
      </c>
      <c r="IW39" s="201">
        <v>9982</v>
      </c>
      <c r="IX39" s="184">
        <v>10.581099999999999</v>
      </c>
      <c r="IY39" s="184">
        <v>1.4178999999999999</v>
      </c>
      <c r="IZ39" s="184">
        <v>0.54020000000000001</v>
      </c>
      <c r="JA39" s="162">
        <f t="shared" si="22"/>
        <v>0.44087916666666666</v>
      </c>
      <c r="JB39" s="53">
        <f t="shared" si="77"/>
        <v>37.419800000000002</v>
      </c>
      <c r="JC39" s="202">
        <f t="shared" si="78"/>
        <v>0.11019999999999897</v>
      </c>
      <c r="JE39" s="204"/>
      <c r="JF39" s="204">
        <v>29</v>
      </c>
      <c r="JG39" s="203">
        <v>9982</v>
      </c>
      <c r="JH39" s="161">
        <v>10.616099999999999</v>
      </c>
      <c r="JI39" s="184">
        <v>1.4226000000000001</v>
      </c>
      <c r="JJ39" s="184">
        <v>0.54200000000000004</v>
      </c>
      <c r="JK39" s="162">
        <f t="shared" si="79"/>
        <v>0.44233749999999999</v>
      </c>
      <c r="JL39" s="53">
        <f t="shared" si="80"/>
        <v>37.417999999999999</v>
      </c>
      <c r="JM39" s="204">
        <f t="shared" si="117"/>
        <v>3.5000000000000142E-2</v>
      </c>
      <c r="JN39" s="204"/>
      <c r="JP39" s="209">
        <v>29</v>
      </c>
      <c r="JQ39" s="205">
        <v>9982</v>
      </c>
      <c r="JR39" s="161">
        <v>10.644299999999999</v>
      </c>
      <c r="JS39" s="184">
        <v>1.4263999999999999</v>
      </c>
      <c r="JT39" s="184">
        <v>0.54339999999999999</v>
      </c>
      <c r="JU39" s="162">
        <f t="shared" si="81"/>
        <v>0.44351249999999998</v>
      </c>
      <c r="JV39" s="53">
        <f t="shared" si="82"/>
        <v>37.416600000000003</v>
      </c>
      <c r="JW39" s="209">
        <f t="shared" si="118"/>
        <v>2.8200000000000003E-2</v>
      </c>
      <c r="JX39" s="213"/>
      <c r="JY39" s="213"/>
      <c r="JZ39" s="213">
        <v>29</v>
      </c>
      <c r="KA39" s="206">
        <v>9982</v>
      </c>
      <c r="KB39" s="184">
        <v>10.7103</v>
      </c>
      <c r="KC39" s="184">
        <v>1.4352</v>
      </c>
      <c r="KD39" s="184">
        <v>0.54679999999999995</v>
      </c>
      <c r="KE39" s="162">
        <f t="shared" si="83"/>
        <v>0.44626250000000001</v>
      </c>
      <c r="KF39" s="53">
        <f t="shared" si="84"/>
        <v>37.413200000000003</v>
      </c>
      <c r="KG39" s="213">
        <f t="shared" si="119"/>
        <v>6.6000000000000725E-2</v>
      </c>
      <c r="KI39" s="219"/>
      <c r="KJ39" s="219">
        <v>29</v>
      </c>
      <c r="KK39" s="214">
        <v>9982</v>
      </c>
      <c r="KL39" s="161">
        <v>10.7324</v>
      </c>
      <c r="KM39" s="161">
        <v>1.4381999999999999</v>
      </c>
      <c r="KN39" s="161">
        <v>0.54790000000000005</v>
      </c>
      <c r="KO39" s="162">
        <f t="shared" si="24"/>
        <v>0.44718333333333332</v>
      </c>
      <c r="KP39" s="53">
        <f t="shared" si="85"/>
        <v>37.412100000000002</v>
      </c>
      <c r="KQ39" s="218">
        <f t="shared" si="120"/>
        <v>2.2100000000000009E-2</v>
      </c>
      <c r="KT39" s="223">
        <v>29</v>
      </c>
      <c r="KU39" s="216">
        <v>9982</v>
      </c>
      <c r="KV39" s="161">
        <v>10.755599999999999</v>
      </c>
      <c r="KW39" s="161">
        <v>1.4413</v>
      </c>
      <c r="KX39" s="161">
        <v>0.54910000000000003</v>
      </c>
      <c r="KY39" s="162">
        <f t="shared" si="86"/>
        <v>0.44814999999999999</v>
      </c>
      <c r="KZ39" s="53">
        <f t="shared" si="87"/>
        <v>37.410899999999998</v>
      </c>
      <c r="LA39" s="224">
        <f t="shared" si="121"/>
        <v>2.3199999999999221E-2</v>
      </c>
      <c r="LD39" s="228">
        <v>29</v>
      </c>
      <c r="LE39" s="221">
        <v>9982</v>
      </c>
      <c r="LF39" s="161">
        <v>10.775</v>
      </c>
      <c r="LG39" s="161">
        <v>1.4439</v>
      </c>
      <c r="LH39" s="161">
        <v>0.55010000000000003</v>
      </c>
      <c r="LI39" s="162">
        <f t="shared" si="88"/>
        <v>0.44895833333333335</v>
      </c>
      <c r="LJ39" s="53">
        <f t="shared" si="89"/>
        <v>37.4099</v>
      </c>
      <c r="LK39" s="229">
        <f t="shared" si="122"/>
        <v>1.9400000000000972E-2</v>
      </c>
      <c r="LL39" s="231"/>
      <c r="LM39" s="231"/>
      <c r="LN39" s="231">
        <v>29</v>
      </c>
      <c r="LO39" s="226">
        <v>9982</v>
      </c>
      <c r="LP39" s="184">
        <v>10.802199999999999</v>
      </c>
      <c r="LQ39" s="184">
        <v>1.4475</v>
      </c>
      <c r="LR39" s="184">
        <v>0.55149999999999999</v>
      </c>
      <c r="LS39" s="162">
        <f t="shared" si="90"/>
        <v>0.45009166666666661</v>
      </c>
      <c r="LT39" s="53">
        <f t="shared" si="91"/>
        <v>37.408500000000004</v>
      </c>
      <c r="LU39" s="232">
        <f t="shared" si="123"/>
        <v>2.7199999999998781E-2</v>
      </c>
      <c r="LW39" s="231"/>
      <c r="LX39" s="231">
        <v>29</v>
      </c>
      <c r="LY39" s="234">
        <v>9982</v>
      </c>
      <c r="LZ39" s="184">
        <v>10.832800000000001</v>
      </c>
      <c r="MA39" s="184">
        <v>1.4516</v>
      </c>
      <c r="MB39" s="184">
        <v>0.55310000000000004</v>
      </c>
      <c r="MC39" s="162">
        <f t="shared" si="92"/>
        <v>0.45136666666666669</v>
      </c>
      <c r="MD39" s="53">
        <f t="shared" si="93"/>
        <v>37.4069</v>
      </c>
      <c r="ME39" s="232">
        <f t="shared" si="124"/>
        <v>3.0600000000001515E-2</v>
      </c>
      <c r="MF39" s="231"/>
      <c r="MG39" s="231"/>
      <c r="MH39" s="231">
        <v>29</v>
      </c>
      <c r="MI39" s="236">
        <v>9982</v>
      </c>
      <c r="MJ39" s="184">
        <v>10.8629</v>
      </c>
      <c r="MK39" s="184">
        <v>1.4557</v>
      </c>
      <c r="ML39" s="184">
        <v>0.55459999999999998</v>
      </c>
      <c r="MM39" s="162">
        <f t="shared" si="94"/>
        <v>0.45262083333333331</v>
      </c>
      <c r="MN39" s="53">
        <f t="shared" si="95"/>
        <v>37.4054</v>
      </c>
      <c r="MO39" s="232">
        <f t="shared" si="125"/>
        <v>3.0099999999999127E-2</v>
      </c>
      <c r="MP39" s="231"/>
      <c r="MQ39" s="231"/>
      <c r="MR39" s="231">
        <v>29</v>
      </c>
      <c r="MS39" s="34">
        <v>9982</v>
      </c>
      <c r="MT39" s="184">
        <v>10.920400000000001</v>
      </c>
      <c r="MU39" s="184">
        <v>1.4634</v>
      </c>
      <c r="MV39" s="184">
        <v>0.5575</v>
      </c>
      <c r="MW39" s="162">
        <f t="shared" si="96"/>
        <v>0.45501666666666668</v>
      </c>
      <c r="MX39" s="53">
        <f t="shared" si="97"/>
        <v>37.402500000000003</v>
      </c>
      <c r="MY39" s="232">
        <f t="shared" si="126"/>
        <v>5.7500000000000995E-2</v>
      </c>
      <c r="MZ39" s="246"/>
      <c r="NA39" s="246"/>
      <c r="NB39" s="246">
        <v>29</v>
      </c>
      <c r="NC39" s="34">
        <v>9982</v>
      </c>
      <c r="ND39" s="184">
        <v>10.979200000000001</v>
      </c>
      <c r="NE39" s="184">
        <v>1.4713000000000001</v>
      </c>
      <c r="NF39" s="184">
        <v>0.5605</v>
      </c>
      <c r="NG39" s="162">
        <f t="shared" si="98"/>
        <v>0.45746666666666669</v>
      </c>
      <c r="NH39" s="53">
        <f t="shared" si="99"/>
        <v>37.399500000000003</v>
      </c>
      <c r="NI39" s="232">
        <f t="shared" si="127"/>
        <v>5.8799999999999741E-2</v>
      </c>
      <c r="NK39" s="250"/>
      <c r="NL39" s="250">
        <v>29</v>
      </c>
      <c r="NM39" s="34">
        <v>9982</v>
      </c>
      <c r="NN39" s="184">
        <v>10.996499999999999</v>
      </c>
      <c r="NO39" s="184">
        <v>1.4736</v>
      </c>
      <c r="NP39" s="184">
        <v>0.56140000000000001</v>
      </c>
      <c r="NQ39" s="162">
        <f t="shared" si="133"/>
        <v>0.45818749999999997</v>
      </c>
      <c r="NR39" s="53">
        <f t="shared" si="101"/>
        <v>37.398600000000002</v>
      </c>
      <c r="NS39" s="232">
        <f t="shared" si="128"/>
        <v>1.7299999999998761E-2</v>
      </c>
      <c r="NU39" s="250"/>
      <c r="NV39" s="250">
        <v>29</v>
      </c>
      <c r="NW39" s="34">
        <v>9982</v>
      </c>
      <c r="NX39" s="184">
        <v>11.023899999999999</v>
      </c>
      <c r="NY39" s="184">
        <v>1.4772000000000001</v>
      </c>
      <c r="NZ39" s="184">
        <v>0.56279999999999997</v>
      </c>
      <c r="OA39" s="162">
        <f t="shared" si="134"/>
        <v>0.45932916666666662</v>
      </c>
      <c r="OB39" s="53">
        <f t="shared" si="103"/>
        <v>37.397199999999998</v>
      </c>
      <c r="OC39" s="232">
        <f t="shared" si="129"/>
        <v>2.7400000000000091E-2</v>
      </c>
      <c r="OE39" s="250"/>
      <c r="OF39" s="250">
        <v>29</v>
      </c>
      <c r="OG39" s="34">
        <v>9982</v>
      </c>
      <c r="OH39" s="184">
        <v>11.037699999999999</v>
      </c>
      <c r="OI39" s="184">
        <v>1.4791000000000001</v>
      </c>
      <c r="OJ39" s="184">
        <v>0.5635</v>
      </c>
      <c r="OK39" s="162">
        <f t="shared" si="135"/>
        <v>0.45990416666666661</v>
      </c>
      <c r="OL39" s="53">
        <f t="shared" si="105"/>
        <v>37.396500000000003</v>
      </c>
      <c r="OM39" s="232">
        <f t="shared" si="130"/>
        <v>1.3799999999999812E-2</v>
      </c>
      <c r="OP39" s="250">
        <v>29</v>
      </c>
      <c r="OQ39" s="34">
        <v>9982</v>
      </c>
      <c r="OR39" s="184">
        <f>VLOOKUP(OQ39,Sheet4!A20:F96,3,0)</f>
        <v>11.0693</v>
      </c>
      <c r="OS39" s="184">
        <f>VLOOKUP(OQ39,Sheet4!A20:F96,4,0)</f>
        <v>1.4833000000000001</v>
      </c>
      <c r="OT39" s="184">
        <f>VLOOKUP(OQ39,Sheet4!A20:F96,5,0)</f>
        <v>0.56510000000000005</v>
      </c>
      <c r="OU39" s="162">
        <f t="shared" si="106"/>
        <v>0.46122083333333336</v>
      </c>
      <c r="OV39" s="53">
        <f t="shared" si="107"/>
        <v>37.3949</v>
      </c>
      <c r="OW39" s="232">
        <f t="shared" si="131"/>
        <v>3.1600000000000961E-2</v>
      </c>
    </row>
    <row r="40" spans="1:413" ht="15.75" x14ac:dyDescent="0.25">
      <c r="A40">
        <v>32</v>
      </c>
      <c r="B40" s="1">
        <v>9594</v>
      </c>
      <c r="C40" s="1" t="s">
        <v>1</v>
      </c>
      <c r="D40" s="2">
        <v>38.07</v>
      </c>
      <c r="E40" s="8"/>
      <c r="F40" s="8"/>
      <c r="G40" s="8"/>
      <c r="H40" s="8"/>
      <c r="J40" s="15">
        <v>9594</v>
      </c>
      <c r="K40" s="15">
        <v>12.004899999999999</v>
      </c>
      <c r="L40" s="15">
        <v>1.6087</v>
      </c>
      <c r="M40" s="15">
        <v>0.6129</v>
      </c>
      <c r="N40" s="24">
        <f t="shared" si="42"/>
        <v>0.50020416666666667</v>
      </c>
      <c r="O40" s="10">
        <f t="shared" si="36"/>
        <v>37.457099999999997</v>
      </c>
      <c r="P40" s="18"/>
      <c r="R40" s="20">
        <v>9594</v>
      </c>
      <c r="S40" s="9">
        <v>12.074999999999999</v>
      </c>
      <c r="T40" s="9">
        <v>1.6181000000000001</v>
      </c>
      <c r="U40" s="9">
        <v>0.61650000000000005</v>
      </c>
      <c r="V40" s="24">
        <f t="shared" si="43"/>
        <v>0.50312499999999993</v>
      </c>
      <c r="W40" s="10">
        <f t="shared" si="44"/>
        <v>37.453499999999998</v>
      </c>
      <c r="X40" s="18"/>
      <c r="Z40" s="27">
        <v>9594</v>
      </c>
      <c r="AA40" s="9">
        <v>12.247400000000001</v>
      </c>
      <c r="AB40" s="9">
        <v>1.6412</v>
      </c>
      <c r="AC40" s="9">
        <v>0.62529999999999997</v>
      </c>
      <c r="AD40" s="24">
        <f t="shared" si="45"/>
        <v>0.51030833333333336</v>
      </c>
      <c r="AE40" s="10">
        <f t="shared" si="46"/>
        <v>37.444699999999997</v>
      </c>
      <c r="AF40" s="79"/>
      <c r="AG40">
        <v>32</v>
      </c>
      <c r="AH40" s="1">
        <v>9594</v>
      </c>
      <c r="AI40" s="1" t="s">
        <v>1</v>
      </c>
      <c r="AJ40" s="2">
        <v>38.07</v>
      </c>
      <c r="AL40" s="32">
        <v>9594</v>
      </c>
      <c r="AM40" s="9">
        <v>12.435</v>
      </c>
      <c r="AN40" s="9">
        <v>1.6662999999999999</v>
      </c>
      <c r="AO40" s="9">
        <v>0.63490000000000002</v>
      </c>
      <c r="AP40" s="37">
        <f t="shared" si="0"/>
        <v>0.51812500000000006</v>
      </c>
      <c r="AQ40" s="53">
        <f t="shared" si="108"/>
        <v>37.435099999999998</v>
      </c>
      <c r="AT40" s="39"/>
      <c r="AU40" s="38">
        <v>9594</v>
      </c>
      <c r="AV40" s="9">
        <v>12.514799999999999</v>
      </c>
      <c r="AW40" s="43">
        <v>1.677</v>
      </c>
      <c r="AX40" s="43">
        <v>0.63890000000000002</v>
      </c>
      <c r="AY40" s="47">
        <f t="shared" si="47"/>
        <v>0.52144999999999997</v>
      </c>
      <c r="AZ40" s="56">
        <f t="shared" si="109"/>
        <v>37.431100000000001</v>
      </c>
      <c r="BD40" s="54">
        <v>9594</v>
      </c>
      <c r="BE40" s="53">
        <v>12.5238</v>
      </c>
      <c r="BF40" s="58">
        <v>1.6781999999999999</v>
      </c>
      <c r="BG40" s="58">
        <v>0.63939999999999997</v>
      </c>
      <c r="BH40" s="47">
        <f t="shared" si="48"/>
        <v>0.52182499999999998</v>
      </c>
      <c r="BI40" s="56">
        <f t="shared" si="49"/>
        <v>37.430599999999998</v>
      </c>
      <c r="BJ40" s="88"/>
      <c r="BK40" s="88"/>
      <c r="BL40" s="88"/>
      <c r="BN40" s="9">
        <v>9594</v>
      </c>
      <c r="BO40" s="53">
        <v>12.557499999999999</v>
      </c>
      <c r="BP40" s="53">
        <v>1.6828000000000001</v>
      </c>
      <c r="BQ40" s="53">
        <v>0.6411</v>
      </c>
      <c r="BR40" s="53">
        <f t="shared" si="50"/>
        <v>0.52322916666666663</v>
      </c>
      <c r="BS40" s="53">
        <f t="shared" si="51"/>
        <v>37.428899999999999</v>
      </c>
      <c r="BV40" s="88"/>
      <c r="BX40" s="93">
        <v>9594</v>
      </c>
      <c r="BY40" s="9">
        <v>12.623799999999999</v>
      </c>
      <c r="BZ40" s="9">
        <v>1.6916</v>
      </c>
      <c r="CA40" s="9">
        <v>0.64449999999999996</v>
      </c>
      <c r="CB40" s="58">
        <f t="shared" si="52"/>
        <v>0.52599166666666664</v>
      </c>
      <c r="CC40" s="53">
        <f t="shared" si="110"/>
        <v>37.4255</v>
      </c>
      <c r="CF40" s="88"/>
      <c r="CG40">
        <v>30</v>
      </c>
      <c r="CH40" s="93">
        <v>9594</v>
      </c>
      <c r="CI40" s="93">
        <v>12.6808</v>
      </c>
      <c r="CJ40" s="9">
        <v>1.6993</v>
      </c>
      <c r="CK40" s="9">
        <v>0.64739999999999998</v>
      </c>
      <c r="CL40" s="47">
        <f t="shared" si="5"/>
        <v>0.52836666666666665</v>
      </c>
      <c r="CM40" s="53">
        <f t="shared" si="53"/>
        <v>37.422600000000003</v>
      </c>
      <c r="CQ40">
        <v>30</v>
      </c>
      <c r="CR40" s="98">
        <v>9594</v>
      </c>
      <c r="CS40" s="101">
        <v>12.7525</v>
      </c>
      <c r="CT40" s="101">
        <v>1.7089000000000001</v>
      </c>
      <c r="CU40" s="101">
        <v>0.65110000000000001</v>
      </c>
      <c r="CV40" s="47">
        <f t="shared" si="6"/>
        <v>0.53135416666666668</v>
      </c>
      <c r="CW40" s="53">
        <f t="shared" si="37"/>
        <v>37.418900000000001</v>
      </c>
      <c r="DA40">
        <v>30</v>
      </c>
      <c r="DB40" s="106">
        <v>9594</v>
      </c>
      <c r="DC40" s="107">
        <v>12.759499999999999</v>
      </c>
      <c r="DD40" s="107">
        <v>1.7098</v>
      </c>
      <c r="DE40" s="107">
        <v>0.65139999999999998</v>
      </c>
      <c r="DF40" s="47">
        <f t="shared" si="136"/>
        <v>0.53164583333333326</v>
      </c>
      <c r="DG40" s="53">
        <f t="shared" si="111"/>
        <v>37.418599999999998</v>
      </c>
      <c r="DK40">
        <v>30</v>
      </c>
      <c r="DL40" s="110">
        <v>9594</v>
      </c>
      <c r="DM40" s="53">
        <v>12.8413</v>
      </c>
      <c r="DN40" s="53">
        <v>1.7208000000000001</v>
      </c>
      <c r="DO40" s="53">
        <v>0.65559999999999996</v>
      </c>
      <c r="DP40" s="47">
        <f t="shared" si="137"/>
        <v>0.53505416666666672</v>
      </c>
      <c r="DQ40" s="53">
        <f t="shared" si="54"/>
        <v>37.414400000000001</v>
      </c>
      <c r="DS40" s="3">
        <f t="shared" si="55"/>
        <v>8.1800000000001205E-2</v>
      </c>
      <c r="DU40">
        <v>30</v>
      </c>
      <c r="DV40" s="115">
        <v>9594</v>
      </c>
      <c r="DW40" s="9">
        <v>12.892300000000001</v>
      </c>
      <c r="DX40" s="9">
        <v>1.7276</v>
      </c>
      <c r="DY40" s="9">
        <v>0.65820000000000001</v>
      </c>
      <c r="DZ40" s="47">
        <f t="shared" si="138"/>
        <v>0.53717916666666665</v>
      </c>
      <c r="EA40" s="53">
        <f t="shared" si="112"/>
        <v>37.411799999999999</v>
      </c>
      <c r="EB40" s="3"/>
      <c r="EE40">
        <v>30</v>
      </c>
      <c r="EF40" s="118">
        <v>9594</v>
      </c>
      <c r="EG40" s="9">
        <v>12.972</v>
      </c>
      <c r="EH40" s="9">
        <v>1.7383</v>
      </c>
      <c r="EI40" s="9">
        <v>0.6623</v>
      </c>
      <c r="EJ40" s="47">
        <f t="shared" si="10"/>
        <v>0.54049999999999998</v>
      </c>
      <c r="EK40" s="53">
        <f t="shared" si="56"/>
        <v>37.407699999999998</v>
      </c>
      <c r="EM40" s="3">
        <f t="shared" si="57"/>
        <v>-4.1000000000011028E-3</v>
      </c>
      <c r="EN40" s="3"/>
      <c r="EO40">
        <v>30</v>
      </c>
      <c r="EP40" s="121">
        <v>9594</v>
      </c>
      <c r="EQ40" s="122">
        <v>13.1304</v>
      </c>
      <c r="ER40" s="122">
        <v>1.7595000000000001</v>
      </c>
      <c r="ES40" s="129">
        <v>0.6704</v>
      </c>
      <c r="ET40" s="130">
        <f t="shared" si="11"/>
        <v>0.54710000000000003</v>
      </c>
      <c r="EU40" s="131">
        <f t="shared" si="58"/>
        <v>37.3996</v>
      </c>
      <c r="EX40" s="3"/>
      <c r="EY40">
        <v>30</v>
      </c>
      <c r="EZ40" s="135">
        <v>9594</v>
      </c>
      <c r="FA40" s="135">
        <v>13.2051</v>
      </c>
      <c r="FB40" s="135">
        <v>1.7695000000000001</v>
      </c>
      <c r="FC40" s="135">
        <v>0.67420000000000002</v>
      </c>
      <c r="FD40" s="136">
        <f t="shared" si="12"/>
        <v>0.55021249999999999</v>
      </c>
      <c r="FE40" s="131">
        <f t="shared" si="59"/>
        <v>37.395800000000001</v>
      </c>
      <c r="FG40" s="123">
        <f t="shared" si="60"/>
        <v>-3.7999999999982492E-3</v>
      </c>
      <c r="FH40" s="3"/>
      <c r="FI40">
        <v>30</v>
      </c>
      <c r="FJ40" s="145">
        <v>9594</v>
      </c>
      <c r="FK40" s="9">
        <v>13.304600000000001</v>
      </c>
      <c r="FL40" s="9">
        <v>1.7828999999999999</v>
      </c>
      <c r="FM40" s="9">
        <v>0.67930000000000001</v>
      </c>
      <c r="FN40" s="146">
        <f t="shared" si="113"/>
        <v>0.5543583333333334</v>
      </c>
      <c r="FO40" s="131">
        <f t="shared" si="61"/>
        <v>37.390700000000002</v>
      </c>
      <c r="FP40" s="123">
        <f t="shared" si="62"/>
        <v>-5.0999999999987722E-3</v>
      </c>
      <c r="FS40">
        <v>30</v>
      </c>
      <c r="FT40" s="147">
        <v>9594</v>
      </c>
      <c r="FU40" s="148">
        <v>13.325100000000001</v>
      </c>
      <c r="FV40" s="148">
        <v>1.7856000000000001</v>
      </c>
      <c r="FW40" s="148">
        <v>0.68030000000000002</v>
      </c>
      <c r="FX40" s="150">
        <f t="shared" si="114"/>
        <v>0.5552125</v>
      </c>
      <c r="FY40" s="131">
        <f t="shared" si="115"/>
        <v>37.389699999999998</v>
      </c>
      <c r="FZ40">
        <f t="shared" si="63"/>
        <v>2.0500000000000185E-2</v>
      </c>
      <c r="GC40">
        <v>30</v>
      </c>
      <c r="GD40" s="151">
        <v>9594</v>
      </c>
      <c r="GE40" s="151">
        <v>13.3758</v>
      </c>
      <c r="GF40" s="151">
        <v>1.7924</v>
      </c>
      <c r="GG40" s="151">
        <v>0.68289999999999995</v>
      </c>
      <c r="GH40" s="153">
        <f t="shared" si="132"/>
        <v>0.55732499999999996</v>
      </c>
      <c r="GI40" s="131">
        <f t="shared" si="64"/>
        <v>37.387100000000004</v>
      </c>
      <c r="GJ40">
        <f t="shared" si="38"/>
        <v>5.0699999999999079E-2</v>
      </c>
      <c r="GM40">
        <v>30</v>
      </c>
      <c r="GN40" s="155">
        <v>9594</v>
      </c>
      <c r="GO40" s="155">
        <v>13.4831</v>
      </c>
      <c r="GP40" s="155">
        <v>1.8068</v>
      </c>
      <c r="GQ40" s="155">
        <v>0.68840000000000001</v>
      </c>
      <c r="GR40" s="58">
        <f t="shared" si="65"/>
        <v>0.56179583333333338</v>
      </c>
      <c r="GS40" s="131">
        <f t="shared" si="66"/>
        <v>37.381599999999999</v>
      </c>
      <c r="GT40">
        <f t="shared" si="39"/>
        <v>0.1073000000000004</v>
      </c>
      <c r="GW40">
        <v>30</v>
      </c>
      <c r="GX40" s="157">
        <v>9594</v>
      </c>
      <c r="GY40" s="161">
        <f>VLOOKUP(GX40,Sheet3!$AJ$7:$AN$83,2,0)</f>
        <v>13.619300000000001</v>
      </c>
      <c r="GZ40" s="161">
        <f>VLOOKUP(GX40,Sheet3!$AJ$7:$AN$83,3,0)</f>
        <v>1.825</v>
      </c>
      <c r="HA40" s="161">
        <f>VLOOKUP(GX40,Sheet3!$AJ$7:$AN$83,4,0)</f>
        <v>0.69530000000000003</v>
      </c>
      <c r="HB40" s="162">
        <f t="shared" si="17"/>
        <v>0.56747083333333337</v>
      </c>
      <c r="HC40" s="131">
        <f t="shared" si="116"/>
        <v>37.374699999999997</v>
      </c>
      <c r="HD40" s="159">
        <f t="shared" si="40"/>
        <v>0.13620000000000054</v>
      </c>
      <c r="HE40" s="159">
        <f t="shared" si="41"/>
        <v>6.9000000000000172E-3</v>
      </c>
      <c r="HG40" s="159"/>
      <c r="HH40" s="159">
        <v>30</v>
      </c>
      <c r="HI40" s="158">
        <v>9594</v>
      </c>
      <c r="HJ40" s="161">
        <v>13.674300000000001</v>
      </c>
      <c r="HK40" s="161">
        <v>1.8324</v>
      </c>
      <c r="HL40" s="161">
        <v>0.69810000000000005</v>
      </c>
      <c r="HM40" s="162">
        <f t="shared" si="18"/>
        <v>0.56976250000000006</v>
      </c>
      <c r="HN40" s="131">
        <f t="shared" si="67"/>
        <v>37.371900000000004</v>
      </c>
      <c r="HO40" s="159">
        <f t="shared" si="68"/>
        <v>5.4999999999999716E-2</v>
      </c>
      <c r="HQ40" s="183"/>
      <c r="HR40" s="183">
        <v>30</v>
      </c>
      <c r="HS40" s="178">
        <v>9594</v>
      </c>
      <c r="HT40" s="184">
        <v>13.710100000000001</v>
      </c>
      <c r="HU40" s="184">
        <v>1.8371999999999999</v>
      </c>
      <c r="HV40" s="184">
        <v>0.7</v>
      </c>
      <c r="HW40" s="171">
        <f t="shared" si="19"/>
        <v>0.57125416666666673</v>
      </c>
      <c r="HX40" s="53">
        <f t="shared" si="69"/>
        <v>37.369999999999997</v>
      </c>
      <c r="HY40" s="183">
        <f t="shared" si="70"/>
        <v>3.5800000000000054E-2</v>
      </c>
      <c r="IA40" s="194"/>
      <c r="IB40" s="194">
        <v>30</v>
      </c>
      <c r="IC40" s="193">
        <v>9594</v>
      </c>
      <c r="ID40" s="161">
        <v>13.7256</v>
      </c>
      <c r="IE40" s="184">
        <v>1.8392999999999999</v>
      </c>
      <c r="IF40" s="184">
        <v>0.70079999999999998</v>
      </c>
      <c r="IG40" s="171">
        <f t="shared" si="71"/>
        <v>0.57189999999999996</v>
      </c>
      <c r="IH40" s="53">
        <f t="shared" si="72"/>
        <v>37.369199999999999</v>
      </c>
      <c r="II40" s="194">
        <f t="shared" si="73"/>
        <v>1.5499999999999403E-2</v>
      </c>
      <c r="IL40" s="199">
        <v>30</v>
      </c>
      <c r="IM40" s="197">
        <v>9594</v>
      </c>
      <c r="IN40" s="161">
        <v>13.8072</v>
      </c>
      <c r="IO40" s="184">
        <v>1.8502000000000001</v>
      </c>
      <c r="IP40" s="184">
        <v>0.70489999999999997</v>
      </c>
      <c r="IQ40" s="171">
        <f t="shared" si="74"/>
        <v>0.57530000000000003</v>
      </c>
      <c r="IR40" s="53">
        <f t="shared" si="75"/>
        <v>37.365099999999998</v>
      </c>
      <c r="IS40" s="199">
        <f t="shared" si="76"/>
        <v>8.1599999999999895E-2</v>
      </c>
      <c r="IU40" s="202"/>
      <c r="IV40" s="202">
        <v>30</v>
      </c>
      <c r="IW40" s="201">
        <v>9594</v>
      </c>
      <c r="IX40" s="184">
        <v>13.917400000000001</v>
      </c>
      <c r="IY40" s="184">
        <v>1.865</v>
      </c>
      <c r="IZ40" s="184">
        <v>0.71060000000000001</v>
      </c>
      <c r="JA40" s="162">
        <f t="shared" si="22"/>
        <v>0.57989166666666669</v>
      </c>
      <c r="JB40" s="53">
        <f t="shared" si="77"/>
        <v>37.359400000000001</v>
      </c>
      <c r="JC40" s="202">
        <f t="shared" si="78"/>
        <v>0.11020000000000074</v>
      </c>
      <c r="JE40" s="204"/>
      <c r="JF40" s="204">
        <v>30</v>
      </c>
      <c r="JG40" s="203">
        <v>9594</v>
      </c>
      <c r="JH40" s="161">
        <v>13.952400000000001</v>
      </c>
      <c r="JI40" s="184">
        <v>1.8696999999999999</v>
      </c>
      <c r="JJ40" s="184">
        <v>0.71230000000000004</v>
      </c>
      <c r="JK40" s="162">
        <f t="shared" si="79"/>
        <v>0.58135000000000003</v>
      </c>
      <c r="JL40" s="53">
        <f t="shared" si="80"/>
        <v>37.357700000000001</v>
      </c>
      <c r="JM40" s="204">
        <f t="shared" si="117"/>
        <v>3.5000000000000142E-2</v>
      </c>
      <c r="JN40" s="204"/>
      <c r="JP40" s="209">
        <v>30</v>
      </c>
      <c r="JQ40" s="205">
        <v>9594</v>
      </c>
      <c r="JR40" s="161">
        <v>13.980600000000001</v>
      </c>
      <c r="JS40" s="184">
        <v>1.8734999999999999</v>
      </c>
      <c r="JT40" s="184">
        <v>0.71379999999999999</v>
      </c>
      <c r="JU40" s="162">
        <f t="shared" si="81"/>
        <v>0.58252500000000007</v>
      </c>
      <c r="JV40" s="53">
        <f t="shared" si="82"/>
        <v>37.356200000000001</v>
      </c>
      <c r="JW40" s="209">
        <f t="shared" si="118"/>
        <v>2.8200000000000003E-2</v>
      </c>
      <c r="JX40" s="213"/>
      <c r="JY40" s="213"/>
      <c r="JZ40" s="213">
        <v>30</v>
      </c>
      <c r="KA40" s="206">
        <v>9594</v>
      </c>
      <c r="KB40" s="184">
        <v>14.0466</v>
      </c>
      <c r="KC40" s="184">
        <v>1.8823000000000001</v>
      </c>
      <c r="KD40" s="184">
        <v>0.71719999999999995</v>
      </c>
      <c r="KE40" s="162">
        <f t="shared" si="83"/>
        <v>0.58527499999999999</v>
      </c>
      <c r="KF40" s="53">
        <f t="shared" si="84"/>
        <v>37.352800000000002</v>
      </c>
      <c r="KG40" s="213">
        <f t="shared" si="119"/>
        <v>6.5999999999998948E-2</v>
      </c>
      <c r="KI40" s="219"/>
      <c r="KJ40" s="219">
        <v>30</v>
      </c>
      <c r="KK40" s="214">
        <v>9594</v>
      </c>
      <c r="KL40" s="161">
        <v>14.0687</v>
      </c>
      <c r="KM40" s="161">
        <v>1.8853</v>
      </c>
      <c r="KN40" s="161">
        <v>0.71830000000000005</v>
      </c>
      <c r="KO40" s="162">
        <f t="shared" si="24"/>
        <v>0.58619583333333336</v>
      </c>
      <c r="KP40" s="53">
        <f t="shared" si="85"/>
        <v>37.351700000000001</v>
      </c>
      <c r="KQ40" s="218">
        <f t="shared" si="120"/>
        <v>2.2100000000000009E-2</v>
      </c>
      <c r="KT40" s="223">
        <v>30</v>
      </c>
      <c r="KU40" s="216">
        <v>9594</v>
      </c>
      <c r="KV40" s="161">
        <v>14.091900000000001</v>
      </c>
      <c r="KW40" s="161">
        <v>1.8884000000000001</v>
      </c>
      <c r="KX40" s="161">
        <v>0.71950000000000003</v>
      </c>
      <c r="KY40" s="162">
        <f t="shared" si="86"/>
        <v>0.58716250000000003</v>
      </c>
      <c r="KZ40" s="53">
        <f t="shared" si="87"/>
        <v>37.350499999999997</v>
      </c>
      <c r="LA40" s="224">
        <f t="shared" si="121"/>
        <v>2.3200000000000998E-2</v>
      </c>
      <c r="LD40" s="228">
        <v>30</v>
      </c>
      <c r="LE40" s="221">
        <v>9594</v>
      </c>
      <c r="LF40" s="161">
        <v>14.1113</v>
      </c>
      <c r="LG40" s="161">
        <v>1.891</v>
      </c>
      <c r="LH40" s="161">
        <v>0.72050000000000003</v>
      </c>
      <c r="LI40" s="162">
        <f t="shared" si="88"/>
        <v>0.58797083333333333</v>
      </c>
      <c r="LJ40" s="53">
        <f t="shared" si="89"/>
        <v>37.349499999999999</v>
      </c>
      <c r="LK40" s="229">
        <f t="shared" si="122"/>
        <v>1.9399999999999196E-2</v>
      </c>
      <c r="LL40" s="231"/>
      <c r="LM40" s="231"/>
      <c r="LN40" s="231">
        <v>30</v>
      </c>
      <c r="LO40" s="226">
        <v>9594</v>
      </c>
      <c r="LP40" s="184">
        <v>14.138500000000001</v>
      </c>
      <c r="LQ40" s="184">
        <v>1.8946000000000001</v>
      </c>
      <c r="LR40" s="184">
        <v>0.7218</v>
      </c>
      <c r="LS40" s="162">
        <f t="shared" si="90"/>
        <v>0.58910416666666665</v>
      </c>
      <c r="LT40" s="53">
        <f t="shared" si="91"/>
        <v>37.348199999999999</v>
      </c>
      <c r="LU40" s="232">
        <f t="shared" si="123"/>
        <v>2.7200000000000557E-2</v>
      </c>
      <c r="LW40" s="231"/>
      <c r="LX40" s="231">
        <v>30</v>
      </c>
      <c r="LY40" s="234">
        <v>9594</v>
      </c>
      <c r="LZ40" s="184">
        <v>14.1691</v>
      </c>
      <c r="MA40" s="184">
        <v>1.8987000000000001</v>
      </c>
      <c r="MB40" s="184">
        <v>0.72340000000000004</v>
      </c>
      <c r="MC40" s="162">
        <f t="shared" si="92"/>
        <v>0.59037916666666668</v>
      </c>
      <c r="MD40" s="53">
        <f t="shared" si="93"/>
        <v>37.346600000000002</v>
      </c>
      <c r="ME40" s="232">
        <f t="shared" si="124"/>
        <v>3.0599999999999739E-2</v>
      </c>
      <c r="MF40" s="231"/>
      <c r="MG40" s="231"/>
      <c r="MH40" s="231">
        <v>30</v>
      </c>
      <c r="MI40" s="236">
        <v>9594</v>
      </c>
      <c r="MJ40" s="184">
        <v>14.199199999999999</v>
      </c>
      <c r="MK40" s="184">
        <v>1.9027000000000001</v>
      </c>
      <c r="ML40" s="184">
        <v>0.72489999999999999</v>
      </c>
      <c r="MM40" s="162">
        <f t="shared" si="94"/>
        <v>0.59163333333333334</v>
      </c>
      <c r="MN40" s="53">
        <f t="shared" si="95"/>
        <v>37.345100000000002</v>
      </c>
      <c r="MO40" s="232">
        <f t="shared" si="125"/>
        <v>3.0099999999999127E-2</v>
      </c>
      <c r="MP40" s="231"/>
      <c r="MQ40" s="231"/>
      <c r="MR40" s="231">
        <v>30</v>
      </c>
      <c r="MS40" s="34">
        <v>9594</v>
      </c>
      <c r="MT40" s="184">
        <v>14.2567</v>
      </c>
      <c r="MU40" s="184">
        <v>1.9105000000000001</v>
      </c>
      <c r="MV40" s="184">
        <v>0.72789999999999999</v>
      </c>
      <c r="MW40" s="162">
        <f t="shared" si="96"/>
        <v>0.59402916666666672</v>
      </c>
      <c r="MX40" s="53">
        <f t="shared" si="97"/>
        <v>37.342100000000002</v>
      </c>
      <c r="MY40" s="232">
        <f t="shared" si="126"/>
        <v>5.7500000000000995E-2</v>
      </c>
      <c r="MZ40" s="246"/>
      <c r="NA40" s="246"/>
      <c r="NB40" s="246">
        <v>30</v>
      </c>
      <c r="NC40" s="34">
        <v>9594</v>
      </c>
      <c r="ND40" s="184">
        <v>14.3155</v>
      </c>
      <c r="NE40" s="184">
        <v>1.9182999999999999</v>
      </c>
      <c r="NF40" s="184">
        <v>0.73089999999999999</v>
      </c>
      <c r="NG40" s="162">
        <f t="shared" si="98"/>
        <v>0.59647916666666667</v>
      </c>
      <c r="NH40" s="53">
        <f t="shared" si="99"/>
        <v>37.339100000000002</v>
      </c>
      <c r="NI40" s="232">
        <f t="shared" si="127"/>
        <v>5.8799999999999741E-2</v>
      </c>
      <c r="NK40" s="250"/>
      <c r="NL40" s="250">
        <v>30</v>
      </c>
      <c r="NM40" s="34">
        <v>9594</v>
      </c>
      <c r="NN40" s="184">
        <v>14.332800000000001</v>
      </c>
      <c r="NO40" s="184">
        <v>1.9207000000000001</v>
      </c>
      <c r="NP40" s="184">
        <v>0.73180000000000001</v>
      </c>
      <c r="NQ40" s="162">
        <f t="shared" si="133"/>
        <v>0.59720000000000006</v>
      </c>
      <c r="NR40" s="53">
        <f t="shared" si="101"/>
        <v>37.338200000000001</v>
      </c>
      <c r="NS40" s="232">
        <f t="shared" si="128"/>
        <v>1.7300000000000537E-2</v>
      </c>
      <c r="NU40" s="250"/>
      <c r="NV40" s="250">
        <v>30</v>
      </c>
      <c r="NW40" s="34">
        <v>9594</v>
      </c>
      <c r="NX40" s="184">
        <v>14.360200000000001</v>
      </c>
      <c r="NY40" s="184">
        <v>1.9242999999999999</v>
      </c>
      <c r="NZ40" s="184">
        <v>0.73319999999999996</v>
      </c>
      <c r="OA40" s="162">
        <f t="shared" si="134"/>
        <v>0.59834166666666666</v>
      </c>
      <c r="OB40" s="53">
        <f t="shared" si="103"/>
        <v>37.336800000000004</v>
      </c>
      <c r="OC40" s="232">
        <f t="shared" si="129"/>
        <v>2.7400000000000091E-2</v>
      </c>
      <c r="OE40" s="250"/>
      <c r="OF40" s="250">
        <v>30</v>
      </c>
      <c r="OG40" s="34">
        <v>9594</v>
      </c>
      <c r="OH40" s="184">
        <v>14.374000000000001</v>
      </c>
      <c r="OI40" s="184">
        <v>1.9261999999999999</v>
      </c>
      <c r="OJ40" s="184">
        <v>0.7339</v>
      </c>
      <c r="OK40" s="162">
        <f t="shared" si="135"/>
        <v>0.59891666666666665</v>
      </c>
      <c r="OL40" s="53">
        <f t="shared" si="105"/>
        <v>37.336100000000002</v>
      </c>
      <c r="OM40" s="232">
        <f t="shared" si="130"/>
        <v>1.3799999999999812E-2</v>
      </c>
      <c r="OP40" s="250">
        <v>30</v>
      </c>
      <c r="OQ40" s="34">
        <v>9594</v>
      </c>
      <c r="OR40" s="184">
        <f>VLOOKUP(OQ40,Sheet4!A21:F97,3,0)</f>
        <v>14.4056</v>
      </c>
      <c r="OS40" s="184">
        <f>VLOOKUP(OQ40,Sheet4!A21:F97,4,0)</f>
        <v>1.9303999999999999</v>
      </c>
      <c r="OT40" s="184">
        <f>VLOOKUP(OQ40,Sheet4!A21:F97,5,0)</f>
        <v>0.73550000000000004</v>
      </c>
      <c r="OU40" s="162">
        <f t="shared" si="106"/>
        <v>0.60023333333333329</v>
      </c>
      <c r="OV40" s="53">
        <f t="shared" si="107"/>
        <v>37.334499999999998</v>
      </c>
      <c r="OW40" s="232">
        <f t="shared" si="131"/>
        <v>3.1599999999999184E-2</v>
      </c>
    </row>
    <row r="41" spans="1:413" ht="15.75" x14ac:dyDescent="0.25">
      <c r="A41">
        <v>33</v>
      </c>
      <c r="B41" s="1">
        <v>9869</v>
      </c>
      <c r="C41" s="1" t="s">
        <v>1</v>
      </c>
      <c r="D41" s="2">
        <v>37.67</v>
      </c>
      <c r="E41" s="8"/>
      <c r="F41" s="8"/>
      <c r="G41" s="8"/>
      <c r="H41" s="8"/>
      <c r="J41" s="15">
        <v>9869</v>
      </c>
      <c r="K41" s="15">
        <v>7.2952000000000004</v>
      </c>
      <c r="L41" s="15">
        <v>0.97760000000000002</v>
      </c>
      <c r="M41" s="15">
        <v>0.3725</v>
      </c>
      <c r="N41" s="24">
        <f t="shared" si="42"/>
        <v>0.30396666666666666</v>
      </c>
      <c r="O41" s="10">
        <f t="shared" si="36"/>
        <v>37.297499999999999</v>
      </c>
      <c r="P41" s="18"/>
      <c r="R41" s="20">
        <v>9869</v>
      </c>
      <c r="S41" s="9">
        <v>7.3653000000000004</v>
      </c>
      <c r="T41" s="9">
        <v>0.98699999999999999</v>
      </c>
      <c r="U41" s="9">
        <v>0.376</v>
      </c>
      <c r="V41" s="24">
        <f t="shared" si="43"/>
        <v>0.30688750000000004</v>
      </c>
      <c r="W41" s="10">
        <f t="shared" si="44"/>
        <v>37.294000000000004</v>
      </c>
      <c r="X41" s="18"/>
      <c r="Z41" s="27">
        <v>9869</v>
      </c>
      <c r="AA41" s="9">
        <v>7.5377000000000001</v>
      </c>
      <c r="AB41" s="9">
        <v>1.0101</v>
      </c>
      <c r="AC41" s="9">
        <v>0.38479999999999998</v>
      </c>
      <c r="AD41" s="24">
        <f t="shared" si="45"/>
        <v>0.31407083333333335</v>
      </c>
      <c r="AE41" s="10">
        <f t="shared" si="46"/>
        <v>37.285200000000003</v>
      </c>
      <c r="AF41" s="79"/>
      <c r="AG41">
        <v>33</v>
      </c>
      <c r="AH41" s="1">
        <v>9869</v>
      </c>
      <c r="AI41" s="1" t="s">
        <v>1</v>
      </c>
      <c r="AJ41" s="2">
        <v>37.67</v>
      </c>
      <c r="AL41" s="32">
        <v>9869</v>
      </c>
      <c r="AM41" s="9">
        <v>7.7252999999999998</v>
      </c>
      <c r="AN41" s="9">
        <v>1.0351999999999999</v>
      </c>
      <c r="AO41" s="9">
        <v>0.39439999999999997</v>
      </c>
      <c r="AP41" s="37">
        <f t="shared" si="0"/>
        <v>0.32188749999999999</v>
      </c>
      <c r="AQ41" s="53">
        <f t="shared" si="108"/>
        <v>37.275600000000004</v>
      </c>
      <c r="AT41" s="39"/>
      <c r="AU41" s="38">
        <v>9869</v>
      </c>
      <c r="AV41" s="9">
        <v>7.8051000000000004</v>
      </c>
      <c r="AW41" s="43">
        <v>1.0459000000000001</v>
      </c>
      <c r="AX41" s="43">
        <v>0.39850000000000002</v>
      </c>
      <c r="AY41" s="47">
        <f t="shared" si="47"/>
        <v>0.32521250000000002</v>
      </c>
      <c r="AZ41" s="56">
        <f t="shared" si="109"/>
        <v>37.271500000000003</v>
      </c>
      <c r="BD41" s="54">
        <v>9869</v>
      </c>
      <c r="BE41" s="53">
        <v>7.8140999999999998</v>
      </c>
      <c r="BF41" s="58">
        <v>1.0470999999999999</v>
      </c>
      <c r="BG41" s="58">
        <v>0.39900000000000002</v>
      </c>
      <c r="BH41" s="47">
        <f t="shared" si="48"/>
        <v>0.32558749999999997</v>
      </c>
      <c r="BI41" s="56">
        <f t="shared" si="49"/>
        <v>37.271000000000001</v>
      </c>
      <c r="BJ41" s="88"/>
      <c r="BK41" s="88"/>
      <c r="BL41" s="88"/>
      <c r="BN41" s="9">
        <v>9869</v>
      </c>
      <c r="BO41" s="53">
        <v>7.8478000000000003</v>
      </c>
      <c r="BP41" s="53">
        <v>1.0516000000000001</v>
      </c>
      <c r="BQ41" s="53">
        <v>0.4007</v>
      </c>
      <c r="BR41" s="53">
        <f t="shared" si="50"/>
        <v>0.32699166666666668</v>
      </c>
      <c r="BS41" s="53">
        <f t="shared" si="51"/>
        <v>37.269300000000001</v>
      </c>
      <c r="BV41" s="88"/>
      <c r="BX41" s="93">
        <v>9869</v>
      </c>
      <c r="BY41" s="9">
        <v>7.9141000000000004</v>
      </c>
      <c r="BZ41" s="9">
        <v>1.0605</v>
      </c>
      <c r="CA41" s="9">
        <v>0.40410000000000001</v>
      </c>
      <c r="CB41" s="58">
        <f t="shared" si="52"/>
        <v>0.32975416666666668</v>
      </c>
      <c r="CC41" s="53">
        <f t="shared" si="110"/>
        <v>37.265900000000002</v>
      </c>
      <c r="CF41" s="88"/>
      <c r="CG41">
        <v>31</v>
      </c>
      <c r="CH41" s="93">
        <v>9869</v>
      </c>
      <c r="CI41" s="93">
        <v>7.9710999999999999</v>
      </c>
      <c r="CJ41" s="9">
        <v>1.0682</v>
      </c>
      <c r="CK41" s="9">
        <v>0.40699999999999997</v>
      </c>
      <c r="CL41" s="47">
        <f t="shared" si="5"/>
        <v>0.33212916666666664</v>
      </c>
      <c r="CM41" s="53">
        <f t="shared" si="53"/>
        <v>37.263000000000005</v>
      </c>
      <c r="CQ41">
        <v>31</v>
      </c>
      <c r="CR41" s="98">
        <v>9869</v>
      </c>
      <c r="CS41" s="101">
        <v>8.0427999999999997</v>
      </c>
      <c r="CT41" s="101">
        <v>1.0778000000000001</v>
      </c>
      <c r="CU41" s="101">
        <v>0.41060000000000002</v>
      </c>
      <c r="CV41" s="47">
        <f t="shared" si="6"/>
        <v>0.33511666666666667</v>
      </c>
      <c r="CW41" s="53">
        <f t="shared" si="37"/>
        <v>37.259399999999999</v>
      </c>
      <c r="DA41">
        <v>31</v>
      </c>
      <c r="DB41" s="106">
        <v>9869</v>
      </c>
      <c r="DC41" s="107">
        <v>8.0497999999999994</v>
      </c>
      <c r="DD41" s="107">
        <v>1.0787</v>
      </c>
      <c r="DE41" s="107">
        <v>0.41099999999999998</v>
      </c>
      <c r="DF41" s="47">
        <f t="shared" si="136"/>
        <v>0.33540833333333331</v>
      </c>
      <c r="DG41" s="53">
        <f t="shared" si="111"/>
        <v>37.259</v>
      </c>
      <c r="DK41">
        <v>31</v>
      </c>
      <c r="DL41" s="110">
        <v>9869</v>
      </c>
      <c r="DM41" s="53">
        <v>8.1316000000000006</v>
      </c>
      <c r="DN41" s="53">
        <v>1.0896999999999999</v>
      </c>
      <c r="DO41" s="53">
        <v>0.41520000000000001</v>
      </c>
      <c r="DP41" s="47">
        <f t="shared" si="137"/>
        <v>0.33881666666666671</v>
      </c>
      <c r="DQ41" s="53">
        <f t="shared" si="54"/>
        <v>37.254800000000003</v>
      </c>
      <c r="DS41" s="3">
        <f t="shared" si="55"/>
        <v>8.1800000000001205E-2</v>
      </c>
      <c r="DU41">
        <v>31</v>
      </c>
      <c r="DV41" s="115">
        <v>9869</v>
      </c>
      <c r="DW41" s="53">
        <f>Sheet3!B$40</f>
        <v>8.1826000000000008</v>
      </c>
      <c r="DX41" s="53">
        <f>Sheet3!C$40</f>
        <v>1.0965</v>
      </c>
      <c r="DY41" s="53">
        <f>Sheet3!D$40</f>
        <v>0.4178</v>
      </c>
      <c r="DZ41" s="47">
        <f t="shared" si="138"/>
        <v>0.3409416666666667</v>
      </c>
      <c r="EA41" s="53">
        <f t="shared" si="112"/>
        <v>37.252200000000002</v>
      </c>
      <c r="EB41" s="3"/>
      <c r="EE41">
        <v>31</v>
      </c>
      <c r="EF41" s="118">
        <v>9869</v>
      </c>
      <c r="EG41" s="9">
        <v>8.2622999999999998</v>
      </c>
      <c r="EH41" s="9">
        <v>1.1072</v>
      </c>
      <c r="EI41" s="9">
        <v>0.42180000000000001</v>
      </c>
      <c r="EJ41" s="47">
        <f t="shared" si="10"/>
        <v>0.34426249999999997</v>
      </c>
      <c r="EK41" s="53">
        <f t="shared" si="56"/>
        <v>37.248200000000004</v>
      </c>
      <c r="EM41" s="3">
        <f t="shared" si="57"/>
        <v>-3.9999999999977831E-3</v>
      </c>
      <c r="EN41" s="3"/>
      <c r="EO41">
        <v>31</v>
      </c>
      <c r="EP41" s="121">
        <v>9869</v>
      </c>
      <c r="EQ41" s="122">
        <v>8.4207000000000001</v>
      </c>
      <c r="ER41" s="122">
        <v>1.1284000000000001</v>
      </c>
      <c r="ES41" s="129">
        <v>0.4299</v>
      </c>
      <c r="ET41" s="130">
        <f t="shared" si="11"/>
        <v>0.35086250000000002</v>
      </c>
      <c r="EU41" s="131">
        <f t="shared" si="58"/>
        <v>37.240099999999998</v>
      </c>
      <c r="EX41" s="3"/>
      <c r="EY41">
        <v>31</v>
      </c>
      <c r="EZ41" s="135">
        <v>9869</v>
      </c>
      <c r="FA41" s="135">
        <v>8.4954000000000001</v>
      </c>
      <c r="FB41" s="135">
        <v>1.1384000000000001</v>
      </c>
      <c r="FC41" s="135">
        <v>0.43369999999999997</v>
      </c>
      <c r="FD41" s="136">
        <f t="shared" si="12"/>
        <v>0.35397499999999998</v>
      </c>
      <c r="FE41" s="131">
        <f t="shared" si="59"/>
        <v>37.2363</v>
      </c>
      <c r="FG41" s="123">
        <f t="shared" si="60"/>
        <v>-3.7999999999982492E-3</v>
      </c>
      <c r="FH41" s="3"/>
      <c r="FI41">
        <v>31</v>
      </c>
      <c r="FJ41" s="145">
        <v>9869</v>
      </c>
      <c r="FK41" s="9">
        <v>8.5949000000000009</v>
      </c>
      <c r="FL41" s="9">
        <v>1.1516999999999999</v>
      </c>
      <c r="FM41" s="9">
        <v>0.43880000000000002</v>
      </c>
      <c r="FN41" s="146">
        <f t="shared" si="113"/>
        <v>0.35812083333333339</v>
      </c>
      <c r="FO41" s="131">
        <f t="shared" si="61"/>
        <v>37.231200000000001</v>
      </c>
      <c r="FP41" s="123">
        <f t="shared" si="62"/>
        <v>-5.0999999999987722E-3</v>
      </c>
      <c r="FS41">
        <v>31</v>
      </c>
      <c r="FT41" s="147">
        <v>9869</v>
      </c>
      <c r="FU41" s="148">
        <v>8.6153999999999993</v>
      </c>
      <c r="FV41" s="148">
        <v>1.1545000000000001</v>
      </c>
      <c r="FW41" s="148">
        <v>0.43990000000000001</v>
      </c>
      <c r="FX41" s="150">
        <f t="shared" si="114"/>
        <v>0.35897499999999999</v>
      </c>
      <c r="FY41" s="131">
        <f t="shared" si="115"/>
        <v>37.2301</v>
      </c>
      <c r="FZ41">
        <f t="shared" si="63"/>
        <v>2.0499999999998408E-2</v>
      </c>
      <c r="GC41">
        <v>31</v>
      </c>
      <c r="GD41" s="151">
        <v>9869</v>
      </c>
      <c r="GE41" s="151">
        <v>8.6661000000000001</v>
      </c>
      <c r="GF41" s="151">
        <v>1.1613</v>
      </c>
      <c r="GG41" s="151">
        <v>0.4425</v>
      </c>
      <c r="GH41" s="153">
        <f t="shared" si="132"/>
        <v>0.36108750000000001</v>
      </c>
      <c r="GI41" s="131">
        <f t="shared" si="64"/>
        <v>37.227499999999999</v>
      </c>
      <c r="GJ41">
        <f t="shared" si="38"/>
        <v>5.0700000000000855E-2</v>
      </c>
      <c r="GM41">
        <v>31</v>
      </c>
      <c r="GN41" s="155">
        <v>9869</v>
      </c>
      <c r="GO41" s="155">
        <v>8.7734000000000005</v>
      </c>
      <c r="GP41" s="155">
        <v>1.1757</v>
      </c>
      <c r="GQ41" s="155">
        <v>0.44790000000000002</v>
      </c>
      <c r="GR41" s="58">
        <f t="shared" si="65"/>
        <v>0.36555833333333337</v>
      </c>
      <c r="GS41" s="131">
        <f t="shared" si="66"/>
        <v>37.222100000000005</v>
      </c>
      <c r="GT41">
        <f t="shared" si="39"/>
        <v>0.1073000000000004</v>
      </c>
      <c r="GW41">
        <v>31</v>
      </c>
      <c r="GX41" s="157">
        <v>9869</v>
      </c>
      <c r="GY41" s="161">
        <f>VLOOKUP(GX41,Sheet3!$AJ$7:$AN$83,2,0)</f>
        <v>8.9095999999999993</v>
      </c>
      <c r="GZ41" s="161">
        <f>VLOOKUP(GX41,Sheet3!$AJ$7:$AN$83,3,0)</f>
        <v>1.1939</v>
      </c>
      <c r="HA41" s="161">
        <f>VLOOKUP(GX41,Sheet3!$AJ$7:$AN$83,4,0)</f>
        <v>0.45490000000000003</v>
      </c>
      <c r="HB41" s="162">
        <f t="shared" si="17"/>
        <v>0.3712333333333333</v>
      </c>
      <c r="HC41" s="131">
        <f t="shared" si="116"/>
        <v>37.2151</v>
      </c>
      <c r="HD41" s="159">
        <f t="shared" si="40"/>
        <v>0.13619999999999877</v>
      </c>
      <c r="HE41" s="159">
        <f t="shared" si="41"/>
        <v>7.0000000000000062E-3</v>
      </c>
      <c r="HG41" s="159"/>
      <c r="HH41" s="159">
        <v>31</v>
      </c>
      <c r="HI41" s="158">
        <v>9869</v>
      </c>
      <c r="HJ41" s="161">
        <v>8.9646000000000008</v>
      </c>
      <c r="HK41" s="161">
        <v>1.2013</v>
      </c>
      <c r="HL41" s="161">
        <v>0.4577</v>
      </c>
      <c r="HM41" s="162">
        <f t="shared" si="18"/>
        <v>0.37352500000000005</v>
      </c>
      <c r="HN41" s="131">
        <f t="shared" si="67"/>
        <v>37.212299999999999</v>
      </c>
      <c r="HO41" s="159">
        <f t="shared" si="68"/>
        <v>5.5000000000001492E-2</v>
      </c>
      <c r="HQ41" s="183"/>
      <c r="HR41" s="183">
        <v>31</v>
      </c>
      <c r="HS41" s="178">
        <v>9869</v>
      </c>
      <c r="HT41" s="184">
        <v>9.0004000000000008</v>
      </c>
      <c r="HU41" s="184">
        <v>1.2060999999999999</v>
      </c>
      <c r="HV41" s="184">
        <v>0.45950000000000002</v>
      </c>
      <c r="HW41" s="171">
        <f t="shared" si="19"/>
        <v>0.37501666666666672</v>
      </c>
      <c r="HX41" s="53">
        <f t="shared" si="69"/>
        <v>37.210500000000003</v>
      </c>
      <c r="HY41" s="183">
        <f t="shared" si="70"/>
        <v>3.5800000000000054E-2</v>
      </c>
      <c r="IA41" s="194"/>
      <c r="IB41" s="194">
        <v>31</v>
      </c>
      <c r="IC41" s="193">
        <v>9869</v>
      </c>
      <c r="ID41" s="161">
        <v>9.0159000000000002</v>
      </c>
      <c r="IE41" s="184">
        <v>1.2081999999999999</v>
      </c>
      <c r="IF41" s="184">
        <v>0.46029999999999999</v>
      </c>
      <c r="IG41" s="171">
        <f t="shared" si="71"/>
        <v>0.37566250000000001</v>
      </c>
      <c r="IH41" s="53">
        <f t="shared" si="72"/>
        <v>37.209700000000005</v>
      </c>
      <c r="II41" s="194">
        <f t="shared" si="73"/>
        <v>1.5499999999999403E-2</v>
      </c>
      <c r="IL41" s="199">
        <v>31</v>
      </c>
      <c r="IM41" s="197">
        <v>9869</v>
      </c>
      <c r="IN41" s="161">
        <v>9.0975000000000001</v>
      </c>
      <c r="IO41" s="184">
        <v>1.2191000000000001</v>
      </c>
      <c r="IP41" s="184">
        <v>0.46450000000000002</v>
      </c>
      <c r="IQ41" s="171">
        <f t="shared" si="74"/>
        <v>0.37906250000000002</v>
      </c>
      <c r="IR41" s="53">
        <f t="shared" si="75"/>
        <v>37.205500000000001</v>
      </c>
      <c r="IS41" s="199">
        <f t="shared" si="76"/>
        <v>8.1599999999999895E-2</v>
      </c>
      <c r="IU41" s="202"/>
      <c r="IV41" s="202">
        <v>31</v>
      </c>
      <c r="IW41" s="201">
        <v>9869</v>
      </c>
      <c r="IX41" s="184">
        <v>9.2077000000000009</v>
      </c>
      <c r="IY41" s="184">
        <v>1.2339</v>
      </c>
      <c r="IZ41" s="184">
        <v>0.47010000000000002</v>
      </c>
      <c r="JA41" s="162">
        <f t="shared" si="22"/>
        <v>0.38365416666666668</v>
      </c>
      <c r="JB41" s="53">
        <f t="shared" si="77"/>
        <v>37.1999</v>
      </c>
      <c r="JC41" s="202">
        <f t="shared" si="78"/>
        <v>0.11020000000000074</v>
      </c>
      <c r="JE41" s="204"/>
      <c r="JF41" s="204">
        <v>31</v>
      </c>
      <c r="JG41" s="203">
        <v>9869</v>
      </c>
      <c r="JH41" s="161">
        <v>9.2426999999999992</v>
      </c>
      <c r="JI41" s="184">
        <v>1.2385999999999999</v>
      </c>
      <c r="JJ41" s="184">
        <v>0.47189999999999999</v>
      </c>
      <c r="JK41" s="162">
        <f t="shared" si="79"/>
        <v>0.38511249999999997</v>
      </c>
      <c r="JL41" s="53">
        <f t="shared" si="80"/>
        <v>37.198100000000004</v>
      </c>
      <c r="JM41" s="204">
        <f t="shared" si="117"/>
        <v>3.4999999999998366E-2</v>
      </c>
      <c r="JN41" s="204"/>
      <c r="JP41" s="209">
        <v>31</v>
      </c>
      <c r="JQ41" s="205">
        <v>9869</v>
      </c>
      <c r="JR41" s="161">
        <v>9.2708999999999993</v>
      </c>
      <c r="JS41" s="184">
        <v>1.2423</v>
      </c>
      <c r="JT41" s="184">
        <v>0.4733</v>
      </c>
      <c r="JU41" s="162">
        <f t="shared" si="81"/>
        <v>0.38628749999999995</v>
      </c>
      <c r="JV41" s="53">
        <f t="shared" si="82"/>
        <v>37.1967</v>
      </c>
      <c r="JW41" s="209">
        <f t="shared" si="118"/>
        <v>2.8200000000000003E-2</v>
      </c>
      <c r="JX41" s="213"/>
      <c r="JY41" s="213"/>
      <c r="JZ41" s="213">
        <v>31</v>
      </c>
      <c r="KA41" s="206">
        <v>9869</v>
      </c>
      <c r="KB41" s="184">
        <v>9.3369</v>
      </c>
      <c r="KC41" s="184">
        <v>1.2512000000000001</v>
      </c>
      <c r="KD41" s="184">
        <v>0.47670000000000001</v>
      </c>
      <c r="KE41" s="162">
        <f t="shared" si="83"/>
        <v>0.38903749999999998</v>
      </c>
      <c r="KF41" s="53">
        <f t="shared" si="84"/>
        <v>37.193300000000001</v>
      </c>
      <c r="KG41" s="213">
        <f t="shared" si="119"/>
        <v>6.6000000000000725E-2</v>
      </c>
      <c r="KI41" s="219"/>
      <c r="KJ41" s="219">
        <v>31</v>
      </c>
      <c r="KK41" s="214">
        <v>9869</v>
      </c>
      <c r="KL41" s="161">
        <v>9.3589000000000002</v>
      </c>
      <c r="KM41" s="161">
        <v>1.2541</v>
      </c>
      <c r="KN41" s="161">
        <v>0.4778</v>
      </c>
      <c r="KO41" s="162">
        <f t="shared" si="24"/>
        <v>0.38995416666666666</v>
      </c>
      <c r="KP41" s="53">
        <f t="shared" si="85"/>
        <v>37.1922</v>
      </c>
      <c r="KQ41" s="219">
        <f t="shared" si="120"/>
        <v>2.2000000000000242E-2</v>
      </c>
      <c r="KT41" s="223">
        <v>31</v>
      </c>
      <c r="KU41" s="216">
        <v>9869</v>
      </c>
      <c r="KV41" s="161">
        <v>9.3820999999999994</v>
      </c>
      <c r="KW41" s="161">
        <v>1.2571999999999999</v>
      </c>
      <c r="KX41" s="161">
        <v>0.47899999999999998</v>
      </c>
      <c r="KY41" s="162">
        <f t="shared" si="86"/>
        <v>0.39092083333333333</v>
      </c>
      <c r="KZ41" s="53">
        <f t="shared" si="87"/>
        <v>37.191000000000003</v>
      </c>
      <c r="LA41" s="223">
        <f t="shared" si="121"/>
        <v>2.3199999999999221E-2</v>
      </c>
      <c r="LD41" s="228">
        <v>31</v>
      </c>
      <c r="LE41" s="221">
        <v>9869</v>
      </c>
      <c r="LF41" s="161">
        <v>9.4015000000000004</v>
      </c>
      <c r="LG41" s="161">
        <v>1.2598</v>
      </c>
      <c r="LH41" s="161">
        <v>0.48</v>
      </c>
      <c r="LI41" s="162">
        <f t="shared" si="88"/>
        <v>0.39172916666666668</v>
      </c>
      <c r="LJ41" s="53">
        <f t="shared" si="89"/>
        <v>37.190000000000005</v>
      </c>
      <c r="LK41" s="228">
        <f t="shared" si="122"/>
        <v>1.9400000000000972E-2</v>
      </c>
      <c r="LL41" s="231"/>
      <c r="LM41" s="231"/>
      <c r="LN41" s="231">
        <v>31</v>
      </c>
      <c r="LO41" s="226">
        <v>9869</v>
      </c>
      <c r="LP41" s="184">
        <v>9.4286999999999992</v>
      </c>
      <c r="LQ41" s="184">
        <v>1.2635000000000001</v>
      </c>
      <c r="LR41" s="184">
        <v>0.48139999999999999</v>
      </c>
      <c r="LS41" s="162">
        <f t="shared" si="90"/>
        <v>0.39286249999999995</v>
      </c>
      <c r="LT41" s="53">
        <f t="shared" si="91"/>
        <v>37.188600000000001</v>
      </c>
      <c r="LU41" s="231">
        <f t="shared" si="123"/>
        <v>2.7199999999998781E-2</v>
      </c>
      <c r="LW41" s="231"/>
      <c r="LX41" s="231">
        <v>31</v>
      </c>
      <c r="LY41" s="234">
        <v>9869</v>
      </c>
      <c r="LZ41" s="184">
        <v>9.4593000000000007</v>
      </c>
      <c r="MA41" s="184">
        <v>1.2676000000000001</v>
      </c>
      <c r="MB41" s="184">
        <v>0.4829</v>
      </c>
      <c r="MC41" s="162">
        <f t="shared" si="92"/>
        <v>0.39413750000000003</v>
      </c>
      <c r="MD41" s="53">
        <f t="shared" si="93"/>
        <v>37.187100000000001</v>
      </c>
      <c r="ME41" s="231">
        <f t="shared" si="124"/>
        <v>3.0600000000001515E-2</v>
      </c>
      <c r="MF41" s="231"/>
      <c r="MG41" s="231"/>
      <c r="MH41" s="231">
        <v>31</v>
      </c>
      <c r="MI41" s="236">
        <v>9869</v>
      </c>
      <c r="MJ41" s="184">
        <v>9.4893999999999998</v>
      </c>
      <c r="MK41" s="184">
        <v>1.2716000000000001</v>
      </c>
      <c r="ML41" s="184">
        <v>0.48449999999999999</v>
      </c>
      <c r="MM41" s="162">
        <f t="shared" si="94"/>
        <v>0.39539166666666664</v>
      </c>
      <c r="MN41" s="53">
        <f t="shared" si="95"/>
        <v>37.185500000000005</v>
      </c>
      <c r="MO41" s="231">
        <f t="shared" si="125"/>
        <v>3.0099999999999127E-2</v>
      </c>
      <c r="MP41" s="231"/>
      <c r="MQ41" s="231"/>
      <c r="MR41" s="231">
        <v>31</v>
      </c>
      <c r="MS41" s="34">
        <v>9869</v>
      </c>
      <c r="MT41" s="184">
        <v>9.5469000000000008</v>
      </c>
      <c r="MU41" s="184">
        <v>1.2793000000000001</v>
      </c>
      <c r="MV41" s="184">
        <v>0.4874</v>
      </c>
      <c r="MW41" s="162">
        <f t="shared" si="96"/>
        <v>0.39778750000000002</v>
      </c>
      <c r="MX41" s="53">
        <f t="shared" si="97"/>
        <v>37.182600000000001</v>
      </c>
      <c r="MY41" s="231">
        <f t="shared" si="126"/>
        <v>5.7500000000000995E-2</v>
      </c>
      <c r="MZ41" s="246"/>
      <c r="NA41" s="246"/>
      <c r="NB41" s="246">
        <v>31</v>
      </c>
      <c r="NC41" s="34">
        <v>9869</v>
      </c>
      <c r="ND41" s="184">
        <v>9.6057000000000006</v>
      </c>
      <c r="NE41" s="184">
        <v>1.2871999999999999</v>
      </c>
      <c r="NF41" s="184">
        <v>0.4904</v>
      </c>
      <c r="NG41" s="162">
        <f t="shared" si="98"/>
        <v>0.40023750000000002</v>
      </c>
      <c r="NH41" s="53">
        <f t="shared" si="99"/>
        <v>37.179600000000001</v>
      </c>
      <c r="NI41" s="232">
        <f t="shared" si="127"/>
        <v>5.8799999999999741E-2</v>
      </c>
      <c r="NK41" s="250"/>
      <c r="NL41" s="250">
        <v>31</v>
      </c>
      <c r="NM41" s="34">
        <v>9869</v>
      </c>
      <c r="NN41" s="184">
        <v>9.6229999999999993</v>
      </c>
      <c r="NO41" s="184">
        <v>1.2895000000000001</v>
      </c>
      <c r="NP41" s="184">
        <v>0.49130000000000001</v>
      </c>
      <c r="NQ41" s="162">
        <f t="shared" si="133"/>
        <v>0.40095833333333331</v>
      </c>
      <c r="NR41" s="53">
        <f t="shared" si="101"/>
        <v>37.178699999999999</v>
      </c>
      <c r="NS41" s="232">
        <f t="shared" si="128"/>
        <v>1.7299999999998761E-2</v>
      </c>
      <c r="NU41" s="250"/>
      <c r="NV41" s="250">
        <v>31</v>
      </c>
      <c r="NW41" s="34">
        <v>9869</v>
      </c>
      <c r="NX41" s="184">
        <v>9.6503999999999994</v>
      </c>
      <c r="NY41" s="184">
        <v>1.2931999999999999</v>
      </c>
      <c r="NZ41" s="184">
        <v>0.49270000000000003</v>
      </c>
      <c r="OA41" s="162">
        <f t="shared" si="134"/>
        <v>0.40209999999999996</v>
      </c>
      <c r="OB41" s="53">
        <f t="shared" si="103"/>
        <v>37.177300000000002</v>
      </c>
      <c r="OC41" s="232">
        <f t="shared" si="129"/>
        <v>2.7400000000000091E-2</v>
      </c>
      <c r="OE41" s="250"/>
      <c r="OF41" s="250">
        <v>31</v>
      </c>
      <c r="OG41" s="34">
        <v>9869</v>
      </c>
      <c r="OH41" s="184">
        <v>9.6641999999999992</v>
      </c>
      <c r="OI41" s="184">
        <v>1.2949999999999999</v>
      </c>
      <c r="OJ41" s="184">
        <v>0.49340000000000001</v>
      </c>
      <c r="OK41" s="162">
        <f t="shared" si="135"/>
        <v>0.40267499999999995</v>
      </c>
      <c r="OL41" s="53">
        <f t="shared" si="105"/>
        <v>37.176600000000001</v>
      </c>
      <c r="OM41" s="232">
        <f t="shared" si="130"/>
        <v>1.3799999999999812E-2</v>
      </c>
      <c r="OP41" s="250">
        <v>31</v>
      </c>
      <c r="OQ41" s="34">
        <v>9869</v>
      </c>
      <c r="OR41" s="184">
        <f>VLOOKUP(OQ41,Sheet4!A22:F98,3,0)</f>
        <v>9.6958000000000002</v>
      </c>
      <c r="OS41" s="184">
        <f>VLOOKUP(OQ41,Sheet4!A22:F98,4,0)</f>
        <v>1.2992999999999999</v>
      </c>
      <c r="OT41" s="184">
        <f>VLOOKUP(OQ41,Sheet4!A22:F98,5,0)</f>
        <v>0.495</v>
      </c>
      <c r="OU41" s="162">
        <f t="shared" si="106"/>
        <v>0.40399166666666669</v>
      </c>
      <c r="OV41" s="53">
        <f t="shared" si="107"/>
        <v>37.175000000000004</v>
      </c>
      <c r="OW41" s="232">
        <f t="shared" si="131"/>
        <v>3.1600000000000961E-2</v>
      </c>
    </row>
    <row r="42" spans="1:413" ht="15.75" x14ac:dyDescent="0.25">
      <c r="A42">
        <v>34</v>
      </c>
      <c r="B42" s="1">
        <v>9980</v>
      </c>
      <c r="C42" s="1" t="s">
        <v>1</v>
      </c>
      <c r="D42" s="2">
        <v>37.74</v>
      </c>
      <c r="E42" s="8"/>
      <c r="F42" s="8"/>
      <c r="G42" s="8"/>
      <c r="H42" s="8"/>
      <c r="J42" s="15">
        <v>9980</v>
      </c>
      <c r="K42" s="15">
        <v>8.6334999999999997</v>
      </c>
      <c r="L42" s="15">
        <v>1.1569</v>
      </c>
      <c r="M42" s="15">
        <v>0.44080000000000003</v>
      </c>
      <c r="N42" s="24">
        <f t="shared" si="42"/>
        <v>0.35972916666666666</v>
      </c>
      <c r="O42" s="10">
        <f t="shared" si="36"/>
        <v>37.299199999999999</v>
      </c>
      <c r="P42" s="18"/>
      <c r="R42" s="20">
        <v>9980</v>
      </c>
      <c r="S42" s="9">
        <v>8.7035999999999998</v>
      </c>
      <c r="T42" s="9">
        <v>1.1662999999999999</v>
      </c>
      <c r="U42" s="9">
        <v>0.44440000000000002</v>
      </c>
      <c r="V42" s="24">
        <f t="shared" si="43"/>
        <v>0.36264999999999997</v>
      </c>
      <c r="W42" s="10">
        <f t="shared" si="44"/>
        <v>37.2956</v>
      </c>
      <c r="X42" s="18"/>
      <c r="Z42" s="27">
        <v>9980</v>
      </c>
      <c r="AA42" s="9">
        <v>8.8759999999999994</v>
      </c>
      <c r="AB42" s="9">
        <v>1.1894</v>
      </c>
      <c r="AC42" s="9">
        <v>0.45319999999999999</v>
      </c>
      <c r="AD42" s="24">
        <f t="shared" si="45"/>
        <v>0.36983333333333329</v>
      </c>
      <c r="AE42" s="10">
        <f t="shared" si="46"/>
        <v>37.286799999999999</v>
      </c>
      <c r="AF42" s="79"/>
      <c r="AG42">
        <v>34</v>
      </c>
      <c r="AH42" s="1">
        <v>9980</v>
      </c>
      <c r="AI42" s="1" t="s">
        <v>1</v>
      </c>
      <c r="AJ42" s="2">
        <v>37.74</v>
      </c>
      <c r="AL42" s="32">
        <v>9980</v>
      </c>
      <c r="AM42" s="9">
        <v>9.0635999999999992</v>
      </c>
      <c r="AN42" s="9">
        <v>1.2145999999999999</v>
      </c>
      <c r="AO42" s="9">
        <v>0.4627</v>
      </c>
      <c r="AP42" s="37">
        <f t="shared" si="0"/>
        <v>0.37764999999999999</v>
      </c>
      <c r="AQ42" s="53">
        <f t="shared" si="108"/>
        <v>37.277300000000004</v>
      </c>
      <c r="AT42" s="39"/>
      <c r="AU42" s="38">
        <v>9980</v>
      </c>
      <c r="AV42" s="9">
        <v>9.1433999999999997</v>
      </c>
      <c r="AW42" s="43">
        <v>1.2253000000000001</v>
      </c>
      <c r="AX42" s="43">
        <v>0.46679999999999999</v>
      </c>
      <c r="AY42" s="47">
        <f t="shared" si="47"/>
        <v>0.38097500000000001</v>
      </c>
      <c r="AZ42" s="56">
        <f t="shared" si="109"/>
        <v>37.273200000000003</v>
      </c>
      <c r="BD42" s="54">
        <v>9980</v>
      </c>
      <c r="BE42" s="53">
        <v>9.1524000000000001</v>
      </c>
      <c r="BF42" s="58">
        <v>1.2264999999999999</v>
      </c>
      <c r="BG42" s="58">
        <v>0.46729999999999999</v>
      </c>
      <c r="BH42" s="47">
        <f t="shared" si="48"/>
        <v>0.38135000000000002</v>
      </c>
      <c r="BI42" s="56">
        <f t="shared" si="49"/>
        <v>37.2727</v>
      </c>
      <c r="BJ42" s="88"/>
      <c r="BK42" s="88"/>
      <c r="BL42" s="88"/>
      <c r="BN42" s="9">
        <v>9980</v>
      </c>
      <c r="BO42" s="53">
        <v>9.1860999999999997</v>
      </c>
      <c r="BP42" s="53">
        <v>1.2310000000000001</v>
      </c>
      <c r="BQ42" s="53">
        <v>0.46899999999999997</v>
      </c>
      <c r="BR42" s="53">
        <f t="shared" si="50"/>
        <v>0.38275416666666667</v>
      </c>
      <c r="BS42" s="53">
        <f t="shared" si="51"/>
        <v>37.271000000000001</v>
      </c>
      <c r="BV42" s="88"/>
      <c r="BX42" s="93">
        <v>9980</v>
      </c>
      <c r="BY42" s="9">
        <v>9.2523999999999997</v>
      </c>
      <c r="BZ42" s="9">
        <v>1.2399</v>
      </c>
      <c r="CA42" s="9">
        <v>0.47239999999999999</v>
      </c>
      <c r="CB42" s="58">
        <f t="shared" si="52"/>
        <v>0.38551666666666667</v>
      </c>
      <c r="CC42" s="53">
        <f t="shared" si="110"/>
        <v>37.267600000000002</v>
      </c>
      <c r="CF42" s="88"/>
      <c r="CG42">
        <v>32</v>
      </c>
      <c r="CH42" s="93">
        <v>9980</v>
      </c>
      <c r="CI42" s="93">
        <v>9.3094000000000001</v>
      </c>
      <c r="CJ42" s="9">
        <v>1.2475000000000001</v>
      </c>
      <c r="CK42" s="9">
        <v>0.4753</v>
      </c>
      <c r="CL42" s="47">
        <f t="shared" si="5"/>
        <v>0.38789166666666669</v>
      </c>
      <c r="CM42" s="53">
        <f t="shared" si="53"/>
        <v>37.264700000000005</v>
      </c>
      <c r="CQ42">
        <v>32</v>
      </c>
      <c r="CR42" s="98">
        <v>9980</v>
      </c>
      <c r="CS42" s="101">
        <v>9.3811</v>
      </c>
      <c r="CT42" s="101">
        <v>1.2571000000000001</v>
      </c>
      <c r="CU42" s="101">
        <v>0.47899999999999998</v>
      </c>
      <c r="CV42" s="47">
        <f t="shared" si="6"/>
        <v>0.39087916666666667</v>
      </c>
      <c r="CW42" s="53">
        <f t="shared" si="37"/>
        <v>37.261000000000003</v>
      </c>
      <c r="DA42">
        <v>32</v>
      </c>
      <c r="DB42" s="106">
        <v>9980</v>
      </c>
      <c r="DC42" s="107">
        <v>9.3880999999999997</v>
      </c>
      <c r="DD42" s="107">
        <v>1.258</v>
      </c>
      <c r="DE42" s="107">
        <v>0.4793</v>
      </c>
      <c r="DF42" s="47">
        <f t="shared" si="136"/>
        <v>0.3911708333333333</v>
      </c>
      <c r="DG42" s="53">
        <f t="shared" si="111"/>
        <v>37.2607</v>
      </c>
      <c r="DK42">
        <v>32</v>
      </c>
      <c r="DL42" s="110">
        <v>9980</v>
      </c>
      <c r="DM42" s="53">
        <v>9.4699000000000009</v>
      </c>
      <c r="DN42" s="53">
        <v>1.2689999999999999</v>
      </c>
      <c r="DO42" s="53">
        <v>0.48349999999999999</v>
      </c>
      <c r="DP42" s="47">
        <f t="shared" si="137"/>
        <v>0.3945791666666667</v>
      </c>
      <c r="DQ42" s="53">
        <f t="shared" si="54"/>
        <v>37.256500000000003</v>
      </c>
      <c r="DS42" s="3">
        <f t="shared" si="55"/>
        <v>8.1800000000001205E-2</v>
      </c>
      <c r="DU42">
        <v>32</v>
      </c>
      <c r="DV42" s="115">
        <v>9980</v>
      </c>
      <c r="DW42" s="53">
        <f>Sheet3!B$69</f>
        <v>9.5208999999999993</v>
      </c>
      <c r="DX42" s="53">
        <f>Sheet3!C$69</f>
        <v>1.2758</v>
      </c>
      <c r="DY42" s="53">
        <f>Sheet3!D$69</f>
        <v>0.48609999999999998</v>
      </c>
      <c r="DZ42" s="47">
        <f t="shared" si="138"/>
        <v>0.39670416666666664</v>
      </c>
      <c r="EA42" s="53">
        <f t="shared" si="112"/>
        <v>37.253900000000002</v>
      </c>
      <c r="EB42" s="3"/>
      <c r="EE42">
        <v>32</v>
      </c>
      <c r="EF42" s="118">
        <v>9980</v>
      </c>
      <c r="EG42" s="9">
        <v>9.6006</v>
      </c>
      <c r="EH42" s="9">
        <v>1.2865</v>
      </c>
      <c r="EI42" s="9">
        <v>0.49020000000000002</v>
      </c>
      <c r="EJ42" s="47">
        <f t="shared" si="10"/>
        <v>0.40002500000000002</v>
      </c>
      <c r="EK42" s="53">
        <f t="shared" si="56"/>
        <v>37.2498</v>
      </c>
      <c r="EM42" s="3">
        <f t="shared" si="57"/>
        <v>-4.1000000000011028E-3</v>
      </c>
      <c r="EN42" s="3"/>
      <c r="EO42">
        <v>32</v>
      </c>
      <c r="EP42" s="121">
        <v>9980</v>
      </c>
      <c r="EQ42" s="122">
        <v>9.7590000000000003</v>
      </c>
      <c r="ER42" s="122">
        <v>1.3077000000000001</v>
      </c>
      <c r="ES42" s="129">
        <v>0.49830000000000002</v>
      </c>
      <c r="ET42" s="130">
        <f t="shared" si="11"/>
        <v>0.40662500000000001</v>
      </c>
      <c r="EU42" s="131">
        <f t="shared" si="58"/>
        <v>37.241700000000002</v>
      </c>
      <c r="EX42" s="3"/>
      <c r="EY42">
        <v>32</v>
      </c>
      <c r="EZ42" s="135">
        <v>9980</v>
      </c>
      <c r="FA42" s="135">
        <v>9.8337000000000003</v>
      </c>
      <c r="FB42" s="135">
        <v>1.3178000000000001</v>
      </c>
      <c r="FC42" s="135">
        <v>0.50209999999999999</v>
      </c>
      <c r="FD42" s="136">
        <f t="shared" si="12"/>
        <v>0.40973750000000003</v>
      </c>
      <c r="FE42" s="131">
        <f t="shared" si="59"/>
        <v>37.237900000000003</v>
      </c>
      <c r="FG42" s="123">
        <f t="shared" si="60"/>
        <v>-3.7999999999982492E-3</v>
      </c>
      <c r="FH42" s="3"/>
      <c r="FI42">
        <v>32</v>
      </c>
      <c r="FJ42" s="145">
        <v>9980</v>
      </c>
      <c r="FK42" s="9">
        <v>9.9331999999999994</v>
      </c>
      <c r="FL42" s="9">
        <v>1.3310999999999999</v>
      </c>
      <c r="FM42" s="9">
        <v>0.5071</v>
      </c>
      <c r="FN42" s="146">
        <f t="shared" si="113"/>
        <v>0.41388333333333333</v>
      </c>
      <c r="FO42" s="131">
        <f t="shared" si="61"/>
        <v>37.232900000000001</v>
      </c>
      <c r="FP42" s="123">
        <f t="shared" si="62"/>
        <v>-5.000000000002558E-3</v>
      </c>
      <c r="FS42">
        <v>32</v>
      </c>
      <c r="FT42" s="147">
        <v>9980</v>
      </c>
      <c r="FU42" s="148">
        <v>9.9536999999999995</v>
      </c>
      <c r="FV42" s="148">
        <v>1.3338000000000001</v>
      </c>
      <c r="FW42" s="148">
        <v>0.50819999999999999</v>
      </c>
      <c r="FX42" s="150">
        <f t="shared" si="114"/>
        <v>0.41473749999999998</v>
      </c>
      <c r="FY42" s="131">
        <f t="shared" si="115"/>
        <v>37.2318</v>
      </c>
      <c r="FZ42">
        <f t="shared" si="63"/>
        <v>2.0500000000000185E-2</v>
      </c>
      <c r="GC42">
        <v>32</v>
      </c>
      <c r="GD42" s="151">
        <v>9980</v>
      </c>
      <c r="GE42" s="151">
        <v>10.0044</v>
      </c>
      <c r="GF42" s="151">
        <v>1.3406</v>
      </c>
      <c r="GG42" s="151">
        <v>0.51080000000000003</v>
      </c>
      <c r="GH42" s="153">
        <f t="shared" si="132"/>
        <v>0.41685</v>
      </c>
      <c r="GI42" s="131">
        <f t="shared" si="64"/>
        <v>37.229199999999999</v>
      </c>
      <c r="GJ42">
        <f t="shared" si="38"/>
        <v>5.0700000000000855E-2</v>
      </c>
      <c r="GM42">
        <v>32</v>
      </c>
      <c r="GN42" s="155">
        <v>9980</v>
      </c>
      <c r="GO42" s="155">
        <v>10.111700000000001</v>
      </c>
      <c r="GP42" s="155">
        <v>1.355</v>
      </c>
      <c r="GQ42" s="155">
        <v>0.51629999999999998</v>
      </c>
      <c r="GR42" s="58">
        <f t="shared" si="65"/>
        <v>0.42132083333333337</v>
      </c>
      <c r="GS42" s="131">
        <f t="shared" si="66"/>
        <v>37.223700000000001</v>
      </c>
      <c r="GT42">
        <f t="shared" si="39"/>
        <v>0.1073000000000004</v>
      </c>
      <c r="GW42">
        <v>32</v>
      </c>
      <c r="GX42" s="157">
        <v>9980</v>
      </c>
      <c r="GY42" s="161">
        <f>VLOOKUP(GX42,Sheet3!$AJ$7:$AN$83,2,0)</f>
        <v>10.2479</v>
      </c>
      <c r="GZ42" s="161">
        <f>VLOOKUP(GX42,Sheet3!$AJ$7:$AN$83,3,0)</f>
        <v>1.3733</v>
      </c>
      <c r="HA42" s="161">
        <f>VLOOKUP(GX42,Sheet3!$AJ$7:$AN$83,4,0)</f>
        <v>0.5232</v>
      </c>
      <c r="HB42" s="162">
        <f t="shared" si="17"/>
        <v>0.4269958333333333</v>
      </c>
      <c r="HC42" s="131">
        <f t="shared" si="116"/>
        <v>37.216799999999999</v>
      </c>
      <c r="HD42" s="159">
        <f t="shared" si="40"/>
        <v>0.13619999999999877</v>
      </c>
      <c r="HE42" s="159">
        <f t="shared" si="41"/>
        <v>6.9000000000000172E-3</v>
      </c>
      <c r="HG42" s="159"/>
      <c r="HH42" s="159">
        <v>32</v>
      </c>
      <c r="HI42" s="158">
        <v>9980</v>
      </c>
      <c r="HJ42" s="161">
        <v>10.302899999999999</v>
      </c>
      <c r="HK42" s="161">
        <v>1.3806</v>
      </c>
      <c r="HL42" s="161">
        <v>0.52600000000000002</v>
      </c>
      <c r="HM42" s="162">
        <f t="shared" si="18"/>
        <v>0.42928749999999999</v>
      </c>
      <c r="HN42" s="131">
        <f t="shared" si="67"/>
        <v>37.213999999999999</v>
      </c>
      <c r="HO42" s="159">
        <f t="shared" si="68"/>
        <v>5.4999999999999716E-2</v>
      </c>
      <c r="HQ42" s="183"/>
      <c r="HR42" s="183">
        <v>32</v>
      </c>
      <c r="HS42" s="178">
        <v>9980</v>
      </c>
      <c r="HT42" s="184">
        <v>10.338699999999999</v>
      </c>
      <c r="HU42" s="184">
        <v>1.3854</v>
      </c>
      <c r="HV42" s="184">
        <v>0.52780000000000005</v>
      </c>
      <c r="HW42" s="171">
        <f t="shared" si="19"/>
        <v>0.43077916666666666</v>
      </c>
      <c r="HX42" s="53">
        <f t="shared" si="69"/>
        <v>37.212200000000003</v>
      </c>
      <c r="HY42" s="183">
        <f t="shared" si="70"/>
        <v>3.5800000000000054E-2</v>
      </c>
      <c r="IA42" s="194"/>
      <c r="IB42" s="194">
        <v>32</v>
      </c>
      <c r="IC42" s="193">
        <v>9980</v>
      </c>
      <c r="ID42" s="161">
        <v>10.354200000000001</v>
      </c>
      <c r="IE42" s="184">
        <v>1.3875</v>
      </c>
      <c r="IF42" s="184">
        <v>0.52859999999999996</v>
      </c>
      <c r="IG42" s="171">
        <f t="shared" si="71"/>
        <v>0.431425</v>
      </c>
      <c r="IH42" s="53">
        <f t="shared" si="72"/>
        <v>37.211400000000005</v>
      </c>
      <c r="II42" s="194">
        <f t="shared" si="73"/>
        <v>1.550000000000118E-2</v>
      </c>
      <c r="IL42" s="199">
        <v>32</v>
      </c>
      <c r="IM42" s="197">
        <v>9980</v>
      </c>
      <c r="IN42" s="161">
        <v>10.4358</v>
      </c>
      <c r="IO42" s="184">
        <v>1.3984000000000001</v>
      </c>
      <c r="IP42" s="184">
        <v>0.53280000000000005</v>
      </c>
      <c r="IQ42" s="171">
        <f t="shared" si="74"/>
        <v>0.43482500000000002</v>
      </c>
      <c r="IR42" s="53">
        <f t="shared" si="75"/>
        <v>37.2072</v>
      </c>
      <c r="IS42" s="199">
        <f t="shared" si="76"/>
        <v>8.1599999999999895E-2</v>
      </c>
      <c r="IU42" s="202"/>
      <c r="IV42" s="202">
        <v>32</v>
      </c>
      <c r="IW42" s="201">
        <v>9980</v>
      </c>
      <c r="IX42" s="184">
        <v>10.545999999999999</v>
      </c>
      <c r="IY42" s="184">
        <v>1.4132</v>
      </c>
      <c r="IZ42" s="184">
        <v>0.53839999999999999</v>
      </c>
      <c r="JA42" s="162">
        <f t="shared" si="22"/>
        <v>0.43941666666666662</v>
      </c>
      <c r="JB42" s="53">
        <f t="shared" si="77"/>
        <v>37.201599999999999</v>
      </c>
      <c r="JC42" s="202">
        <f t="shared" si="78"/>
        <v>0.11019999999999897</v>
      </c>
      <c r="JE42" s="204"/>
      <c r="JF42" s="204">
        <v>32</v>
      </c>
      <c r="JG42" s="203">
        <v>9980</v>
      </c>
      <c r="JH42" s="161">
        <v>10.581</v>
      </c>
      <c r="JI42" s="184">
        <v>1.4178999999999999</v>
      </c>
      <c r="JJ42" s="184">
        <v>0.54020000000000001</v>
      </c>
      <c r="JK42" s="162">
        <f t="shared" si="79"/>
        <v>0.44087499999999996</v>
      </c>
      <c r="JL42" s="53">
        <f t="shared" si="80"/>
        <v>37.199800000000003</v>
      </c>
      <c r="JM42" s="204">
        <f t="shared" si="117"/>
        <v>3.5000000000000142E-2</v>
      </c>
      <c r="JN42" s="204"/>
      <c r="JP42" s="209">
        <v>32</v>
      </c>
      <c r="JQ42" s="205">
        <v>9980</v>
      </c>
      <c r="JR42" s="161">
        <v>10.6092</v>
      </c>
      <c r="JS42" s="184">
        <v>1.4217</v>
      </c>
      <c r="JT42" s="184">
        <v>0.54169999999999996</v>
      </c>
      <c r="JU42" s="162">
        <f t="shared" si="81"/>
        <v>0.44205</v>
      </c>
      <c r="JV42" s="53">
        <f t="shared" si="82"/>
        <v>37.198300000000003</v>
      </c>
      <c r="JW42" s="209">
        <f t="shared" si="118"/>
        <v>2.8200000000000003E-2</v>
      </c>
      <c r="JX42" s="213"/>
      <c r="JY42" s="213"/>
      <c r="JZ42" s="213">
        <v>32</v>
      </c>
      <c r="KA42" s="206">
        <v>9980</v>
      </c>
      <c r="KB42" s="184">
        <v>10.6752</v>
      </c>
      <c r="KC42" s="184">
        <v>1.4305000000000001</v>
      </c>
      <c r="KD42" s="184">
        <v>0.54500000000000004</v>
      </c>
      <c r="KE42" s="162">
        <f t="shared" si="83"/>
        <v>0.44480000000000003</v>
      </c>
      <c r="KF42" s="53">
        <f t="shared" si="84"/>
        <v>37.195</v>
      </c>
      <c r="KG42" s="213">
        <f t="shared" si="119"/>
        <v>6.6000000000000725E-2</v>
      </c>
      <c r="KI42" s="219"/>
      <c r="KJ42" s="219">
        <v>32</v>
      </c>
      <c r="KK42" s="214">
        <v>9980</v>
      </c>
      <c r="KL42" s="161">
        <v>10.6973</v>
      </c>
      <c r="KM42" s="161">
        <v>1.4335</v>
      </c>
      <c r="KN42" s="161">
        <v>0.54620000000000002</v>
      </c>
      <c r="KO42" s="162">
        <f t="shared" si="24"/>
        <v>0.44572083333333334</v>
      </c>
      <c r="KP42" s="53">
        <f t="shared" si="85"/>
        <v>37.193800000000003</v>
      </c>
      <c r="KQ42" s="218">
        <f t="shared" si="120"/>
        <v>2.2100000000000009E-2</v>
      </c>
      <c r="KT42" s="223">
        <v>32</v>
      </c>
      <c r="KU42" s="216">
        <v>9980</v>
      </c>
      <c r="KV42" s="161">
        <v>10.720499999999999</v>
      </c>
      <c r="KW42" s="161">
        <v>1.4365999999999999</v>
      </c>
      <c r="KX42" s="161">
        <v>0.54730000000000001</v>
      </c>
      <c r="KY42" s="162">
        <f t="shared" si="86"/>
        <v>0.44668749999999996</v>
      </c>
      <c r="KZ42" s="53">
        <f t="shared" si="87"/>
        <v>37.192700000000002</v>
      </c>
      <c r="LA42" s="224">
        <f t="shared" si="121"/>
        <v>2.3199999999999221E-2</v>
      </c>
      <c r="LD42" s="228">
        <v>32</v>
      </c>
      <c r="LE42" s="221">
        <v>9980</v>
      </c>
      <c r="LF42" s="161">
        <v>10.7399</v>
      </c>
      <c r="LG42" s="161">
        <v>1.4392</v>
      </c>
      <c r="LH42" s="161">
        <v>0.54830000000000001</v>
      </c>
      <c r="LI42" s="162">
        <f t="shared" si="88"/>
        <v>0.44749583333333337</v>
      </c>
      <c r="LJ42" s="53">
        <f t="shared" si="89"/>
        <v>37.191700000000004</v>
      </c>
      <c r="LK42" s="229">
        <f t="shared" si="122"/>
        <v>1.9400000000000972E-2</v>
      </c>
      <c r="LL42" s="231"/>
      <c r="LM42" s="231"/>
      <c r="LN42" s="231">
        <v>32</v>
      </c>
      <c r="LO42" s="226">
        <v>9980</v>
      </c>
      <c r="LP42" s="184">
        <v>10.767099999999999</v>
      </c>
      <c r="LQ42" s="184">
        <v>1.4428000000000001</v>
      </c>
      <c r="LR42" s="184">
        <v>0.54969999999999997</v>
      </c>
      <c r="LS42" s="162">
        <f t="shared" si="90"/>
        <v>0.44862916666666663</v>
      </c>
      <c r="LT42" s="53">
        <f t="shared" si="91"/>
        <v>37.190300000000001</v>
      </c>
      <c r="LU42" s="232">
        <f t="shared" si="123"/>
        <v>2.7199999999998781E-2</v>
      </c>
      <c r="LW42" s="231"/>
      <c r="LX42" s="231">
        <v>32</v>
      </c>
      <c r="LY42" s="234">
        <v>9980</v>
      </c>
      <c r="LZ42" s="184">
        <v>10.797700000000001</v>
      </c>
      <c r="MA42" s="184">
        <v>1.4469000000000001</v>
      </c>
      <c r="MB42" s="184">
        <v>0.55130000000000001</v>
      </c>
      <c r="MC42" s="162">
        <f t="shared" si="92"/>
        <v>0.44990416666666672</v>
      </c>
      <c r="MD42" s="53">
        <f t="shared" si="93"/>
        <v>37.188700000000004</v>
      </c>
      <c r="ME42" s="232">
        <f t="shared" si="124"/>
        <v>3.0600000000001515E-2</v>
      </c>
      <c r="MF42" s="231"/>
      <c r="MG42" s="231"/>
      <c r="MH42" s="231">
        <v>32</v>
      </c>
      <c r="MI42" s="236">
        <v>9980</v>
      </c>
      <c r="MJ42" s="184">
        <v>10.8278</v>
      </c>
      <c r="MK42" s="184">
        <v>1.4510000000000001</v>
      </c>
      <c r="ML42" s="184">
        <v>0.55279999999999996</v>
      </c>
      <c r="MM42" s="162">
        <f t="shared" si="94"/>
        <v>0.45115833333333333</v>
      </c>
      <c r="MN42" s="53">
        <f t="shared" si="95"/>
        <v>37.187200000000004</v>
      </c>
      <c r="MO42" s="232">
        <f t="shared" si="125"/>
        <v>3.0099999999999127E-2</v>
      </c>
      <c r="MP42" s="231"/>
      <c r="MQ42" s="231"/>
      <c r="MR42" s="231">
        <v>32</v>
      </c>
      <c r="MS42" s="34">
        <v>9980</v>
      </c>
      <c r="MT42" s="184">
        <v>10.885300000000001</v>
      </c>
      <c r="MU42" s="184">
        <v>1.4587000000000001</v>
      </c>
      <c r="MV42" s="184">
        <v>0.55579999999999996</v>
      </c>
      <c r="MW42" s="162">
        <f t="shared" si="96"/>
        <v>0.4535541666666667</v>
      </c>
      <c r="MX42" s="53">
        <f t="shared" si="97"/>
        <v>37.184200000000004</v>
      </c>
      <c r="MY42" s="232">
        <f t="shared" si="126"/>
        <v>5.7500000000000995E-2</v>
      </c>
      <c r="MZ42" s="246"/>
      <c r="NA42" s="246"/>
      <c r="NB42" s="246">
        <v>32</v>
      </c>
      <c r="NC42" s="34">
        <v>9980</v>
      </c>
      <c r="ND42" s="184">
        <v>10.944100000000001</v>
      </c>
      <c r="NE42" s="184">
        <v>1.4665999999999999</v>
      </c>
      <c r="NF42" s="184">
        <v>0.55879999999999996</v>
      </c>
      <c r="NG42" s="162">
        <f t="shared" si="98"/>
        <v>0.45600416666666671</v>
      </c>
      <c r="NH42" s="53">
        <f t="shared" si="99"/>
        <v>37.181200000000004</v>
      </c>
      <c r="NI42" s="232">
        <f t="shared" si="127"/>
        <v>5.8799999999999741E-2</v>
      </c>
      <c r="NK42" s="250"/>
      <c r="NL42" s="250">
        <v>32</v>
      </c>
      <c r="NM42" s="34">
        <v>9980</v>
      </c>
      <c r="NN42" s="184">
        <v>10.961399999999999</v>
      </c>
      <c r="NO42" s="184">
        <v>1.4689000000000001</v>
      </c>
      <c r="NP42" s="184">
        <v>0.55959999999999999</v>
      </c>
      <c r="NQ42" s="162">
        <f t="shared" si="133"/>
        <v>0.45672499999999999</v>
      </c>
      <c r="NR42" s="53">
        <f t="shared" si="101"/>
        <v>37.180399999999999</v>
      </c>
      <c r="NS42" s="232">
        <f t="shared" si="128"/>
        <v>1.7299999999998761E-2</v>
      </c>
      <c r="NU42" s="250"/>
      <c r="NV42" s="250">
        <v>32</v>
      </c>
      <c r="NW42" s="34">
        <v>9980</v>
      </c>
      <c r="NX42" s="184">
        <v>10.988799999999999</v>
      </c>
      <c r="NY42" s="184">
        <v>1.4724999999999999</v>
      </c>
      <c r="NZ42" s="184">
        <v>0.56100000000000005</v>
      </c>
      <c r="OA42" s="162">
        <f t="shared" si="134"/>
        <v>0.45786666666666664</v>
      </c>
      <c r="OB42" s="53">
        <f t="shared" si="103"/>
        <v>37.179000000000002</v>
      </c>
      <c r="OC42" s="232">
        <f t="shared" si="129"/>
        <v>2.7400000000000091E-2</v>
      </c>
      <c r="OE42" s="250"/>
      <c r="OF42" s="250">
        <v>32</v>
      </c>
      <c r="OG42" s="34">
        <v>9980</v>
      </c>
      <c r="OH42" s="184">
        <v>11.002599999999999</v>
      </c>
      <c r="OI42" s="184">
        <v>1.4743999999999999</v>
      </c>
      <c r="OJ42" s="184">
        <v>0.56169999999999998</v>
      </c>
      <c r="OK42" s="162">
        <f t="shared" si="135"/>
        <v>0.45844166666666664</v>
      </c>
      <c r="OL42" s="53">
        <f t="shared" si="105"/>
        <v>37.1783</v>
      </c>
      <c r="OM42" s="232">
        <f t="shared" si="130"/>
        <v>1.3799999999999812E-2</v>
      </c>
      <c r="OP42" s="250">
        <v>32</v>
      </c>
      <c r="OQ42" s="34">
        <v>9980</v>
      </c>
      <c r="OR42" s="184">
        <f>VLOOKUP(OQ42,Sheet4!A23:F99,3,0)</f>
        <v>11.0342</v>
      </c>
      <c r="OS42" s="184">
        <f>VLOOKUP(OQ42,Sheet4!A23:F99,4,0)</f>
        <v>1.4785999999999999</v>
      </c>
      <c r="OT42" s="184">
        <f>VLOOKUP(OQ42,Sheet4!A23:F99,5,0)</f>
        <v>0.56340000000000001</v>
      </c>
      <c r="OU42" s="162">
        <f t="shared" si="106"/>
        <v>0.45975833333333332</v>
      </c>
      <c r="OV42" s="53">
        <f t="shared" si="107"/>
        <v>37.176600000000001</v>
      </c>
      <c r="OW42" s="232">
        <f t="shared" si="131"/>
        <v>3.1600000000000961E-2</v>
      </c>
    </row>
    <row r="43" spans="1:413" ht="15.75" x14ac:dyDescent="0.25">
      <c r="A43">
        <v>35</v>
      </c>
      <c r="B43" s="1">
        <v>9877</v>
      </c>
      <c r="C43" s="1" t="s">
        <v>1</v>
      </c>
      <c r="D43" s="2">
        <v>37.79</v>
      </c>
      <c r="E43" s="8"/>
      <c r="F43" s="8"/>
      <c r="G43" s="8"/>
      <c r="H43" s="8"/>
      <c r="J43" s="15">
        <v>9877</v>
      </c>
      <c r="K43" s="15">
        <v>8.0684000000000005</v>
      </c>
      <c r="L43" s="15">
        <v>1.0811999999999999</v>
      </c>
      <c r="M43" s="15">
        <v>0.41189999999999999</v>
      </c>
      <c r="N43" s="24">
        <f t="shared" si="42"/>
        <v>0.33618333333333333</v>
      </c>
      <c r="O43" s="10">
        <f t="shared" ref="O43:O74" si="139">D43-M43</f>
        <v>37.378099999999996</v>
      </c>
      <c r="P43" s="18"/>
      <c r="R43" s="20">
        <v>9877</v>
      </c>
      <c r="S43" s="9">
        <v>8.1385000000000005</v>
      </c>
      <c r="T43" s="9">
        <v>1.0906</v>
      </c>
      <c r="U43" s="9">
        <v>0.41549999999999998</v>
      </c>
      <c r="V43" s="24">
        <f t="shared" si="43"/>
        <v>0.33910416666666671</v>
      </c>
      <c r="W43" s="10">
        <f t="shared" ref="W43:W74" si="140">D43-U43</f>
        <v>37.374499999999998</v>
      </c>
      <c r="X43" s="18"/>
      <c r="Z43" s="27">
        <v>9877</v>
      </c>
      <c r="AA43" s="9">
        <v>8.3109000000000002</v>
      </c>
      <c r="AB43" s="9">
        <v>1.1136999999999999</v>
      </c>
      <c r="AC43" s="9">
        <v>0.42430000000000001</v>
      </c>
      <c r="AD43" s="24">
        <f t="shared" si="45"/>
        <v>0.34628750000000003</v>
      </c>
      <c r="AE43" s="10">
        <f t="shared" si="46"/>
        <v>37.365699999999997</v>
      </c>
      <c r="AF43" s="79"/>
      <c r="AG43">
        <v>35</v>
      </c>
      <c r="AH43" s="1">
        <v>9877</v>
      </c>
      <c r="AI43" s="1" t="s">
        <v>1</v>
      </c>
      <c r="AJ43" s="2">
        <v>37.79</v>
      </c>
      <c r="AL43" s="32">
        <v>9877</v>
      </c>
      <c r="AM43" s="9">
        <v>8.4984999999999999</v>
      </c>
      <c r="AN43" s="9">
        <v>1.1388</v>
      </c>
      <c r="AO43" s="9">
        <v>0.43390000000000001</v>
      </c>
      <c r="AP43" s="37">
        <f t="shared" si="0"/>
        <v>0.35410416666666666</v>
      </c>
      <c r="AQ43" s="53">
        <f t="shared" si="108"/>
        <v>37.356099999999998</v>
      </c>
      <c r="AT43" s="39"/>
      <c r="AU43" s="38">
        <v>9877</v>
      </c>
      <c r="AV43" s="9">
        <v>8.5783000000000005</v>
      </c>
      <c r="AW43" s="43">
        <v>1.1495</v>
      </c>
      <c r="AX43" s="43">
        <v>0.438</v>
      </c>
      <c r="AY43" s="47">
        <f t="shared" si="47"/>
        <v>0.35742916666666669</v>
      </c>
      <c r="AZ43" s="56">
        <f t="shared" si="109"/>
        <v>37.351999999999997</v>
      </c>
      <c r="BD43" s="54">
        <v>9877</v>
      </c>
      <c r="BE43" s="53">
        <v>8.5873000000000008</v>
      </c>
      <c r="BF43" s="58">
        <v>1.1507000000000001</v>
      </c>
      <c r="BG43" s="58">
        <v>0.43840000000000001</v>
      </c>
      <c r="BH43" s="47">
        <f t="shared" si="48"/>
        <v>0.3578041666666667</v>
      </c>
      <c r="BI43" s="56">
        <f t="shared" si="49"/>
        <v>37.351599999999998</v>
      </c>
      <c r="BJ43" s="88"/>
      <c r="BK43" s="88"/>
      <c r="BL43" s="88"/>
      <c r="BN43" s="9">
        <v>9877</v>
      </c>
      <c r="BO43" s="53">
        <v>8.6210000000000004</v>
      </c>
      <c r="BP43" s="53">
        <v>1.1552</v>
      </c>
      <c r="BQ43" s="53">
        <v>0.44009999999999999</v>
      </c>
      <c r="BR43" s="53">
        <f t="shared" si="50"/>
        <v>0.35920833333333335</v>
      </c>
      <c r="BS43" s="53">
        <f t="shared" si="51"/>
        <v>37.349899999999998</v>
      </c>
      <c r="BV43" s="88"/>
      <c r="BX43" s="93">
        <v>9877</v>
      </c>
      <c r="BY43" s="9">
        <v>8.6873000000000005</v>
      </c>
      <c r="BZ43" s="9">
        <v>1.1640999999999999</v>
      </c>
      <c r="CA43" s="9">
        <v>0.44350000000000001</v>
      </c>
      <c r="CB43" s="58">
        <f t="shared" si="52"/>
        <v>0.36197083333333335</v>
      </c>
      <c r="CC43" s="53">
        <f t="shared" si="110"/>
        <v>37.346499999999999</v>
      </c>
      <c r="CF43" s="88"/>
      <c r="CG43">
        <v>33</v>
      </c>
      <c r="CH43" s="93">
        <v>9877</v>
      </c>
      <c r="CI43" s="93">
        <v>8.7443000000000008</v>
      </c>
      <c r="CJ43" s="9">
        <v>1.1718</v>
      </c>
      <c r="CK43" s="9">
        <v>0.44640000000000002</v>
      </c>
      <c r="CL43" s="47">
        <f t="shared" si="5"/>
        <v>0.36434583333333337</v>
      </c>
      <c r="CM43" s="53">
        <f t="shared" si="53"/>
        <v>37.343600000000002</v>
      </c>
      <c r="CQ43">
        <v>33</v>
      </c>
      <c r="CR43" s="98">
        <v>9877</v>
      </c>
      <c r="CS43" s="101">
        <v>8.8160000000000007</v>
      </c>
      <c r="CT43" s="101">
        <v>1.1814</v>
      </c>
      <c r="CU43" s="101">
        <v>0.4501</v>
      </c>
      <c r="CV43" s="47">
        <f t="shared" si="6"/>
        <v>0.36733333333333335</v>
      </c>
      <c r="CW43" s="53">
        <f t="shared" ref="CW43:CW74" si="141">AJ43-CU43</f>
        <v>37.3399</v>
      </c>
      <c r="DA43">
        <v>33</v>
      </c>
      <c r="DB43" s="106">
        <v>9877</v>
      </c>
      <c r="DC43" s="107">
        <v>8.8230000000000004</v>
      </c>
      <c r="DD43" s="107">
        <v>1.1822999999999999</v>
      </c>
      <c r="DE43" s="107">
        <v>0.45050000000000001</v>
      </c>
      <c r="DF43" s="47">
        <f t="shared" si="136"/>
        <v>0.36762500000000004</v>
      </c>
      <c r="DG43" s="53">
        <f t="shared" si="111"/>
        <v>37.339500000000001</v>
      </c>
      <c r="DK43">
        <v>33</v>
      </c>
      <c r="DL43" s="110">
        <v>9877</v>
      </c>
      <c r="DM43" s="53">
        <v>8.9047999999999998</v>
      </c>
      <c r="DN43" s="53">
        <v>1.1933</v>
      </c>
      <c r="DO43" s="53">
        <v>0.4546</v>
      </c>
      <c r="DP43" s="47">
        <f t="shared" si="137"/>
        <v>0.37103333333333333</v>
      </c>
      <c r="DQ43" s="53">
        <f t="shared" si="54"/>
        <v>37.3354</v>
      </c>
      <c r="DS43" s="3">
        <f t="shared" si="55"/>
        <v>8.1799999999999429E-2</v>
      </c>
      <c r="DU43">
        <v>33</v>
      </c>
      <c r="DV43" s="115">
        <v>9877</v>
      </c>
      <c r="DW43" s="53">
        <f>Sheet3!B$48</f>
        <v>8.9558</v>
      </c>
      <c r="DX43" s="53">
        <f>Sheet3!C$48</f>
        <v>1.2000999999999999</v>
      </c>
      <c r="DY43" s="53">
        <f>Sheet3!D$48</f>
        <v>0.4572</v>
      </c>
      <c r="DZ43" s="47">
        <f t="shared" si="138"/>
        <v>0.37315833333333331</v>
      </c>
      <c r="EA43" s="53">
        <f t="shared" si="112"/>
        <v>37.332799999999999</v>
      </c>
      <c r="EB43" s="3"/>
      <c r="EE43">
        <v>33</v>
      </c>
      <c r="EF43" s="118">
        <v>9877</v>
      </c>
      <c r="EG43" s="9">
        <v>9.0355000000000008</v>
      </c>
      <c r="EH43" s="9">
        <v>1.2108000000000001</v>
      </c>
      <c r="EI43" s="9">
        <v>0.46129999999999999</v>
      </c>
      <c r="EJ43" s="9">
        <v>0.4</v>
      </c>
      <c r="EK43" s="53">
        <f t="shared" si="56"/>
        <v>37.328699999999998</v>
      </c>
      <c r="EM43" s="3">
        <f t="shared" si="57"/>
        <v>-4.1000000000011028E-3</v>
      </c>
      <c r="EN43" s="3"/>
      <c r="EO43">
        <v>33</v>
      </c>
      <c r="EP43" s="121">
        <v>9877</v>
      </c>
      <c r="EQ43" s="122">
        <v>9.1938999999999993</v>
      </c>
      <c r="ER43" s="122">
        <v>1.232</v>
      </c>
      <c r="ES43" s="129">
        <v>0.46939999999999998</v>
      </c>
      <c r="ET43" s="130">
        <f t="shared" si="11"/>
        <v>0.38307916666666664</v>
      </c>
      <c r="EU43" s="131">
        <f t="shared" si="58"/>
        <v>37.320599999999999</v>
      </c>
      <c r="EX43" s="3"/>
      <c r="EY43">
        <v>33</v>
      </c>
      <c r="EZ43" s="135">
        <v>9877</v>
      </c>
      <c r="FA43" s="135">
        <v>9.2685999999999993</v>
      </c>
      <c r="FB43" s="135">
        <v>1.242</v>
      </c>
      <c r="FC43" s="135">
        <v>0.47320000000000001</v>
      </c>
      <c r="FD43" s="136">
        <f t="shared" si="12"/>
        <v>0.38619166666666666</v>
      </c>
      <c r="FE43" s="131">
        <f t="shared" si="59"/>
        <v>37.316800000000001</v>
      </c>
      <c r="FG43" s="123">
        <f t="shared" si="60"/>
        <v>-3.7999999999982492E-3</v>
      </c>
      <c r="FH43" s="3"/>
      <c r="FI43">
        <v>33</v>
      </c>
      <c r="FJ43" s="145">
        <v>9877</v>
      </c>
      <c r="FK43" s="9">
        <v>9.3681000000000001</v>
      </c>
      <c r="FL43" s="9">
        <v>1.2554000000000001</v>
      </c>
      <c r="FM43" s="9">
        <v>0.4783</v>
      </c>
      <c r="FN43" s="146">
        <f t="shared" si="113"/>
        <v>0.3903375</v>
      </c>
      <c r="FO43" s="131">
        <f t="shared" si="61"/>
        <v>37.311700000000002</v>
      </c>
      <c r="FP43" s="123">
        <f t="shared" si="62"/>
        <v>-5.0999999999987722E-3</v>
      </c>
      <c r="FS43">
        <v>33</v>
      </c>
      <c r="FT43" s="147">
        <v>9877</v>
      </c>
      <c r="FU43" s="148">
        <v>9.3886000000000003</v>
      </c>
      <c r="FV43" s="148">
        <v>1.2581</v>
      </c>
      <c r="FW43" s="148">
        <v>0.4793</v>
      </c>
      <c r="FX43" s="150">
        <f t="shared" si="114"/>
        <v>0.39119166666666666</v>
      </c>
      <c r="FY43" s="131">
        <f t="shared" si="115"/>
        <v>37.310699999999997</v>
      </c>
      <c r="FZ43">
        <f t="shared" si="63"/>
        <v>2.0500000000000185E-2</v>
      </c>
      <c r="GC43">
        <v>33</v>
      </c>
      <c r="GD43" s="151">
        <v>9877</v>
      </c>
      <c r="GE43" s="151">
        <v>9.4392999999999994</v>
      </c>
      <c r="GF43" s="151">
        <v>1.2648999999999999</v>
      </c>
      <c r="GG43" s="151">
        <v>0.4819</v>
      </c>
      <c r="GH43" s="153">
        <f t="shared" si="132"/>
        <v>0.39330416666666662</v>
      </c>
      <c r="GI43" s="131">
        <f t="shared" si="64"/>
        <v>37.308099999999996</v>
      </c>
      <c r="GJ43">
        <f t="shared" ref="GJ43:GJ74" si="142">GE43-FU43</f>
        <v>5.0699999999999079E-2</v>
      </c>
      <c r="GM43">
        <v>33</v>
      </c>
      <c r="GN43" s="155">
        <v>9877</v>
      </c>
      <c r="GO43" s="155">
        <v>9.5465999999999998</v>
      </c>
      <c r="GP43" s="155">
        <v>1.2793000000000001</v>
      </c>
      <c r="GQ43" s="155">
        <v>0.4874</v>
      </c>
      <c r="GR43" s="58">
        <f t="shared" si="65"/>
        <v>0.39777499999999999</v>
      </c>
      <c r="GS43" s="131">
        <f t="shared" si="66"/>
        <v>37.302599999999998</v>
      </c>
      <c r="GT43">
        <f t="shared" ref="GT43:GT74" si="143">GO43-GE43</f>
        <v>0.1073000000000004</v>
      </c>
      <c r="GW43">
        <v>33</v>
      </c>
      <c r="GX43" s="157">
        <v>9877</v>
      </c>
      <c r="GY43" s="161">
        <f>VLOOKUP(GX43,Sheet3!$AJ$7:$AN$83,2,0)</f>
        <v>9.6828000000000003</v>
      </c>
      <c r="GZ43" s="161">
        <f>VLOOKUP(GX43,Sheet3!$AJ$7:$AN$83,3,0)</f>
        <v>1.2975000000000001</v>
      </c>
      <c r="HA43" s="161">
        <f>VLOOKUP(GX43,Sheet3!$AJ$7:$AN$83,4,0)</f>
        <v>0.49440000000000001</v>
      </c>
      <c r="HB43" s="162">
        <f t="shared" si="17"/>
        <v>0.40345000000000003</v>
      </c>
      <c r="HC43" s="131">
        <f t="shared" si="116"/>
        <v>37.2956</v>
      </c>
      <c r="HD43" s="159">
        <f t="shared" ref="HD43:HD74" si="144">GY43-GO43</f>
        <v>0.13620000000000054</v>
      </c>
      <c r="HE43" s="159">
        <f t="shared" ref="HE43:HE74" si="145">HA43-GQ43</f>
        <v>7.0000000000000062E-3</v>
      </c>
      <c r="HG43" s="159"/>
      <c r="HH43" s="159">
        <v>33</v>
      </c>
      <c r="HI43" s="158">
        <v>9877</v>
      </c>
      <c r="HJ43" s="161">
        <v>9.7378</v>
      </c>
      <c r="HK43" s="161">
        <v>1.3048999999999999</v>
      </c>
      <c r="HL43" s="161">
        <v>0.49719999999999998</v>
      </c>
      <c r="HM43" s="162">
        <f t="shared" si="18"/>
        <v>0.40574166666666667</v>
      </c>
      <c r="HN43" s="131">
        <f t="shared" si="67"/>
        <v>37.2928</v>
      </c>
      <c r="HO43" s="159">
        <f t="shared" si="68"/>
        <v>5.4999999999999716E-2</v>
      </c>
      <c r="HQ43" s="183"/>
      <c r="HR43" s="183">
        <v>33</v>
      </c>
      <c r="HS43" s="178">
        <v>9877</v>
      </c>
      <c r="HT43" s="184">
        <v>9.7736000000000001</v>
      </c>
      <c r="HU43" s="184">
        <v>1.3097000000000001</v>
      </c>
      <c r="HV43" s="184">
        <v>0.499</v>
      </c>
      <c r="HW43" s="171">
        <f t="shared" si="19"/>
        <v>0.40723333333333334</v>
      </c>
      <c r="HX43" s="53">
        <f t="shared" si="69"/>
        <v>37.290999999999997</v>
      </c>
      <c r="HY43" s="183">
        <f t="shared" si="70"/>
        <v>3.5800000000000054E-2</v>
      </c>
      <c r="IA43" s="194"/>
      <c r="IB43" s="194">
        <v>33</v>
      </c>
      <c r="IC43" s="193">
        <v>9877</v>
      </c>
      <c r="ID43" s="161">
        <v>9.7890999999999995</v>
      </c>
      <c r="IE43" s="184">
        <v>1.3118000000000001</v>
      </c>
      <c r="IF43" s="184">
        <v>0.49980000000000002</v>
      </c>
      <c r="IG43" s="171">
        <f t="shared" si="71"/>
        <v>0.40787916666666663</v>
      </c>
      <c r="IH43" s="53">
        <f t="shared" si="72"/>
        <v>37.290199999999999</v>
      </c>
      <c r="II43" s="194">
        <f t="shared" si="73"/>
        <v>1.5499999999999403E-2</v>
      </c>
      <c r="IL43" s="199">
        <v>33</v>
      </c>
      <c r="IM43" s="197">
        <v>9877</v>
      </c>
      <c r="IN43" s="161">
        <v>9.8706999999999994</v>
      </c>
      <c r="IO43" s="184">
        <v>1.3227</v>
      </c>
      <c r="IP43" s="184">
        <v>0.504</v>
      </c>
      <c r="IQ43" s="171">
        <f t="shared" si="74"/>
        <v>0.41127916666666664</v>
      </c>
      <c r="IR43" s="53">
        <f t="shared" si="75"/>
        <v>37.286000000000001</v>
      </c>
      <c r="IS43" s="199">
        <f t="shared" si="76"/>
        <v>8.1599999999999895E-2</v>
      </c>
      <c r="IU43" s="202"/>
      <c r="IV43" s="202">
        <v>33</v>
      </c>
      <c r="IW43" s="201">
        <v>9877</v>
      </c>
      <c r="IX43" s="184">
        <v>9.9809000000000001</v>
      </c>
      <c r="IY43" s="184">
        <v>1.3374999999999999</v>
      </c>
      <c r="IZ43" s="184">
        <v>0.50960000000000005</v>
      </c>
      <c r="JA43" s="162">
        <f t="shared" si="22"/>
        <v>0.41587083333333336</v>
      </c>
      <c r="JB43" s="53">
        <f t="shared" si="77"/>
        <v>37.2804</v>
      </c>
      <c r="JC43" s="202">
        <f t="shared" si="78"/>
        <v>0.11020000000000074</v>
      </c>
      <c r="JE43" s="204"/>
      <c r="JF43" s="204">
        <v>33</v>
      </c>
      <c r="JG43" s="203">
        <v>9877</v>
      </c>
      <c r="JH43" s="161">
        <v>10.0159</v>
      </c>
      <c r="JI43" s="184">
        <v>1.3422000000000001</v>
      </c>
      <c r="JJ43" s="184">
        <v>0.51139999999999997</v>
      </c>
      <c r="JK43" s="162">
        <f t="shared" si="79"/>
        <v>0.4173291666666667</v>
      </c>
      <c r="JL43" s="53">
        <f t="shared" si="80"/>
        <v>37.278599999999997</v>
      </c>
      <c r="JM43" s="204">
        <f t="shared" si="117"/>
        <v>3.5000000000000142E-2</v>
      </c>
      <c r="JN43" s="204"/>
      <c r="JP43" s="209">
        <v>33</v>
      </c>
      <c r="JQ43" s="205">
        <v>9877</v>
      </c>
      <c r="JR43" s="161">
        <v>10.0441</v>
      </c>
      <c r="JS43" s="184">
        <v>1.3459000000000001</v>
      </c>
      <c r="JT43" s="184">
        <v>0.51280000000000003</v>
      </c>
      <c r="JU43" s="162">
        <f t="shared" si="81"/>
        <v>0.41850416666666668</v>
      </c>
      <c r="JV43" s="53">
        <f t="shared" si="82"/>
        <v>37.277200000000001</v>
      </c>
      <c r="JW43" s="209">
        <f t="shared" si="118"/>
        <v>2.8200000000000003E-2</v>
      </c>
      <c r="JX43" s="213"/>
      <c r="JY43" s="213"/>
      <c r="JZ43" s="213">
        <v>33</v>
      </c>
      <c r="KA43" s="206">
        <v>9877</v>
      </c>
      <c r="KB43" s="184">
        <v>10.110099999999999</v>
      </c>
      <c r="KC43" s="184">
        <v>1.3548</v>
      </c>
      <c r="KD43" s="184">
        <v>0.51619999999999999</v>
      </c>
      <c r="KE43" s="162">
        <f t="shared" si="83"/>
        <v>0.42125416666666665</v>
      </c>
      <c r="KF43" s="53">
        <f t="shared" si="84"/>
        <v>37.273800000000001</v>
      </c>
      <c r="KG43" s="213">
        <f t="shared" si="119"/>
        <v>6.5999999999998948E-2</v>
      </c>
      <c r="KI43" s="219"/>
      <c r="KJ43" s="219">
        <v>33</v>
      </c>
      <c r="KK43" s="214">
        <v>9877</v>
      </c>
      <c r="KL43" s="161">
        <v>10.132099999999999</v>
      </c>
      <c r="KM43" s="161">
        <v>1.3576999999999999</v>
      </c>
      <c r="KN43" s="161">
        <v>0.51729999999999998</v>
      </c>
      <c r="KO43" s="162">
        <f t="shared" si="24"/>
        <v>0.42217083333333333</v>
      </c>
      <c r="KP43" s="53">
        <f t="shared" si="85"/>
        <v>37.2727</v>
      </c>
      <c r="KQ43" s="219">
        <f t="shared" si="120"/>
        <v>2.2000000000000242E-2</v>
      </c>
      <c r="KT43" s="223">
        <v>33</v>
      </c>
      <c r="KU43" s="216">
        <v>9877</v>
      </c>
      <c r="KV43" s="161">
        <v>10.1553</v>
      </c>
      <c r="KW43" s="161">
        <v>1.3608</v>
      </c>
      <c r="KX43" s="161">
        <v>0.51849999999999996</v>
      </c>
      <c r="KY43" s="162">
        <f t="shared" si="86"/>
        <v>0.4231375</v>
      </c>
      <c r="KZ43" s="53">
        <f t="shared" si="87"/>
        <v>37.271499999999996</v>
      </c>
      <c r="LA43" s="223">
        <f t="shared" si="121"/>
        <v>2.3200000000000998E-2</v>
      </c>
      <c r="LD43" s="228">
        <v>33</v>
      </c>
      <c r="LE43" s="221">
        <v>9877</v>
      </c>
      <c r="LF43" s="161">
        <v>10.1747</v>
      </c>
      <c r="LG43" s="161">
        <v>1.3633999999999999</v>
      </c>
      <c r="LH43" s="161">
        <v>0.51949999999999996</v>
      </c>
      <c r="LI43" s="162">
        <f t="shared" si="88"/>
        <v>0.4239458333333333</v>
      </c>
      <c r="LJ43" s="53">
        <f t="shared" si="89"/>
        <v>37.270499999999998</v>
      </c>
      <c r="LK43" s="228">
        <f t="shared" si="122"/>
        <v>1.9399999999999196E-2</v>
      </c>
      <c r="LL43" s="231"/>
      <c r="LM43" s="231"/>
      <c r="LN43" s="231">
        <v>33</v>
      </c>
      <c r="LO43" s="226">
        <v>9877</v>
      </c>
      <c r="LP43" s="184">
        <v>10.2019</v>
      </c>
      <c r="LQ43" s="184">
        <v>1.3671</v>
      </c>
      <c r="LR43" s="184">
        <v>0.52090000000000003</v>
      </c>
      <c r="LS43" s="162">
        <f t="shared" si="90"/>
        <v>0.42507916666666667</v>
      </c>
      <c r="LT43" s="53">
        <f t="shared" si="91"/>
        <v>37.269100000000002</v>
      </c>
      <c r="LU43" s="231">
        <f t="shared" si="123"/>
        <v>2.7200000000000557E-2</v>
      </c>
      <c r="LW43" s="231"/>
      <c r="LX43" s="231">
        <v>33</v>
      </c>
      <c r="LY43" s="234">
        <v>9877</v>
      </c>
      <c r="LZ43" s="184">
        <v>10.2325</v>
      </c>
      <c r="MA43" s="184">
        <v>1.3712</v>
      </c>
      <c r="MB43" s="184">
        <v>0.52239999999999998</v>
      </c>
      <c r="MC43" s="162">
        <f t="shared" si="92"/>
        <v>0.42635416666666665</v>
      </c>
      <c r="MD43" s="53">
        <f t="shared" si="93"/>
        <v>37.267600000000002</v>
      </c>
      <c r="ME43" s="231">
        <f t="shared" si="124"/>
        <v>3.0599999999999739E-2</v>
      </c>
      <c r="MF43" s="231"/>
      <c r="MG43" s="231"/>
      <c r="MH43" s="231">
        <v>33</v>
      </c>
      <c r="MI43" s="236">
        <v>9877</v>
      </c>
      <c r="MJ43" s="184">
        <v>10.262600000000001</v>
      </c>
      <c r="MK43" s="184">
        <v>1.3752</v>
      </c>
      <c r="ML43" s="184">
        <v>0.52400000000000002</v>
      </c>
      <c r="MM43" s="162">
        <f t="shared" si="94"/>
        <v>0.42760833333333337</v>
      </c>
      <c r="MN43" s="53">
        <f t="shared" si="95"/>
        <v>37.265999999999998</v>
      </c>
      <c r="MO43" s="231">
        <f t="shared" si="125"/>
        <v>3.0100000000000904E-2</v>
      </c>
      <c r="MP43" s="231"/>
      <c r="MQ43" s="231"/>
      <c r="MR43" s="231">
        <v>33</v>
      </c>
      <c r="MS43" s="34">
        <v>9877</v>
      </c>
      <c r="MT43" s="184">
        <v>10.3201</v>
      </c>
      <c r="MU43" s="184">
        <v>1.3829</v>
      </c>
      <c r="MV43" s="184">
        <v>0.52690000000000003</v>
      </c>
      <c r="MW43" s="162">
        <f t="shared" si="96"/>
        <v>0.43000416666666669</v>
      </c>
      <c r="MX43" s="53">
        <f t="shared" si="97"/>
        <v>37.263100000000001</v>
      </c>
      <c r="MY43" s="231">
        <f t="shared" si="126"/>
        <v>5.7499999999999218E-2</v>
      </c>
      <c r="MZ43" s="246"/>
      <c r="NA43" s="246"/>
      <c r="NB43" s="246">
        <v>33</v>
      </c>
      <c r="NC43" s="34">
        <v>9877</v>
      </c>
      <c r="ND43" s="184">
        <v>10.3789</v>
      </c>
      <c r="NE43" s="184">
        <v>1.3908</v>
      </c>
      <c r="NF43" s="184">
        <v>0.52990000000000004</v>
      </c>
      <c r="NG43" s="162">
        <f t="shared" si="98"/>
        <v>0.43245416666666664</v>
      </c>
      <c r="NH43" s="53">
        <f t="shared" si="99"/>
        <v>37.260100000000001</v>
      </c>
      <c r="NI43" s="232">
        <f t="shared" si="127"/>
        <v>5.8799999999999741E-2</v>
      </c>
      <c r="NK43" s="250"/>
      <c r="NL43" s="250">
        <v>33</v>
      </c>
      <c r="NM43" s="34">
        <v>9877</v>
      </c>
      <c r="NN43" s="184">
        <v>10.3962</v>
      </c>
      <c r="NO43" s="184">
        <v>1.3931</v>
      </c>
      <c r="NP43" s="184">
        <v>0.53080000000000005</v>
      </c>
      <c r="NQ43" s="162">
        <f t="shared" si="133"/>
        <v>0.43317500000000003</v>
      </c>
      <c r="NR43" s="53">
        <f t="shared" si="101"/>
        <v>37.2592</v>
      </c>
      <c r="NS43" s="232">
        <f t="shared" si="128"/>
        <v>1.7300000000000537E-2</v>
      </c>
      <c r="NU43" s="250"/>
      <c r="NV43" s="250">
        <v>33</v>
      </c>
      <c r="NW43" s="34">
        <v>9877</v>
      </c>
      <c r="NX43" s="184">
        <v>10.4236</v>
      </c>
      <c r="NY43" s="184">
        <v>1.3968</v>
      </c>
      <c r="NZ43" s="184">
        <v>0.53220000000000001</v>
      </c>
      <c r="OA43" s="162">
        <f t="shared" si="134"/>
        <v>0.43431666666666668</v>
      </c>
      <c r="OB43" s="53">
        <f t="shared" si="103"/>
        <v>37.257799999999996</v>
      </c>
      <c r="OC43" s="232">
        <f t="shared" si="129"/>
        <v>2.7400000000000091E-2</v>
      </c>
      <c r="OE43" s="250"/>
      <c r="OF43" s="250">
        <v>33</v>
      </c>
      <c r="OG43" s="34">
        <v>9877</v>
      </c>
      <c r="OH43" s="184">
        <v>10.4374</v>
      </c>
      <c r="OI43" s="184">
        <v>1.3987000000000001</v>
      </c>
      <c r="OJ43" s="184">
        <v>0.53290000000000004</v>
      </c>
      <c r="OK43" s="162">
        <f t="shared" si="135"/>
        <v>0.43489166666666668</v>
      </c>
      <c r="OL43" s="53">
        <f t="shared" si="105"/>
        <v>37.257100000000001</v>
      </c>
      <c r="OM43" s="232">
        <f t="shared" si="130"/>
        <v>1.3799999999999812E-2</v>
      </c>
      <c r="OP43" s="250">
        <v>33</v>
      </c>
      <c r="OQ43" s="34">
        <v>9877</v>
      </c>
      <c r="OR43" s="184">
        <f>VLOOKUP(OQ43,Sheet4!A24:F100,3,0)</f>
        <v>10.468999999999999</v>
      </c>
      <c r="OS43" s="184">
        <f>VLOOKUP(OQ43,Sheet4!A24:F100,4,0)</f>
        <v>1.4029</v>
      </c>
      <c r="OT43" s="184">
        <f>VLOOKUP(OQ43,Sheet4!A24:F100,5,0)</f>
        <v>0.53449999999999998</v>
      </c>
      <c r="OU43" s="162">
        <f t="shared" si="106"/>
        <v>0.43620833333333331</v>
      </c>
      <c r="OV43" s="53">
        <f t="shared" si="107"/>
        <v>37.255499999999998</v>
      </c>
      <c r="OW43" s="232">
        <f t="shared" si="131"/>
        <v>3.1599999999999184E-2</v>
      </c>
    </row>
    <row r="44" spans="1:413" ht="15.75" x14ac:dyDescent="0.25">
      <c r="A44">
        <v>36</v>
      </c>
      <c r="B44" s="1">
        <v>9880</v>
      </c>
      <c r="C44" s="1" t="s">
        <v>1</v>
      </c>
      <c r="D44" s="2">
        <v>37.92</v>
      </c>
      <c r="E44" s="8"/>
      <c r="F44" s="8"/>
      <c r="G44" s="8"/>
      <c r="H44" s="8"/>
      <c r="J44" s="15">
        <v>9880</v>
      </c>
      <c r="K44" s="15">
        <v>8.0984999999999996</v>
      </c>
      <c r="L44" s="15">
        <v>1.0851999999999999</v>
      </c>
      <c r="M44" s="15">
        <v>0.41349999999999998</v>
      </c>
      <c r="N44" s="24">
        <f t="shared" si="42"/>
        <v>0.3374375</v>
      </c>
      <c r="O44" s="10">
        <f t="shared" si="139"/>
        <v>37.506500000000003</v>
      </c>
      <c r="P44" s="18"/>
      <c r="R44" s="20">
        <v>9880</v>
      </c>
      <c r="S44" s="9">
        <v>8.1685999999999996</v>
      </c>
      <c r="T44" s="9">
        <v>1.0946</v>
      </c>
      <c r="U44" s="9">
        <v>0.41710000000000003</v>
      </c>
      <c r="V44" s="24">
        <f t="shared" si="43"/>
        <v>0.34035833333333332</v>
      </c>
      <c r="W44" s="10">
        <f t="shared" si="140"/>
        <v>37.502900000000004</v>
      </c>
      <c r="X44" s="18"/>
      <c r="Z44" s="27">
        <v>9880</v>
      </c>
      <c r="AA44" s="9">
        <v>8.3409999999999993</v>
      </c>
      <c r="AB44" s="9">
        <v>1.1176999999999999</v>
      </c>
      <c r="AC44" s="9">
        <v>0.4259</v>
      </c>
      <c r="AD44" s="24">
        <f t="shared" si="45"/>
        <v>0.34754166666666664</v>
      </c>
      <c r="AE44" s="10">
        <f t="shared" si="46"/>
        <v>37.494100000000003</v>
      </c>
      <c r="AF44" s="79"/>
      <c r="AG44">
        <v>36</v>
      </c>
      <c r="AH44" s="1">
        <v>9880</v>
      </c>
      <c r="AI44" s="1" t="s">
        <v>1</v>
      </c>
      <c r="AJ44" s="2">
        <v>37.92</v>
      </c>
      <c r="AL44" s="32">
        <v>9880</v>
      </c>
      <c r="AM44" s="9">
        <v>8.5286000000000008</v>
      </c>
      <c r="AN44" s="9">
        <v>1.1429</v>
      </c>
      <c r="AO44" s="9">
        <v>0.43540000000000001</v>
      </c>
      <c r="AP44" s="37">
        <f t="shared" si="0"/>
        <v>0.35535833333333339</v>
      </c>
      <c r="AQ44" s="53">
        <f t="shared" si="108"/>
        <v>37.4846</v>
      </c>
      <c r="AT44" s="39"/>
      <c r="AU44" s="38">
        <v>9880</v>
      </c>
      <c r="AV44" s="9">
        <v>8.6083999999999996</v>
      </c>
      <c r="AW44" s="43">
        <v>1.1536</v>
      </c>
      <c r="AX44" s="43">
        <v>0.4395</v>
      </c>
      <c r="AY44" s="47">
        <f t="shared" si="47"/>
        <v>0.3586833333333333</v>
      </c>
      <c r="AZ44" s="56">
        <f t="shared" si="109"/>
        <v>37.480499999999999</v>
      </c>
      <c r="BD44" s="54">
        <v>9880</v>
      </c>
      <c r="BE44" s="53">
        <v>8.6173999999999999</v>
      </c>
      <c r="BF44" s="58">
        <v>1.1548</v>
      </c>
      <c r="BG44" s="58">
        <v>0.44</v>
      </c>
      <c r="BH44" s="47">
        <f t="shared" si="48"/>
        <v>0.35905833333333331</v>
      </c>
      <c r="BI44" s="56">
        <f t="shared" si="49"/>
        <v>37.480000000000004</v>
      </c>
      <c r="BJ44" s="88"/>
      <c r="BK44" s="88"/>
      <c r="BL44" s="88"/>
      <c r="BN44" s="9">
        <v>9880</v>
      </c>
      <c r="BO44" s="53">
        <v>8.6510999999999996</v>
      </c>
      <c r="BP44" s="53">
        <v>1.1593</v>
      </c>
      <c r="BQ44" s="53">
        <v>0.44169999999999998</v>
      </c>
      <c r="BR44" s="53">
        <f t="shared" si="50"/>
        <v>0.36046249999999996</v>
      </c>
      <c r="BS44" s="53">
        <f t="shared" si="51"/>
        <v>37.478300000000004</v>
      </c>
      <c r="BV44" s="88"/>
      <c r="BX44" s="93">
        <v>9880</v>
      </c>
      <c r="BY44" s="9">
        <v>8.7173999999999996</v>
      </c>
      <c r="BZ44" s="9">
        <v>1.1681999999999999</v>
      </c>
      <c r="CA44" s="9">
        <v>0.4451</v>
      </c>
      <c r="CB44" s="58">
        <f t="shared" si="52"/>
        <v>0.36322499999999996</v>
      </c>
      <c r="CC44" s="53">
        <f t="shared" si="110"/>
        <v>37.474900000000005</v>
      </c>
      <c r="CF44" s="88"/>
      <c r="CG44">
        <v>34</v>
      </c>
      <c r="CH44" s="93">
        <v>9880</v>
      </c>
      <c r="CI44" s="93">
        <v>8.7744</v>
      </c>
      <c r="CJ44" s="9">
        <v>1.1758</v>
      </c>
      <c r="CK44" s="9">
        <v>0.44800000000000001</v>
      </c>
      <c r="CL44" s="47">
        <f t="shared" si="5"/>
        <v>0.36559999999999998</v>
      </c>
      <c r="CM44" s="53">
        <f t="shared" si="53"/>
        <v>37.472000000000001</v>
      </c>
      <c r="CQ44">
        <v>34</v>
      </c>
      <c r="CR44" s="98">
        <v>9880</v>
      </c>
      <c r="CS44" s="101">
        <v>8.8460999999999999</v>
      </c>
      <c r="CT44" s="101">
        <v>1.1854</v>
      </c>
      <c r="CU44" s="101">
        <v>0.4516</v>
      </c>
      <c r="CV44" s="47">
        <f t="shared" si="6"/>
        <v>0.36858750000000001</v>
      </c>
      <c r="CW44" s="53">
        <f t="shared" si="141"/>
        <v>37.468400000000003</v>
      </c>
      <c r="DA44">
        <v>34</v>
      </c>
      <c r="DB44" s="106">
        <v>9880</v>
      </c>
      <c r="DC44" s="107">
        <v>8.8530999999999995</v>
      </c>
      <c r="DD44" s="107">
        <v>1.1862999999999999</v>
      </c>
      <c r="DE44" s="107">
        <v>0.45200000000000001</v>
      </c>
      <c r="DF44" s="47">
        <f t="shared" si="136"/>
        <v>0.36887916666666665</v>
      </c>
      <c r="DG44" s="53">
        <f t="shared" si="111"/>
        <v>37.468000000000004</v>
      </c>
      <c r="DK44">
        <v>34</v>
      </c>
      <c r="DL44" s="110">
        <v>9880</v>
      </c>
      <c r="DM44" s="53">
        <v>8.9349000000000007</v>
      </c>
      <c r="DN44" s="53">
        <v>1.1973</v>
      </c>
      <c r="DO44" s="53">
        <v>0.45619999999999999</v>
      </c>
      <c r="DP44" s="47">
        <f t="shared" si="137"/>
        <v>0.37228750000000005</v>
      </c>
      <c r="DQ44" s="53">
        <f t="shared" si="54"/>
        <v>37.463799999999999</v>
      </c>
      <c r="DS44" s="3">
        <f t="shared" si="55"/>
        <v>8.1800000000001205E-2</v>
      </c>
      <c r="DU44">
        <v>34</v>
      </c>
      <c r="DV44" s="115">
        <v>9880</v>
      </c>
      <c r="DW44" s="53">
        <f>Sheet3!B$51</f>
        <v>8.9859000000000009</v>
      </c>
      <c r="DX44" s="53">
        <f>Sheet3!C$51</f>
        <v>1.2040999999999999</v>
      </c>
      <c r="DY44" s="53">
        <f>Sheet3!D$51</f>
        <v>0.45879999999999999</v>
      </c>
      <c r="DZ44" s="47">
        <f t="shared" si="138"/>
        <v>0.37441250000000004</v>
      </c>
      <c r="EA44" s="53">
        <f t="shared" si="112"/>
        <v>37.461200000000005</v>
      </c>
      <c r="EB44" s="3"/>
      <c r="EE44">
        <v>34</v>
      </c>
      <c r="EF44" s="118">
        <v>9880</v>
      </c>
      <c r="EG44" s="9">
        <v>9.0655999999999999</v>
      </c>
      <c r="EH44" s="9">
        <v>1.2148000000000001</v>
      </c>
      <c r="EI44" s="9">
        <v>0.46279999999999999</v>
      </c>
      <c r="EJ44" s="47">
        <f t="shared" si="10"/>
        <v>0.37773333333333331</v>
      </c>
      <c r="EK44" s="53">
        <f t="shared" si="56"/>
        <v>37.4572</v>
      </c>
      <c r="EM44" s="3">
        <f t="shared" si="57"/>
        <v>-4.0000000000048885E-3</v>
      </c>
      <c r="EN44" s="3"/>
      <c r="EO44">
        <v>34</v>
      </c>
      <c r="EP44" s="121">
        <v>9880</v>
      </c>
      <c r="EQ44" s="122">
        <v>9.2240000000000002</v>
      </c>
      <c r="ER44" s="122">
        <v>1.2361</v>
      </c>
      <c r="ES44" s="129">
        <v>0.47089999999999999</v>
      </c>
      <c r="ET44" s="130">
        <f t="shared" si="11"/>
        <v>0.38433333333333336</v>
      </c>
      <c r="EU44" s="131">
        <f t="shared" si="58"/>
        <v>37.449100000000001</v>
      </c>
      <c r="EX44" s="3"/>
      <c r="EY44">
        <v>34</v>
      </c>
      <c r="EZ44" s="135">
        <v>9880</v>
      </c>
      <c r="FA44" s="135">
        <v>9.2987000000000002</v>
      </c>
      <c r="FB44" s="135">
        <v>1.2461</v>
      </c>
      <c r="FC44" s="135">
        <v>0.47470000000000001</v>
      </c>
      <c r="FD44" s="136">
        <f t="shared" si="12"/>
        <v>0.38744583333333332</v>
      </c>
      <c r="FE44" s="131">
        <f t="shared" si="59"/>
        <v>37.445300000000003</v>
      </c>
      <c r="FG44" s="123">
        <f t="shared" si="60"/>
        <v>-3.7999999999982492E-3</v>
      </c>
      <c r="FH44" s="3"/>
      <c r="FI44">
        <v>34</v>
      </c>
      <c r="FJ44" s="145">
        <v>9880</v>
      </c>
      <c r="FK44" s="9">
        <v>9.3981999999999992</v>
      </c>
      <c r="FL44" s="9">
        <v>1.2594000000000001</v>
      </c>
      <c r="FM44" s="9">
        <v>0.4798</v>
      </c>
      <c r="FN44" s="146">
        <f t="shared" si="113"/>
        <v>0.39159166666666662</v>
      </c>
      <c r="FO44" s="131">
        <f t="shared" si="61"/>
        <v>37.440200000000004</v>
      </c>
      <c r="FP44" s="123">
        <f t="shared" si="62"/>
        <v>-5.0999999999987722E-3</v>
      </c>
      <c r="FS44">
        <v>34</v>
      </c>
      <c r="FT44" s="147">
        <v>9880</v>
      </c>
      <c r="FU44" s="148">
        <v>9.4186999999999994</v>
      </c>
      <c r="FV44" s="148">
        <v>1.2621</v>
      </c>
      <c r="FW44" s="148">
        <v>0.48089999999999999</v>
      </c>
      <c r="FX44" s="150">
        <f t="shared" si="114"/>
        <v>0.39244583333333333</v>
      </c>
      <c r="FY44" s="131">
        <f t="shared" si="115"/>
        <v>37.439100000000003</v>
      </c>
      <c r="FZ44">
        <f t="shared" si="63"/>
        <v>2.0500000000000185E-2</v>
      </c>
      <c r="GC44">
        <v>34</v>
      </c>
      <c r="GD44" s="151">
        <v>9880</v>
      </c>
      <c r="GE44" s="151">
        <v>9.4694000000000003</v>
      </c>
      <c r="GF44" s="151">
        <v>1.2688999999999999</v>
      </c>
      <c r="GG44" s="151">
        <v>0.48349999999999999</v>
      </c>
      <c r="GH44" s="153">
        <f t="shared" si="132"/>
        <v>0.39455833333333334</v>
      </c>
      <c r="GI44" s="131">
        <f t="shared" si="64"/>
        <v>37.436500000000002</v>
      </c>
      <c r="GJ44">
        <f t="shared" si="142"/>
        <v>5.0700000000000855E-2</v>
      </c>
      <c r="GM44">
        <v>34</v>
      </c>
      <c r="GN44" s="155">
        <v>9880</v>
      </c>
      <c r="GO44" s="155">
        <v>9.5767000000000007</v>
      </c>
      <c r="GP44" s="155">
        <v>1.2833000000000001</v>
      </c>
      <c r="GQ44" s="155">
        <v>0.4889</v>
      </c>
      <c r="GR44" s="58">
        <f t="shared" si="65"/>
        <v>0.39902916666666671</v>
      </c>
      <c r="GS44" s="131">
        <f t="shared" si="66"/>
        <v>37.431100000000001</v>
      </c>
      <c r="GT44">
        <f t="shared" si="143"/>
        <v>0.1073000000000004</v>
      </c>
      <c r="GW44">
        <v>34</v>
      </c>
      <c r="GX44" s="157">
        <v>9880</v>
      </c>
      <c r="GY44" s="161">
        <f>VLOOKUP(GX44,Sheet3!$AJ$7:$AN$83,2,0)</f>
        <v>9.7128999999999994</v>
      </c>
      <c r="GZ44" s="161">
        <f>VLOOKUP(GX44,Sheet3!$AJ$7:$AN$83,3,0)</f>
        <v>1.3016000000000001</v>
      </c>
      <c r="HA44" s="161">
        <f>VLOOKUP(GX44,Sheet3!$AJ$7:$AN$83,4,0)</f>
        <v>0.49590000000000001</v>
      </c>
      <c r="HB44" s="162">
        <f t="shared" si="17"/>
        <v>0.40470416666666664</v>
      </c>
      <c r="HC44" s="131">
        <f t="shared" si="116"/>
        <v>37.424100000000003</v>
      </c>
      <c r="HD44" s="159">
        <f t="shared" si="144"/>
        <v>0.13619999999999877</v>
      </c>
      <c r="HE44" s="159">
        <f t="shared" si="145"/>
        <v>7.0000000000000062E-3</v>
      </c>
      <c r="HG44" s="159"/>
      <c r="HH44" s="159">
        <v>34</v>
      </c>
      <c r="HI44" s="158">
        <v>9880</v>
      </c>
      <c r="HJ44" s="161">
        <v>9.7678999999999991</v>
      </c>
      <c r="HK44" s="161">
        <v>1.3089</v>
      </c>
      <c r="HL44" s="161">
        <v>0.49869999999999998</v>
      </c>
      <c r="HM44" s="162">
        <f t="shared" si="18"/>
        <v>0.40699583333333328</v>
      </c>
      <c r="HN44" s="131">
        <f t="shared" si="67"/>
        <v>37.421300000000002</v>
      </c>
      <c r="HO44" s="159">
        <f t="shared" si="68"/>
        <v>5.4999999999999716E-2</v>
      </c>
      <c r="HQ44" s="183"/>
      <c r="HR44" s="183">
        <v>34</v>
      </c>
      <c r="HS44" s="178">
        <v>9880</v>
      </c>
      <c r="HT44" s="184">
        <v>9.8036999999999992</v>
      </c>
      <c r="HU44" s="184">
        <v>1.3137000000000001</v>
      </c>
      <c r="HV44" s="184">
        <v>0.50049999999999994</v>
      </c>
      <c r="HW44" s="171">
        <f t="shared" si="19"/>
        <v>0.40848749999999995</v>
      </c>
      <c r="HX44" s="53">
        <f t="shared" si="69"/>
        <v>37.419499999999999</v>
      </c>
      <c r="HY44" s="183">
        <f t="shared" si="70"/>
        <v>3.5800000000000054E-2</v>
      </c>
      <c r="IA44" s="194"/>
      <c r="IB44" s="194">
        <v>34</v>
      </c>
      <c r="IC44" s="193">
        <v>9880</v>
      </c>
      <c r="ID44" s="161">
        <v>9.8192000000000004</v>
      </c>
      <c r="IE44" s="184">
        <v>1.3158000000000001</v>
      </c>
      <c r="IF44" s="184">
        <v>0.50129999999999997</v>
      </c>
      <c r="IG44" s="171">
        <f t="shared" si="71"/>
        <v>0.40913333333333335</v>
      </c>
      <c r="IH44" s="53">
        <f t="shared" si="72"/>
        <v>37.418700000000001</v>
      </c>
      <c r="II44" s="194">
        <f t="shared" si="73"/>
        <v>1.550000000000118E-2</v>
      </c>
      <c r="IL44" s="199">
        <v>34</v>
      </c>
      <c r="IM44" s="197">
        <v>9880</v>
      </c>
      <c r="IN44" s="161">
        <v>9.9008000000000003</v>
      </c>
      <c r="IO44" s="184">
        <v>1.3267</v>
      </c>
      <c r="IP44" s="184">
        <v>0.50549999999999995</v>
      </c>
      <c r="IQ44" s="171">
        <f t="shared" si="74"/>
        <v>0.41253333333333336</v>
      </c>
      <c r="IR44" s="53">
        <f t="shared" si="75"/>
        <v>37.414500000000004</v>
      </c>
      <c r="IS44" s="199">
        <f t="shared" si="76"/>
        <v>8.1599999999999895E-2</v>
      </c>
      <c r="IU44" s="202"/>
      <c r="IV44" s="202">
        <v>34</v>
      </c>
      <c r="IW44" s="201">
        <v>9880</v>
      </c>
      <c r="IX44" s="184">
        <v>10.010999999999999</v>
      </c>
      <c r="IY44" s="184">
        <v>1.3414999999999999</v>
      </c>
      <c r="IZ44" s="184">
        <v>0.5111</v>
      </c>
      <c r="JA44" s="162">
        <f t="shared" si="22"/>
        <v>0.41712499999999997</v>
      </c>
      <c r="JB44" s="53">
        <f t="shared" si="77"/>
        <v>37.408900000000003</v>
      </c>
      <c r="JC44" s="202">
        <f t="shared" si="78"/>
        <v>0.11019999999999897</v>
      </c>
      <c r="JE44" s="204"/>
      <c r="JF44" s="204">
        <v>34</v>
      </c>
      <c r="JG44" s="203">
        <v>9880</v>
      </c>
      <c r="JH44" s="161">
        <v>10.045999999999999</v>
      </c>
      <c r="JI44" s="184">
        <v>1.3462000000000001</v>
      </c>
      <c r="JJ44" s="184">
        <v>0.51290000000000002</v>
      </c>
      <c r="JK44" s="162">
        <f t="shared" si="79"/>
        <v>0.41858333333333331</v>
      </c>
      <c r="JL44" s="53">
        <f t="shared" si="80"/>
        <v>37.4071</v>
      </c>
      <c r="JM44" s="204">
        <f t="shared" si="117"/>
        <v>3.5000000000000142E-2</v>
      </c>
      <c r="JN44" s="204"/>
      <c r="JP44" s="209">
        <v>34</v>
      </c>
      <c r="JQ44" s="205">
        <v>9880</v>
      </c>
      <c r="JR44" s="161">
        <v>10.074199999999999</v>
      </c>
      <c r="JS44" s="184">
        <v>1.35</v>
      </c>
      <c r="JT44" s="184">
        <v>0.51429999999999998</v>
      </c>
      <c r="JU44" s="162">
        <f t="shared" si="81"/>
        <v>0.41975833333333329</v>
      </c>
      <c r="JV44" s="53">
        <f t="shared" si="82"/>
        <v>37.405700000000003</v>
      </c>
      <c r="JW44" s="209">
        <f t="shared" si="118"/>
        <v>2.8200000000000003E-2</v>
      </c>
      <c r="JX44" s="213"/>
      <c r="JY44" s="213"/>
      <c r="JZ44" s="213">
        <v>34</v>
      </c>
      <c r="KA44" s="206">
        <v>9880</v>
      </c>
      <c r="KB44" s="184">
        <v>10.1402</v>
      </c>
      <c r="KC44" s="184">
        <v>1.3588</v>
      </c>
      <c r="KD44" s="184">
        <v>0.51770000000000005</v>
      </c>
      <c r="KE44" s="162">
        <f t="shared" si="83"/>
        <v>0.42250833333333332</v>
      </c>
      <c r="KF44" s="53">
        <f t="shared" si="84"/>
        <v>37.402300000000004</v>
      </c>
      <c r="KG44" s="213">
        <f t="shared" si="119"/>
        <v>6.6000000000000725E-2</v>
      </c>
      <c r="KI44" s="219"/>
      <c r="KJ44" s="219">
        <v>34</v>
      </c>
      <c r="KK44" s="214">
        <v>9880</v>
      </c>
      <c r="KL44" s="161">
        <v>10.1622</v>
      </c>
      <c r="KM44" s="161">
        <v>1.3617999999999999</v>
      </c>
      <c r="KN44" s="161">
        <v>0.51880000000000004</v>
      </c>
      <c r="KO44" s="162">
        <f t="shared" si="24"/>
        <v>0.423425</v>
      </c>
      <c r="KP44" s="53">
        <f t="shared" si="85"/>
        <v>37.401200000000003</v>
      </c>
      <c r="KQ44" s="219">
        <f t="shared" si="120"/>
        <v>2.2000000000000242E-2</v>
      </c>
      <c r="KT44" s="223">
        <v>34</v>
      </c>
      <c r="KU44" s="216">
        <v>9880</v>
      </c>
      <c r="KV44" s="161">
        <v>10.1854</v>
      </c>
      <c r="KW44" s="161">
        <v>1.3649</v>
      </c>
      <c r="KX44" s="161">
        <v>0.52</v>
      </c>
      <c r="KY44" s="162">
        <f t="shared" si="86"/>
        <v>0.42439166666666667</v>
      </c>
      <c r="KZ44" s="53">
        <f t="shared" si="87"/>
        <v>37.4</v>
      </c>
      <c r="LA44" s="223">
        <f t="shared" si="121"/>
        <v>2.3199999999999221E-2</v>
      </c>
      <c r="LD44" s="228">
        <v>34</v>
      </c>
      <c r="LE44" s="221">
        <v>9880</v>
      </c>
      <c r="LF44" s="161">
        <v>10.204800000000001</v>
      </c>
      <c r="LG44" s="161">
        <v>1.3674999999999999</v>
      </c>
      <c r="LH44" s="161">
        <v>0.52100000000000002</v>
      </c>
      <c r="LI44" s="162">
        <f t="shared" si="88"/>
        <v>0.42520000000000002</v>
      </c>
      <c r="LJ44" s="53">
        <f t="shared" si="89"/>
        <v>37.399000000000001</v>
      </c>
      <c r="LK44" s="228">
        <f t="shared" si="122"/>
        <v>1.9400000000000972E-2</v>
      </c>
      <c r="LL44" s="231"/>
      <c r="LM44" s="231"/>
      <c r="LN44" s="231">
        <v>34</v>
      </c>
      <c r="LO44" s="226">
        <v>9880</v>
      </c>
      <c r="LP44" s="184">
        <v>10.231999999999999</v>
      </c>
      <c r="LQ44" s="184">
        <v>1.3711</v>
      </c>
      <c r="LR44" s="184">
        <v>0.52239999999999998</v>
      </c>
      <c r="LS44" s="162">
        <f t="shared" si="90"/>
        <v>0.42633333333333329</v>
      </c>
      <c r="LT44" s="53">
        <f t="shared" si="91"/>
        <v>37.397600000000004</v>
      </c>
      <c r="LU44" s="231">
        <f t="shared" si="123"/>
        <v>2.7199999999998781E-2</v>
      </c>
      <c r="LW44" s="231"/>
      <c r="LX44" s="231">
        <v>34</v>
      </c>
      <c r="LY44" s="234">
        <v>9880</v>
      </c>
      <c r="LZ44" s="184">
        <v>10.262600000000001</v>
      </c>
      <c r="MA44" s="184">
        <v>1.3752</v>
      </c>
      <c r="MB44" s="184">
        <v>0.52400000000000002</v>
      </c>
      <c r="MC44" s="162">
        <f t="shared" si="92"/>
        <v>0.42760833333333337</v>
      </c>
      <c r="MD44" s="53">
        <f t="shared" si="93"/>
        <v>37.396000000000001</v>
      </c>
      <c r="ME44" s="231">
        <f t="shared" si="124"/>
        <v>3.0600000000001515E-2</v>
      </c>
      <c r="MF44" s="231"/>
      <c r="MG44" s="231"/>
      <c r="MH44" s="231">
        <v>34</v>
      </c>
      <c r="MI44" s="236">
        <v>9880</v>
      </c>
      <c r="MJ44" s="184">
        <v>10.2927</v>
      </c>
      <c r="MK44" s="184">
        <v>1.3793</v>
      </c>
      <c r="ML44" s="184">
        <v>0.52549999999999997</v>
      </c>
      <c r="MM44" s="162">
        <f t="shared" si="94"/>
        <v>0.42886249999999998</v>
      </c>
      <c r="MN44" s="53">
        <f t="shared" si="95"/>
        <v>37.394500000000001</v>
      </c>
      <c r="MO44" s="231">
        <f t="shared" si="125"/>
        <v>3.0099999999999127E-2</v>
      </c>
      <c r="MP44" s="231"/>
      <c r="MQ44" s="231"/>
      <c r="MR44" s="231">
        <v>34</v>
      </c>
      <c r="MS44" s="34">
        <v>9880</v>
      </c>
      <c r="MT44" s="184">
        <v>10.350199999999999</v>
      </c>
      <c r="MU44" s="184">
        <v>1.387</v>
      </c>
      <c r="MV44" s="184">
        <v>0.52839999999999998</v>
      </c>
      <c r="MW44" s="162">
        <f t="shared" si="96"/>
        <v>0.4312583333333333</v>
      </c>
      <c r="MX44" s="53">
        <f t="shared" si="97"/>
        <v>37.391600000000004</v>
      </c>
      <c r="MY44" s="231">
        <f t="shared" si="126"/>
        <v>5.7499999999999218E-2</v>
      </c>
      <c r="MZ44" s="246"/>
      <c r="NA44" s="246"/>
      <c r="NB44" s="246">
        <v>34</v>
      </c>
      <c r="NC44" s="34">
        <v>9880</v>
      </c>
      <c r="ND44" s="184">
        <v>10.409000000000001</v>
      </c>
      <c r="NE44" s="184">
        <v>1.3948</v>
      </c>
      <c r="NF44" s="184">
        <v>0.53139999999999998</v>
      </c>
      <c r="NG44" s="162">
        <f t="shared" si="98"/>
        <v>0.43370833333333336</v>
      </c>
      <c r="NH44" s="53">
        <f t="shared" si="99"/>
        <v>37.388600000000004</v>
      </c>
      <c r="NI44" s="232">
        <f t="shared" si="127"/>
        <v>5.8800000000001518E-2</v>
      </c>
      <c r="NK44" s="250"/>
      <c r="NL44" s="250">
        <v>34</v>
      </c>
      <c r="NM44" s="34">
        <v>9880</v>
      </c>
      <c r="NN44" s="184">
        <v>10.426299999999999</v>
      </c>
      <c r="NO44" s="184">
        <v>1.3972</v>
      </c>
      <c r="NP44" s="184">
        <v>0.5323</v>
      </c>
      <c r="NQ44" s="162">
        <f t="shared" si="133"/>
        <v>0.43442916666666664</v>
      </c>
      <c r="NR44" s="53">
        <f t="shared" si="101"/>
        <v>37.387700000000002</v>
      </c>
      <c r="NS44" s="232">
        <f t="shared" si="128"/>
        <v>1.7299999999998761E-2</v>
      </c>
      <c r="NU44" s="250"/>
      <c r="NV44" s="250">
        <v>34</v>
      </c>
      <c r="NW44" s="34">
        <v>9880</v>
      </c>
      <c r="NX44" s="184">
        <v>10.4537</v>
      </c>
      <c r="NY44" s="184">
        <v>1.4008</v>
      </c>
      <c r="NZ44" s="184">
        <v>0.53369999999999995</v>
      </c>
      <c r="OA44" s="162">
        <f t="shared" si="134"/>
        <v>0.4355708333333333</v>
      </c>
      <c r="OB44" s="53">
        <f t="shared" si="103"/>
        <v>37.386299999999999</v>
      </c>
      <c r="OC44" s="232">
        <f t="shared" si="129"/>
        <v>2.7400000000000091E-2</v>
      </c>
      <c r="OE44" s="250"/>
      <c r="OF44" s="250">
        <v>34</v>
      </c>
      <c r="OG44" s="34">
        <v>9880</v>
      </c>
      <c r="OH44" s="184">
        <v>10.467499999999999</v>
      </c>
      <c r="OI44" s="184">
        <v>1.4027000000000001</v>
      </c>
      <c r="OJ44" s="184">
        <v>0.53439999999999999</v>
      </c>
      <c r="OK44" s="162">
        <f t="shared" si="135"/>
        <v>0.43614583333333329</v>
      </c>
      <c r="OL44" s="53">
        <f t="shared" si="105"/>
        <v>37.385600000000004</v>
      </c>
      <c r="OM44" s="232">
        <f t="shared" si="130"/>
        <v>1.3799999999999812E-2</v>
      </c>
      <c r="OP44" s="250">
        <v>34</v>
      </c>
      <c r="OQ44" s="34">
        <v>9880</v>
      </c>
      <c r="OR44" s="184">
        <f>VLOOKUP(OQ44,Sheet4!A25:F101,3,0)</f>
        <v>10.4991</v>
      </c>
      <c r="OS44" s="184">
        <f>VLOOKUP(OQ44,Sheet4!A25:F101,4,0)</f>
        <v>1.4069</v>
      </c>
      <c r="OT44" s="184">
        <f>VLOOKUP(OQ44,Sheet4!A25:F101,5,0)</f>
        <v>0.53600000000000003</v>
      </c>
      <c r="OU44" s="162">
        <f t="shared" si="106"/>
        <v>0.43746250000000003</v>
      </c>
      <c r="OV44" s="53">
        <f t="shared" si="107"/>
        <v>37.384</v>
      </c>
      <c r="OW44" s="232">
        <f t="shared" si="131"/>
        <v>3.1600000000000961E-2</v>
      </c>
    </row>
    <row r="45" spans="1:413" ht="15.75" x14ac:dyDescent="0.25">
      <c r="A45">
        <v>37</v>
      </c>
      <c r="B45" s="1">
        <v>9979</v>
      </c>
      <c r="C45" s="1" t="s">
        <v>1</v>
      </c>
      <c r="D45" s="2">
        <v>37.729999999999997</v>
      </c>
      <c r="E45" s="8"/>
      <c r="F45" s="8"/>
      <c r="G45" s="8"/>
      <c r="H45" s="8"/>
      <c r="J45" s="15">
        <v>9979</v>
      </c>
      <c r="K45" s="15">
        <v>7.6868999999999996</v>
      </c>
      <c r="L45" s="15">
        <v>1.0301</v>
      </c>
      <c r="M45" s="15">
        <v>0.39250000000000002</v>
      </c>
      <c r="N45" s="24">
        <f t="shared" si="42"/>
        <v>0.3202875</v>
      </c>
      <c r="O45" s="10">
        <f t="shared" si="139"/>
        <v>37.337499999999999</v>
      </c>
      <c r="P45" s="18"/>
      <c r="R45" s="20">
        <v>9979</v>
      </c>
      <c r="S45" s="9">
        <v>7.7417999999999996</v>
      </c>
      <c r="T45" s="9">
        <v>1.0374000000000001</v>
      </c>
      <c r="U45" s="9">
        <v>0.39529999999999998</v>
      </c>
      <c r="V45" s="24">
        <f t="shared" si="43"/>
        <v>0.322575</v>
      </c>
      <c r="W45" s="10">
        <f t="shared" si="140"/>
        <v>37.334699999999998</v>
      </c>
      <c r="X45" s="18"/>
      <c r="Z45" s="27">
        <v>9979</v>
      </c>
      <c r="AA45" s="9">
        <v>7.8766999999999996</v>
      </c>
      <c r="AB45" s="9">
        <v>1.0555000000000001</v>
      </c>
      <c r="AC45" s="9">
        <v>0.40210000000000001</v>
      </c>
      <c r="AD45" s="24">
        <f t="shared" si="45"/>
        <v>0.3281958333333333</v>
      </c>
      <c r="AE45" s="10">
        <f t="shared" si="46"/>
        <v>37.3279</v>
      </c>
      <c r="AF45" s="79"/>
      <c r="AG45">
        <v>37</v>
      </c>
      <c r="AH45" s="1">
        <v>9979</v>
      </c>
      <c r="AI45" s="1" t="s">
        <v>1</v>
      </c>
      <c r="AJ45" s="2">
        <v>37.729999999999997</v>
      </c>
      <c r="AL45" s="32">
        <v>9979</v>
      </c>
      <c r="AM45" s="9">
        <v>8.0241000000000007</v>
      </c>
      <c r="AN45" s="9">
        <v>1.0752999999999999</v>
      </c>
      <c r="AO45" s="9">
        <v>0.40970000000000001</v>
      </c>
      <c r="AP45" s="37">
        <f t="shared" si="0"/>
        <v>0.33433750000000001</v>
      </c>
      <c r="AQ45" s="53">
        <f t="shared" si="108"/>
        <v>37.320299999999996</v>
      </c>
      <c r="AT45" s="39"/>
      <c r="AU45" s="38">
        <v>9979</v>
      </c>
      <c r="AV45" s="9">
        <v>8.0868000000000002</v>
      </c>
      <c r="AW45" s="43">
        <v>1.0837000000000001</v>
      </c>
      <c r="AX45" s="43">
        <v>0.41289999999999999</v>
      </c>
      <c r="AY45" s="47">
        <f t="shared" si="47"/>
        <v>0.33695000000000003</v>
      </c>
      <c r="AZ45" s="56">
        <f t="shared" si="109"/>
        <v>37.317099999999996</v>
      </c>
      <c r="BD45" s="54">
        <v>9979</v>
      </c>
      <c r="BE45" s="53">
        <v>8.0938999999999997</v>
      </c>
      <c r="BF45" s="58">
        <v>1.0846</v>
      </c>
      <c r="BG45" s="58">
        <v>0.41320000000000001</v>
      </c>
      <c r="BH45" s="47">
        <f t="shared" si="48"/>
        <v>0.3372458333333333</v>
      </c>
      <c r="BI45" s="56">
        <f t="shared" si="49"/>
        <v>37.316799999999994</v>
      </c>
      <c r="BJ45" s="88"/>
      <c r="BK45" s="88"/>
      <c r="BL45" s="88"/>
      <c r="BN45" s="9">
        <v>9979</v>
      </c>
      <c r="BO45" s="53">
        <v>8.1204000000000001</v>
      </c>
      <c r="BP45" s="53">
        <v>1.0882000000000001</v>
      </c>
      <c r="BQ45" s="53">
        <v>0.41460000000000002</v>
      </c>
      <c r="BR45" s="53">
        <f t="shared" si="50"/>
        <v>0.33834999999999998</v>
      </c>
      <c r="BS45" s="53">
        <f t="shared" si="51"/>
        <v>37.315399999999997</v>
      </c>
      <c r="BV45" s="88"/>
      <c r="BX45" s="93">
        <v>9979</v>
      </c>
      <c r="BY45" s="9">
        <v>8.1724999999999994</v>
      </c>
      <c r="BZ45" s="9">
        <v>1.0951</v>
      </c>
      <c r="CA45" s="9">
        <v>0.4173</v>
      </c>
      <c r="CB45" s="58">
        <f t="shared" si="52"/>
        <v>0.34052083333333333</v>
      </c>
      <c r="CC45" s="53">
        <f t="shared" si="110"/>
        <v>37.3127</v>
      </c>
      <c r="CF45" s="88"/>
      <c r="CG45">
        <v>35</v>
      </c>
      <c r="CH45" s="93">
        <v>9979</v>
      </c>
      <c r="CI45" s="93">
        <v>8.2172999999999998</v>
      </c>
      <c r="CJ45" s="9">
        <v>1.1012</v>
      </c>
      <c r="CK45" s="9">
        <v>0.41949999999999998</v>
      </c>
      <c r="CL45" s="47">
        <f t="shared" si="5"/>
        <v>0.34238750000000001</v>
      </c>
      <c r="CM45" s="53">
        <f t="shared" si="53"/>
        <v>37.310499999999998</v>
      </c>
      <c r="CQ45">
        <v>35</v>
      </c>
      <c r="CR45" s="98">
        <v>9979</v>
      </c>
      <c r="CS45" s="101">
        <v>8.2736000000000001</v>
      </c>
      <c r="CT45" s="101">
        <v>1.1087</v>
      </c>
      <c r="CU45" s="101">
        <v>0.4224</v>
      </c>
      <c r="CV45" s="47">
        <f t="shared" si="6"/>
        <v>0.34473333333333334</v>
      </c>
      <c r="CW45" s="53">
        <f t="shared" si="141"/>
        <v>37.307599999999994</v>
      </c>
      <c r="DA45">
        <v>35</v>
      </c>
      <c r="DB45" s="106">
        <v>9979</v>
      </c>
      <c r="DC45" s="107">
        <v>8.2790999999999997</v>
      </c>
      <c r="DD45" s="107">
        <v>1.1093999999999999</v>
      </c>
      <c r="DE45" s="107">
        <v>0.42270000000000002</v>
      </c>
      <c r="DF45" s="47">
        <f t="shared" si="136"/>
        <v>0.34496250000000001</v>
      </c>
      <c r="DG45" s="53">
        <f t="shared" si="111"/>
        <v>37.307299999999998</v>
      </c>
      <c r="DK45">
        <v>35</v>
      </c>
      <c r="DL45" s="110">
        <v>9979</v>
      </c>
      <c r="DM45" s="53">
        <v>8.3434000000000008</v>
      </c>
      <c r="DN45" s="53">
        <v>1.1180000000000001</v>
      </c>
      <c r="DO45" s="53">
        <v>0.42599999999999999</v>
      </c>
      <c r="DP45" s="47">
        <f t="shared" si="137"/>
        <v>0.34764166666666668</v>
      </c>
      <c r="DQ45" s="53">
        <f t="shared" si="54"/>
        <v>37.303999999999995</v>
      </c>
      <c r="DS45" s="3">
        <f t="shared" si="55"/>
        <v>6.4300000000001134E-2</v>
      </c>
      <c r="DU45">
        <v>35</v>
      </c>
      <c r="DV45" s="115">
        <v>9979</v>
      </c>
      <c r="DW45" s="53">
        <f>Sheet3!B$68</f>
        <v>8.3834999999999997</v>
      </c>
      <c r="DX45" s="53">
        <f>Sheet3!C$68</f>
        <v>1.1234</v>
      </c>
      <c r="DY45" s="53">
        <f>Sheet3!D$68</f>
        <v>0.42799999999999999</v>
      </c>
      <c r="DZ45" s="47">
        <f t="shared" si="138"/>
        <v>0.34931249999999997</v>
      </c>
      <c r="EA45" s="53">
        <f t="shared" si="112"/>
        <v>37.302</v>
      </c>
      <c r="EB45" s="3"/>
      <c r="EE45">
        <v>35</v>
      </c>
      <c r="EF45" s="118">
        <v>9979</v>
      </c>
      <c r="EG45" s="9">
        <v>8.4460999999999995</v>
      </c>
      <c r="EH45" s="9">
        <v>1.1317999999999999</v>
      </c>
      <c r="EI45" s="9">
        <v>0.43120000000000003</v>
      </c>
      <c r="EJ45" s="47">
        <f t="shared" si="10"/>
        <v>0.35192083333333329</v>
      </c>
      <c r="EK45" s="53">
        <f t="shared" si="56"/>
        <v>37.2988</v>
      </c>
      <c r="EM45" s="3">
        <f t="shared" si="57"/>
        <v>-3.1999999999996476E-3</v>
      </c>
      <c r="EN45" s="3"/>
      <c r="EO45">
        <v>35</v>
      </c>
      <c r="EP45" s="121">
        <v>9979</v>
      </c>
      <c r="EQ45" s="122">
        <v>8.5704999999999991</v>
      </c>
      <c r="ER45" s="122">
        <v>1.1485000000000001</v>
      </c>
      <c r="ES45" s="129">
        <v>0.43759999999999999</v>
      </c>
      <c r="ET45" s="130">
        <f t="shared" si="11"/>
        <v>0.35710416666666661</v>
      </c>
      <c r="EU45" s="131">
        <f t="shared" si="58"/>
        <v>37.292399999999994</v>
      </c>
      <c r="EX45" s="3"/>
      <c r="EY45">
        <v>35</v>
      </c>
      <c r="EZ45" s="135">
        <v>9979</v>
      </c>
      <c r="FA45" s="135">
        <v>8.6292000000000009</v>
      </c>
      <c r="FB45" s="135">
        <v>1.1563000000000001</v>
      </c>
      <c r="FC45" s="135">
        <v>0.44059999999999999</v>
      </c>
      <c r="FD45" s="136">
        <f t="shared" si="12"/>
        <v>0.35955000000000004</v>
      </c>
      <c r="FE45" s="131">
        <f t="shared" si="59"/>
        <v>37.289399999999993</v>
      </c>
      <c r="FG45" s="123">
        <f t="shared" si="60"/>
        <v>-3.0000000000001137E-3</v>
      </c>
      <c r="FH45" s="3"/>
      <c r="FI45">
        <v>35</v>
      </c>
      <c r="FJ45" s="145">
        <v>9979</v>
      </c>
      <c r="FK45" s="9">
        <v>8.7073999999999998</v>
      </c>
      <c r="FL45" s="9">
        <v>1.1668000000000001</v>
      </c>
      <c r="FM45" s="9">
        <v>0.4446</v>
      </c>
      <c r="FN45" s="146">
        <f t="shared" si="113"/>
        <v>0.36280833333333334</v>
      </c>
      <c r="FO45" s="131">
        <f t="shared" si="61"/>
        <v>37.285399999999996</v>
      </c>
      <c r="FP45" s="123">
        <f t="shared" si="62"/>
        <v>-3.9999999999977831E-3</v>
      </c>
      <c r="FS45">
        <v>35</v>
      </c>
      <c r="FT45" s="147">
        <v>9979</v>
      </c>
      <c r="FU45" s="148">
        <v>8.7234999999999996</v>
      </c>
      <c r="FV45" s="148">
        <v>1.169</v>
      </c>
      <c r="FW45" s="148">
        <v>0.44540000000000002</v>
      </c>
      <c r="FX45" s="150">
        <f t="shared" si="114"/>
        <v>0.36347916666666663</v>
      </c>
      <c r="FY45" s="131">
        <f t="shared" si="115"/>
        <v>37.284599999999998</v>
      </c>
      <c r="FZ45">
        <f t="shared" si="63"/>
        <v>1.6099999999999781E-2</v>
      </c>
      <c r="GC45">
        <v>35</v>
      </c>
      <c r="GD45" s="151">
        <v>9979</v>
      </c>
      <c r="GE45" s="151">
        <v>8.7632999999999992</v>
      </c>
      <c r="GF45" s="151">
        <v>1.1742999999999999</v>
      </c>
      <c r="GG45" s="151">
        <v>0.44740000000000002</v>
      </c>
      <c r="GH45" s="153">
        <f t="shared" si="132"/>
        <v>0.36513749999999995</v>
      </c>
      <c r="GI45" s="131">
        <f t="shared" si="64"/>
        <v>37.282599999999995</v>
      </c>
      <c r="GJ45">
        <f t="shared" si="142"/>
        <v>3.9799999999999613E-2</v>
      </c>
      <c r="GM45">
        <v>35</v>
      </c>
      <c r="GN45" s="155">
        <v>9979</v>
      </c>
      <c r="GO45" s="155">
        <v>8.8475999999999999</v>
      </c>
      <c r="GP45" s="155">
        <v>1.1856</v>
      </c>
      <c r="GQ45" s="155">
        <v>0.45169999999999999</v>
      </c>
      <c r="GR45" s="58">
        <f t="shared" si="65"/>
        <v>0.36864999999999998</v>
      </c>
      <c r="GS45" s="131">
        <f t="shared" si="66"/>
        <v>37.278299999999994</v>
      </c>
      <c r="GT45">
        <f t="shared" si="143"/>
        <v>8.4300000000000708E-2</v>
      </c>
      <c r="GW45">
        <v>35</v>
      </c>
      <c r="GX45" s="157">
        <v>9979</v>
      </c>
      <c r="GY45" s="161">
        <f>VLOOKUP(GX45,Sheet3!$AJ$7:$AN$83,2,0)</f>
        <v>8.9545999999999992</v>
      </c>
      <c r="GZ45" s="161">
        <f>VLOOKUP(GX45,Sheet3!$AJ$7:$AN$83,3,0)</f>
        <v>1.2</v>
      </c>
      <c r="HA45" s="161">
        <f>VLOOKUP(GX45,Sheet3!$AJ$7:$AN$83,4,0)</f>
        <v>0.4572</v>
      </c>
      <c r="HB45" s="162">
        <f t="shared" si="17"/>
        <v>0.37310833333333332</v>
      </c>
      <c r="HC45" s="131">
        <f t="shared" si="116"/>
        <v>37.272799999999997</v>
      </c>
      <c r="HD45" s="159">
        <f t="shared" si="144"/>
        <v>0.10699999999999932</v>
      </c>
      <c r="HE45" s="159">
        <f t="shared" si="145"/>
        <v>5.5000000000000049E-3</v>
      </c>
      <c r="HG45" s="159"/>
      <c r="HH45" s="159">
        <v>35</v>
      </c>
      <c r="HI45" s="158">
        <v>9979</v>
      </c>
      <c r="HJ45" s="161">
        <v>8.9977999999999998</v>
      </c>
      <c r="HK45" s="161">
        <v>1.2057</v>
      </c>
      <c r="HL45" s="161">
        <v>0.45939999999999998</v>
      </c>
      <c r="HM45" s="162">
        <f t="shared" si="18"/>
        <v>0.37490833333333334</v>
      </c>
      <c r="HN45" s="131">
        <f t="shared" si="67"/>
        <v>37.270599999999995</v>
      </c>
      <c r="HO45" s="159">
        <f t="shared" si="68"/>
        <v>4.3200000000000571E-2</v>
      </c>
      <c r="HQ45" s="183"/>
      <c r="HR45" s="183">
        <v>35</v>
      </c>
      <c r="HS45" s="178">
        <v>9979</v>
      </c>
      <c r="HT45" s="184">
        <v>9.0259</v>
      </c>
      <c r="HU45" s="184">
        <v>1.2095</v>
      </c>
      <c r="HV45" s="184">
        <v>0.46079999999999999</v>
      </c>
      <c r="HW45" s="171">
        <f t="shared" si="19"/>
        <v>0.37607916666666669</v>
      </c>
      <c r="HX45" s="53">
        <f t="shared" si="69"/>
        <v>37.269199999999998</v>
      </c>
      <c r="HY45" s="183">
        <f t="shared" si="70"/>
        <v>2.8100000000000236E-2</v>
      </c>
      <c r="IA45" s="194"/>
      <c r="IB45" s="194">
        <v>35</v>
      </c>
      <c r="IC45" s="193">
        <v>9979</v>
      </c>
      <c r="ID45" s="161">
        <v>9.0381</v>
      </c>
      <c r="IE45" s="184">
        <v>1.2111000000000001</v>
      </c>
      <c r="IF45" s="184">
        <v>0.46139999999999998</v>
      </c>
      <c r="IG45" s="171">
        <f t="shared" si="71"/>
        <v>0.37658750000000002</v>
      </c>
      <c r="IH45" s="53">
        <f t="shared" si="72"/>
        <v>37.268599999999999</v>
      </c>
      <c r="II45" s="194">
        <f t="shared" si="73"/>
        <v>1.2199999999999989E-2</v>
      </c>
      <c r="IL45" s="199">
        <v>35</v>
      </c>
      <c r="IM45" s="197">
        <v>9979</v>
      </c>
      <c r="IN45" s="161">
        <v>9.1022999999999996</v>
      </c>
      <c r="IO45" s="184">
        <v>1.2197</v>
      </c>
      <c r="IP45" s="184">
        <v>0.4647</v>
      </c>
      <c r="IQ45" s="171">
        <f t="shared" si="74"/>
        <v>0.3792625</v>
      </c>
      <c r="IR45" s="53">
        <f t="shared" si="75"/>
        <v>37.265299999999996</v>
      </c>
      <c r="IS45" s="199">
        <f t="shared" si="76"/>
        <v>6.4199999999999591E-2</v>
      </c>
      <c r="IU45" s="202"/>
      <c r="IV45" s="202">
        <v>35</v>
      </c>
      <c r="IW45" s="201">
        <v>9979</v>
      </c>
      <c r="IX45" s="184">
        <v>9.1889000000000003</v>
      </c>
      <c r="IY45" s="184">
        <v>1.2313000000000001</v>
      </c>
      <c r="IZ45" s="184">
        <v>0.46910000000000002</v>
      </c>
      <c r="JA45" s="162">
        <f t="shared" si="22"/>
        <v>0.38287083333333333</v>
      </c>
      <c r="JB45" s="53">
        <f t="shared" si="77"/>
        <v>37.260899999999999</v>
      </c>
      <c r="JC45" s="202">
        <f t="shared" si="78"/>
        <v>8.6600000000000676E-2</v>
      </c>
      <c r="JE45" s="204"/>
      <c r="JF45" s="204">
        <v>35</v>
      </c>
      <c r="JG45" s="203">
        <v>9979</v>
      </c>
      <c r="JH45" s="161">
        <v>9.2164000000000001</v>
      </c>
      <c r="JI45" s="184">
        <v>1.2350000000000001</v>
      </c>
      <c r="JJ45" s="184">
        <v>0.47049999999999997</v>
      </c>
      <c r="JK45" s="162">
        <f t="shared" si="79"/>
        <v>0.38401666666666667</v>
      </c>
      <c r="JL45" s="53">
        <f t="shared" si="80"/>
        <v>37.259499999999996</v>
      </c>
      <c r="JM45" s="204">
        <f t="shared" si="117"/>
        <v>2.7499999999999858E-2</v>
      </c>
      <c r="JN45" s="204"/>
      <c r="JP45" s="209">
        <v>35</v>
      </c>
      <c r="JQ45" s="205">
        <v>9979</v>
      </c>
      <c r="JR45" s="161">
        <v>9.2385000000000002</v>
      </c>
      <c r="JS45" s="184">
        <v>1.238</v>
      </c>
      <c r="JT45" s="184">
        <v>0.47170000000000001</v>
      </c>
      <c r="JU45" s="162">
        <f t="shared" si="81"/>
        <v>0.38493749999999999</v>
      </c>
      <c r="JV45" s="53">
        <f t="shared" si="82"/>
        <v>37.258299999999998</v>
      </c>
      <c r="JW45" s="209">
        <f t="shared" si="118"/>
        <v>2.2100000000000009E-2</v>
      </c>
      <c r="JX45" s="213"/>
      <c r="JY45" s="213"/>
      <c r="JZ45" s="213">
        <v>35</v>
      </c>
      <c r="KA45" s="206">
        <v>9979</v>
      </c>
      <c r="KB45" s="184">
        <v>9.2904</v>
      </c>
      <c r="KC45" s="184">
        <v>1.2448999999999999</v>
      </c>
      <c r="KD45" s="184">
        <v>0.4743</v>
      </c>
      <c r="KE45" s="162">
        <f t="shared" si="83"/>
        <v>0.3871</v>
      </c>
      <c r="KF45" s="53">
        <f t="shared" si="84"/>
        <v>37.255699999999997</v>
      </c>
      <c r="KG45" s="213">
        <f t="shared" si="119"/>
        <v>5.1899999999999835E-2</v>
      </c>
      <c r="KI45" s="219"/>
      <c r="KJ45" s="219">
        <v>35</v>
      </c>
      <c r="KK45" s="214">
        <v>9979</v>
      </c>
      <c r="KL45" s="161">
        <v>9.3077000000000005</v>
      </c>
      <c r="KM45" s="161">
        <v>1.2473000000000001</v>
      </c>
      <c r="KN45" s="161">
        <v>0.47520000000000001</v>
      </c>
      <c r="KO45" s="162">
        <f t="shared" si="24"/>
        <v>0.38782083333333334</v>
      </c>
      <c r="KP45" s="53">
        <f t="shared" si="85"/>
        <v>37.254799999999996</v>
      </c>
      <c r="KQ45" s="219">
        <f t="shared" si="120"/>
        <v>1.7300000000000537E-2</v>
      </c>
      <c r="KT45" s="223">
        <v>35</v>
      </c>
      <c r="KU45" s="216">
        <v>9979</v>
      </c>
      <c r="KV45" s="161">
        <v>9.3259000000000007</v>
      </c>
      <c r="KW45" s="161">
        <v>1.2497</v>
      </c>
      <c r="KX45" s="161">
        <v>0.47610000000000002</v>
      </c>
      <c r="KY45" s="162">
        <f t="shared" si="86"/>
        <v>0.3885791666666667</v>
      </c>
      <c r="KZ45" s="53">
        <f t="shared" si="87"/>
        <v>37.253899999999994</v>
      </c>
      <c r="LA45" s="223">
        <f t="shared" si="121"/>
        <v>1.8200000000000216E-2</v>
      </c>
      <c r="LD45" s="228">
        <v>35</v>
      </c>
      <c r="LE45" s="221">
        <v>9979</v>
      </c>
      <c r="LF45" s="161">
        <v>9.3412000000000006</v>
      </c>
      <c r="LG45" s="161">
        <v>1.2518</v>
      </c>
      <c r="LH45" s="161">
        <v>0.47689999999999999</v>
      </c>
      <c r="LI45" s="162">
        <f t="shared" si="88"/>
        <v>0.38921666666666671</v>
      </c>
      <c r="LJ45" s="53">
        <f t="shared" si="89"/>
        <v>37.253099999999996</v>
      </c>
      <c r="LK45" s="228">
        <f t="shared" si="122"/>
        <v>1.5299999999999869E-2</v>
      </c>
      <c r="LL45" s="231"/>
      <c r="LM45" s="231"/>
      <c r="LN45" s="231">
        <v>35</v>
      </c>
      <c r="LO45" s="226">
        <v>9979</v>
      </c>
      <c r="LP45" s="184">
        <v>9.3626000000000005</v>
      </c>
      <c r="LQ45" s="184">
        <v>1.2545999999999999</v>
      </c>
      <c r="LR45" s="184">
        <v>0.47799999999999998</v>
      </c>
      <c r="LS45" s="162">
        <f t="shared" si="90"/>
        <v>0.39010833333333333</v>
      </c>
      <c r="LT45" s="53">
        <f t="shared" si="91"/>
        <v>37.251999999999995</v>
      </c>
      <c r="LU45" s="231">
        <f t="shared" si="123"/>
        <v>2.1399999999999864E-2</v>
      </c>
      <c r="LW45" s="231"/>
      <c r="LX45" s="231">
        <v>35</v>
      </c>
      <c r="LY45" s="234">
        <v>9979</v>
      </c>
      <c r="LZ45" s="184">
        <v>9.3865999999999996</v>
      </c>
      <c r="MA45" s="184">
        <v>1.2578</v>
      </c>
      <c r="MB45" s="184">
        <v>0.47920000000000001</v>
      </c>
      <c r="MC45" s="162">
        <f t="shared" si="92"/>
        <v>0.39110833333333334</v>
      </c>
      <c r="MD45" s="53">
        <f t="shared" si="93"/>
        <v>37.250799999999998</v>
      </c>
      <c r="ME45" s="231">
        <f t="shared" si="124"/>
        <v>2.3999999999999133E-2</v>
      </c>
      <c r="MF45" s="231"/>
      <c r="MG45" s="231"/>
      <c r="MH45" s="231">
        <v>35</v>
      </c>
      <c r="MI45" s="236">
        <v>9979</v>
      </c>
      <c r="MJ45" s="184">
        <v>9.4102999999999994</v>
      </c>
      <c r="MK45" s="184">
        <v>1.2609999999999999</v>
      </c>
      <c r="ML45" s="184">
        <v>0.48039999999999999</v>
      </c>
      <c r="MM45" s="162">
        <f t="shared" si="94"/>
        <v>0.39209583333333331</v>
      </c>
      <c r="MN45" s="53">
        <f t="shared" si="95"/>
        <v>37.249599999999994</v>
      </c>
      <c r="MO45" s="231">
        <f t="shared" si="125"/>
        <v>2.3699999999999832E-2</v>
      </c>
      <c r="MP45" s="231"/>
      <c r="MQ45" s="231"/>
      <c r="MR45" s="231">
        <v>35</v>
      </c>
      <c r="MS45" s="34">
        <v>9979</v>
      </c>
      <c r="MT45" s="184">
        <v>9.4555000000000007</v>
      </c>
      <c r="MU45" s="184">
        <v>1.2670999999999999</v>
      </c>
      <c r="MV45" s="184">
        <v>0.48280000000000001</v>
      </c>
      <c r="MW45" s="162">
        <f t="shared" si="96"/>
        <v>0.39397916666666671</v>
      </c>
      <c r="MX45" s="53">
        <f t="shared" si="97"/>
        <v>37.247199999999999</v>
      </c>
      <c r="MY45" s="231">
        <f t="shared" si="126"/>
        <v>4.5200000000001239E-2</v>
      </c>
      <c r="MZ45" s="246"/>
      <c r="NA45" s="246"/>
      <c r="NB45" s="246">
        <v>35</v>
      </c>
      <c r="NC45" s="34">
        <v>9979</v>
      </c>
      <c r="ND45" s="184">
        <v>9.5016999999999996</v>
      </c>
      <c r="NE45" s="184">
        <v>1.2733000000000001</v>
      </c>
      <c r="NF45" s="184">
        <v>0.48509999999999998</v>
      </c>
      <c r="NG45" s="162">
        <f t="shared" si="98"/>
        <v>0.39590416666666667</v>
      </c>
      <c r="NH45" s="53">
        <f t="shared" si="99"/>
        <v>37.244899999999994</v>
      </c>
      <c r="NI45" s="232">
        <f t="shared" si="127"/>
        <v>4.6199999999998909E-2</v>
      </c>
      <c r="NK45" s="250"/>
      <c r="NL45" s="250">
        <v>35</v>
      </c>
      <c r="NM45" s="34">
        <v>9979</v>
      </c>
      <c r="NN45" s="184">
        <v>9.5152999999999999</v>
      </c>
      <c r="NO45" s="184">
        <v>1.2750999999999999</v>
      </c>
      <c r="NP45" s="184">
        <v>0.48580000000000001</v>
      </c>
      <c r="NQ45" s="162">
        <f t="shared" si="133"/>
        <v>0.39647083333333333</v>
      </c>
      <c r="NR45" s="53">
        <f t="shared" si="101"/>
        <v>37.244199999999999</v>
      </c>
      <c r="NS45" s="232">
        <f t="shared" si="128"/>
        <v>1.3600000000000279E-2</v>
      </c>
      <c r="NU45" s="250"/>
      <c r="NV45" s="250">
        <v>35</v>
      </c>
      <c r="NW45" s="34">
        <v>9979</v>
      </c>
      <c r="NX45" s="184">
        <v>9.5368999999999993</v>
      </c>
      <c r="NY45" s="184">
        <v>1.278</v>
      </c>
      <c r="NZ45" s="184">
        <v>0.4869</v>
      </c>
      <c r="OA45" s="162">
        <f t="shared" si="134"/>
        <v>0.39737083333333328</v>
      </c>
      <c r="OB45" s="53">
        <f t="shared" si="103"/>
        <v>37.243099999999998</v>
      </c>
      <c r="OC45" s="232">
        <f t="shared" si="129"/>
        <v>2.1599999999999397E-2</v>
      </c>
      <c r="OE45" s="250"/>
      <c r="OF45" s="250">
        <v>35</v>
      </c>
      <c r="OG45" s="34">
        <v>9979</v>
      </c>
      <c r="OH45" s="184">
        <v>9.5477000000000007</v>
      </c>
      <c r="OI45" s="184">
        <v>1.2794000000000001</v>
      </c>
      <c r="OJ45" s="184">
        <v>0.48749999999999999</v>
      </c>
      <c r="OK45" s="162">
        <f t="shared" si="135"/>
        <v>0.39782083333333335</v>
      </c>
      <c r="OL45" s="53">
        <f t="shared" si="105"/>
        <v>37.2425</v>
      </c>
      <c r="OM45" s="232">
        <f t="shared" si="130"/>
        <v>1.0800000000001475E-2</v>
      </c>
      <c r="OP45" s="250">
        <v>35</v>
      </c>
      <c r="OQ45" s="34">
        <v>9979</v>
      </c>
      <c r="OR45" s="184">
        <f>VLOOKUP(OQ45,Sheet4!A26:F102,3,0)</f>
        <v>9.5724999999999998</v>
      </c>
      <c r="OS45" s="184">
        <f>VLOOKUP(OQ45,Sheet4!A26:F102,4,0)</f>
        <v>1.2827999999999999</v>
      </c>
      <c r="OT45" s="184">
        <f>VLOOKUP(OQ45,Sheet4!A26:F102,5,0)</f>
        <v>0.48870000000000002</v>
      </c>
      <c r="OU45" s="162">
        <f t="shared" si="106"/>
        <v>0.39885416666666668</v>
      </c>
      <c r="OV45" s="53">
        <f t="shared" si="107"/>
        <v>37.241299999999995</v>
      </c>
      <c r="OW45" s="232">
        <f t="shared" si="131"/>
        <v>2.4799999999999045E-2</v>
      </c>
    </row>
    <row r="46" spans="1:413" ht="15.75" x14ac:dyDescent="0.25">
      <c r="A46">
        <v>38</v>
      </c>
      <c r="B46" s="1">
        <v>9636</v>
      </c>
      <c r="C46" s="1" t="s">
        <v>1</v>
      </c>
      <c r="D46" s="2">
        <v>37.619999999999997</v>
      </c>
      <c r="E46" s="8"/>
      <c r="F46" s="8"/>
      <c r="G46" s="8"/>
      <c r="H46" s="8"/>
      <c r="J46" s="15">
        <v>9636</v>
      </c>
      <c r="K46" s="15">
        <v>6.3135000000000003</v>
      </c>
      <c r="L46" s="15">
        <v>0.84599999999999997</v>
      </c>
      <c r="M46" s="15">
        <v>0.32229999999999998</v>
      </c>
      <c r="N46" s="24">
        <f t="shared" si="42"/>
        <v>0.26306250000000003</v>
      </c>
      <c r="O46" s="10">
        <f t="shared" si="139"/>
        <v>37.297699999999999</v>
      </c>
      <c r="P46" s="18"/>
      <c r="R46" s="20">
        <v>9636</v>
      </c>
      <c r="S46" s="9">
        <v>6.3684000000000003</v>
      </c>
      <c r="T46" s="9">
        <v>0.85340000000000005</v>
      </c>
      <c r="U46" s="9">
        <v>0.3251</v>
      </c>
      <c r="V46" s="24">
        <f t="shared" si="43"/>
        <v>0.26535000000000003</v>
      </c>
      <c r="W46" s="10">
        <f t="shared" si="140"/>
        <v>37.294899999999998</v>
      </c>
      <c r="X46" s="18"/>
      <c r="Z46" s="27">
        <v>9636</v>
      </c>
      <c r="AA46" s="9">
        <v>6.5033000000000003</v>
      </c>
      <c r="AB46" s="9">
        <v>0.87150000000000005</v>
      </c>
      <c r="AC46" s="9">
        <v>0.33200000000000002</v>
      </c>
      <c r="AD46" s="24">
        <f t="shared" si="45"/>
        <v>0.27097083333333333</v>
      </c>
      <c r="AE46" s="10">
        <f t="shared" si="46"/>
        <v>37.287999999999997</v>
      </c>
      <c r="AF46" s="79"/>
      <c r="AG46">
        <v>38</v>
      </c>
      <c r="AH46" s="1">
        <v>9636</v>
      </c>
      <c r="AI46" s="1" t="s">
        <v>1</v>
      </c>
      <c r="AJ46" s="2">
        <v>37.619999999999997</v>
      </c>
      <c r="AL46" s="32">
        <v>9636</v>
      </c>
      <c r="AM46" s="9">
        <v>6.6506999999999996</v>
      </c>
      <c r="AN46" s="9">
        <v>0.89119999999999999</v>
      </c>
      <c r="AO46" s="9">
        <v>0.33960000000000001</v>
      </c>
      <c r="AP46" s="37">
        <f t="shared" si="0"/>
        <v>0.27711249999999998</v>
      </c>
      <c r="AQ46" s="53">
        <f t="shared" si="108"/>
        <v>37.2804</v>
      </c>
      <c r="AT46" s="39"/>
      <c r="AU46" s="38">
        <v>9636</v>
      </c>
      <c r="AV46" s="9">
        <v>6.7134</v>
      </c>
      <c r="AW46" s="43">
        <v>0.89959999999999996</v>
      </c>
      <c r="AX46" s="43">
        <v>0.34279999999999999</v>
      </c>
      <c r="AY46" s="47">
        <f t="shared" si="47"/>
        <v>0.279725</v>
      </c>
      <c r="AZ46" s="56">
        <f t="shared" si="109"/>
        <v>37.277200000000001</v>
      </c>
      <c r="BD46" s="54">
        <v>9636</v>
      </c>
      <c r="BE46" s="53">
        <v>6.7205000000000004</v>
      </c>
      <c r="BF46" s="58">
        <v>0.90059999999999996</v>
      </c>
      <c r="BG46" s="58">
        <v>0.34310000000000002</v>
      </c>
      <c r="BH46" s="47">
        <f t="shared" si="48"/>
        <v>0.28002083333333333</v>
      </c>
      <c r="BI46" s="56">
        <f t="shared" si="49"/>
        <v>37.276899999999998</v>
      </c>
      <c r="BJ46" s="88"/>
      <c r="BK46" s="88"/>
      <c r="BL46" s="88"/>
      <c r="BN46" s="9">
        <v>9636</v>
      </c>
      <c r="BO46" s="53">
        <v>6.7469999999999999</v>
      </c>
      <c r="BP46" s="53">
        <v>0.90410000000000001</v>
      </c>
      <c r="BQ46" s="53">
        <v>0.34449999999999997</v>
      </c>
      <c r="BR46" s="53">
        <f t="shared" si="50"/>
        <v>0.28112500000000001</v>
      </c>
      <c r="BS46" s="53">
        <f t="shared" si="51"/>
        <v>37.275500000000001</v>
      </c>
      <c r="BV46" s="88"/>
      <c r="BX46" s="93">
        <v>9636</v>
      </c>
      <c r="BY46" s="9">
        <v>6.7991000000000001</v>
      </c>
      <c r="BZ46" s="9">
        <v>0.91110000000000002</v>
      </c>
      <c r="CA46" s="9">
        <v>0.34710000000000002</v>
      </c>
      <c r="CB46" s="58">
        <f t="shared" si="52"/>
        <v>0.28329583333333336</v>
      </c>
      <c r="CC46" s="53">
        <f t="shared" si="110"/>
        <v>37.2729</v>
      </c>
      <c r="CF46" s="88"/>
      <c r="CG46">
        <v>36</v>
      </c>
      <c r="CH46" s="93">
        <v>9636</v>
      </c>
      <c r="CI46" s="93">
        <v>6.8438999999999997</v>
      </c>
      <c r="CJ46" s="9">
        <v>0.91710000000000003</v>
      </c>
      <c r="CK46" s="9">
        <v>0.34939999999999999</v>
      </c>
      <c r="CL46" s="47">
        <f t="shared" si="5"/>
        <v>0.28516249999999999</v>
      </c>
      <c r="CM46" s="53">
        <f t="shared" si="53"/>
        <v>37.270599999999995</v>
      </c>
      <c r="CQ46">
        <v>36</v>
      </c>
      <c r="CR46" s="98">
        <v>9636</v>
      </c>
      <c r="CS46" s="101">
        <v>6.9001999999999999</v>
      </c>
      <c r="CT46" s="101">
        <v>0.92469999999999997</v>
      </c>
      <c r="CU46" s="101">
        <v>0.3523</v>
      </c>
      <c r="CV46" s="47">
        <f t="shared" si="6"/>
        <v>0.28750833333333331</v>
      </c>
      <c r="CW46" s="53">
        <f t="shared" si="141"/>
        <v>37.267699999999998</v>
      </c>
      <c r="DA46">
        <v>36</v>
      </c>
      <c r="DB46" s="106">
        <v>9636</v>
      </c>
      <c r="DC46" s="107">
        <v>6.9057000000000004</v>
      </c>
      <c r="DD46" s="107">
        <v>0.9254</v>
      </c>
      <c r="DE46" s="107">
        <v>0.35260000000000002</v>
      </c>
      <c r="DF46" s="47">
        <f t="shared" si="136"/>
        <v>0.28773750000000003</v>
      </c>
      <c r="DG46" s="53">
        <f t="shared" si="111"/>
        <v>37.267399999999995</v>
      </c>
      <c r="DK46">
        <v>36</v>
      </c>
      <c r="DL46" s="110">
        <v>9636</v>
      </c>
      <c r="DM46" s="53">
        <v>6.97</v>
      </c>
      <c r="DN46" s="53">
        <v>0.93400000000000005</v>
      </c>
      <c r="DO46" s="53">
        <v>0.35589999999999999</v>
      </c>
      <c r="DP46" s="47">
        <f t="shared" si="137"/>
        <v>0.29041666666666666</v>
      </c>
      <c r="DQ46" s="53">
        <f t="shared" si="54"/>
        <v>37.264099999999999</v>
      </c>
      <c r="DS46" s="3">
        <f t="shared" si="55"/>
        <v>6.4299999999999358E-2</v>
      </c>
      <c r="DU46">
        <v>36</v>
      </c>
      <c r="DV46" s="115">
        <v>9636</v>
      </c>
      <c r="DW46" s="53">
        <f>Sheet3!B$34</f>
        <v>7.0101000000000004</v>
      </c>
      <c r="DX46" s="53">
        <f>Sheet3!C$34</f>
        <v>0.93940000000000001</v>
      </c>
      <c r="DY46" s="53">
        <f>Sheet3!D$34</f>
        <v>0.3579</v>
      </c>
      <c r="DZ46" s="47">
        <f t="shared" si="138"/>
        <v>0.2920875</v>
      </c>
      <c r="EA46" s="53">
        <f t="shared" si="112"/>
        <v>37.262099999999997</v>
      </c>
      <c r="EB46" s="3"/>
      <c r="EE46">
        <v>36</v>
      </c>
      <c r="EF46" s="118">
        <v>9636</v>
      </c>
      <c r="EG46" s="9">
        <v>7.0727000000000002</v>
      </c>
      <c r="EH46" s="9">
        <v>0.94779999999999998</v>
      </c>
      <c r="EI46" s="9">
        <v>0.36109999999999998</v>
      </c>
      <c r="EJ46" s="47">
        <f t="shared" si="10"/>
        <v>0.29469583333333332</v>
      </c>
      <c r="EK46" s="53">
        <f t="shared" si="56"/>
        <v>37.258899999999997</v>
      </c>
      <c r="EM46" s="3">
        <f t="shared" si="57"/>
        <v>-3.1999999999996476E-3</v>
      </c>
      <c r="EN46" s="3"/>
      <c r="EO46">
        <v>36</v>
      </c>
      <c r="EP46" s="121">
        <v>9636</v>
      </c>
      <c r="EQ46" s="122">
        <v>7.1970999999999998</v>
      </c>
      <c r="ER46" s="122">
        <v>0.96440000000000003</v>
      </c>
      <c r="ES46" s="129">
        <v>0.36749999999999999</v>
      </c>
      <c r="ET46" s="130">
        <f t="shared" si="11"/>
        <v>0.29987916666666664</v>
      </c>
      <c r="EU46" s="131">
        <f t="shared" si="58"/>
        <v>37.252499999999998</v>
      </c>
      <c r="EX46" s="3"/>
      <c r="EY46">
        <v>36</v>
      </c>
      <c r="EZ46" s="135">
        <v>9636</v>
      </c>
      <c r="FA46" s="135">
        <v>7.2557999999999998</v>
      </c>
      <c r="FB46" s="135">
        <v>0.97230000000000005</v>
      </c>
      <c r="FC46" s="135">
        <v>0.37040000000000001</v>
      </c>
      <c r="FD46" s="136">
        <f t="shared" si="12"/>
        <v>0.30232500000000001</v>
      </c>
      <c r="FE46" s="131">
        <f t="shared" si="59"/>
        <v>37.249600000000001</v>
      </c>
      <c r="FG46" s="123">
        <f t="shared" si="60"/>
        <v>-2.899999999996794E-3</v>
      </c>
      <c r="FH46" s="3"/>
      <c r="FI46">
        <v>36</v>
      </c>
      <c r="FJ46" s="145">
        <v>9636</v>
      </c>
      <c r="FK46" s="9">
        <v>7.3339999999999996</v>
      </c>
      <c r="FL46" s="9">
        <v>0.98280000000000001</v>
      </c>
      <c r="FM46" s="9">
        <v>0.37440000000000001</v>
      </c>
      <c r="FN46" s="146">
        <f t="shared" si="113"/>
        <v>0.30558333333333332</v>
      </c>
      <c r="FO46" s="131">
        <f t="shared" si="61"/>
        <v>37.245599999999996</v>
      </c>
      <c r="FP46" s="123">
        <f t="shared" si="62"/>
        <v>-4.0000000000048885E-3</v>
      </c>
      <c r="FS46">
        <v>36</v>
      </c>
      <c r="FT46" s="147">
        <v>9636</v>
      </c>
      <c r="FU46" s="148">
        <v>7.3501000000000003</v>
      </c>
      <c r="FV46" s="148">
        <v>0.9849</v>
      </c>
      <c r="FW46" s="148">
        <v>0.37530000000000002</v>
      </c>
      <c r="FX46" s="150">
        <f t="shared" si="114"/>
        <v>0.30625416666666666</v>
      </c>
      <c r="FY46" s="131">
        <f t="shared" si="115"/>
        <v>37.244699999999995</v>
      </c>
      <c r="FZ46">
        <f t="shared" si="63"/>
        <v>1.6100000000000669E-2</v>
      </c>
      <c r="GC46">
        <v>36</v>
      </c>
      <c r="GD46" s="151">
        <v>9636</v>
      </c>
      <c r="GE46" s="151">
        <v>7.3898999999999999</v>
      </c>
      <c r="GF46" s="151">
        <v>0.99029999999999996</v>
      </c>
      <c r="GG46" s="151">
        <v>0.37730000000000002</v>
      </c>
      <c r="GH46" s="153">
        <f t="shared" si="132"/>
        <v>0.30791249999999998</v>
      </c>
      <c r="GI46" s="131">
        <f t="shared" si="64"/>
        <v>37.242699999999999</v>
      </c>
      <c r="GJ46">
        <f t="shared" si="142"/>
        <v>3.9799999999999613E-2</v>
      </c>
      <c r="GM46">
        <v>36</v>
      </c>
      <c r="GN46" s="155">
        <v>9636</v>
      </c>
      <c r="GO46" s="155">
        <v>7.4741999999999997</v>
      </c>
      <c r="GP46" s="155">
        <v>1.0016</v>
      </c>
      <c r="GQ46" s="155">
        <v>0.38159999999999999</v>
      </c>
      <c r="GR46" s="58">
        <f t="shared" si="65"/>
        <v>0.31142500000000001</v>
      </c>
      <c r="GS46" s="131">
        <f t="shared" si="66"/>
        <v>37.238399999999999</v>
      </c>
      <c r="GT46">
        <f t="shared" si="143"/>
        <v>8.429999999999982E-2</v>
      </c>
      <c r="GW46">
        <v>36</v>
      </c>
      <c r="GX46" s="157">
        <v>9636</v>
      </c>
      <c r="GY46" s="161">
        <f>VLOOKUP(GX46,Sheet3!$AJ$7:$AN$83,2,0)</f>
        <v>7.5811999999999999</v>
      </c>
      <c r="GZ46" s="161">
        <f>VLOOKUP(GX46,Sheet3!$AJ$7:$AN$83,3,0)</f>
        <v>1.0159</v>
      </c>
      <c r="HA46" s="161">
        <f>VLOOKUP(GX46,Sheet3!$AJ$7:$AN$83,4,0)</f>
        <v>0.3871</v>
      </c>
      <c r="HB46" s="162">
        <f t="shared" si="17"/>
        <v>0.31588333333333335</v>
      </c>
      <c r="HC46" s="131">
        <f t="shared" si="116"/>
        <v>37.232900000000001</v>
      </c>
      <c r="HD46" s="159">
        <f t="shared" si="144"/>
        <v>0.10700000000000021</v>
      </c>
      <c r="HE46" s="159">
        <f t="shared" si="145"/>
        <v>5.5000000000000049E-3</v>
      </c>
      <c r="HG46" s="159"/>
      <c r="HH46" s="159">
        <v>36</v>
      </c>
      <c r="HI46" s="158">
        <v>9636</v>
      </c>
      <c r="HJ46" s="161">
        <v>7.6243999999999996</v>
      </c>
      <c r="HK46" s="161">
        <v>1.0217000000000001</v>
      </c>
      <c r="HL46" s="161">
        <v>0.38929999999999998</v>
      </c>
      <c r="HM46" s="162">
        <f t="shared" si="18"/>
        <v>0.31768333333333332</v>
      </c>
      <c r="HN46" s="131">
        <f t="shared" si="67"/>
        <v>37.230699999999999</v>
      </c>
      <c r="HO46" s="159">
        <f t="shared" si="68"/>
        <v>4.3199999999999683E-2</v>
      </c>
      <c r="HQ46" s="183"/>
      <c r="HR46" s="183">
        <v>36</v>
      </c>
      <c r="HS46" s="178">
        <v>9636</v>
      </c>
      <c r="HT46" s="184">
        <v>7.6524999999999999</v>
      </c>
      <c r="HU46" s="184">
        <v>1.0255000000000001</v>
      </c>
      <c r="HV46" s="184">
        <v>0.39069999999999999</v>
      </c>
      <c r="HW46" s="171">
        <f t="shared" si="19"/>
        <v>0.31885416666666666</v>
      </c>
      <c r="HX46" s="53">
        <f t="shared" si="69"/>
        <v>37.229299999999995</v>
      </c>
      <c r="HY46" s="183">
        <f t="shared" si="70"/>
        <v>2.8100000000000236E-2</v>
      </c>
      <c r="IA46" s="194"/>
      <c r="IB46" s="194">
        <v>36</v>
      </c>
      <c r="IC46" s="193">
        <v>9636</v>
      </c>
      <c r="ID46" s="161">
        <v>7.6646999999999998</v>
      </c>
      <c r="IE46" s="184">
        <v>1.0270999999999999</v>
      </c>
      <c r="IF46" s="184">
        <v>0.39129999999999998</v>
      </c>
      <c r="IG46" s="171">
        <f t="shared" si="71"/>
        <v>0.31936249999999999</v>
      </c>
      <c r="IH46" s="53">
        <f t="shared" si="72"/>
        <v>37.228699999999996</v>
      </c>
      <c r="II46" s="194">
        <f t="shared" si="73"/>
        <v>1.2199999999999989E-2</v>
      </c>
      <c r="IL46" s="199">
        <v>36</v>
      </c>
      <c r="IM46" s="197">
        <v>9636</v>
      </c>
      <c r="IN46" s="161">
        <v>7.7289000000000003</v>
      </c>
      <c r="IO46" s="184">
        <v>1.0357000000000001</v>
      </c>
      <c r="IP46" s="184">
        <v>0.39460000000000001</v>
      </c>
      <c r="IQ46" s="171">
        <f t="shared" si="74"/>
        <v>0.32203750000000003</v>
      </c>
      <c r="IR46" s="53">
        <f t="shared" si="75"/>
        <v>37.2254</v>
      </c>
      <c r="IS46" s="199">
        <f t="shared" si="76"/>
        <v>6.4200000000000479E-2</v>
      </c>
      <c r="IU46" s="202"/>
      <c r="IV46" s="202">
        <v>36</v>
      </c>
      <c r="IW46" s="201">
        <v>9636</v>
      </c>
      <c r="IX46" s="184">
        <v>7.8155000000000001</v>
      </c>
      <c r="IY46" s="184">
        <v>1.0472999999999999</v>
      </c>
      <c r="IZ46" s="184">
        <v>0.39900000000000002</v>
      </c>
      <c r="JA46" s="162">
        <f t="shared" si="22"/>
        <v>0.32564583333333336</v>
      </c>
      <c r="JB46" s="53">
        <f t="shared" si="77"/>
        <v>37.220999999999997</v>
      </c>
      <c r="JC46" s="202">
        <f t="shared" si="78"/>
        <v>8.6599999999999788E-2</v>
      </c>
      <c r="JE46" s="204"/>
      <c r="JF46" s="204">
        <v>36</v>
      </c>
      <c r="JG46" s="203">
        <v>9636</v>
      </c>
      <c r="JH46" s="161">
        <v>7.843</v>
      </c>
      <c r="JI46" s="184">
        <v>1.0509999999999999</v>
      </c>
      <c r="JJ46" s="184">
        <v>0.40039999999999998</v>
      </c>
      <c r="JK46" s="162">
        <f t="shared" si="79"/>
        <v>0.32679166666666665</v>
      </c>
      <c r="JL46" s="53">
        <f t="shared" si="80"/>
        <v>37.2196</v>
      </c>
      <c r="JM46" s="204">
        <f t="shared" si="117"/>
        <v>2.7499999999999858E-2</v>
      </c>
      <c r="JN46" s="204"/>
      <c r="JP46" s="209">
        <v>36</v>
      </c>
      <c r="JQ46" s="205">
        <v>9636</v>
      </c>
      <c r="JR46" s="161">
        <v>7.8651</v>
      </c>
      <c r="JS46" s="184">
        <v>1.054</v>
      </c>
      <c r="JT46" s="184">
        <v>0.40160000000000001</v>
      </c>
      <c r="JU46" s="162">
        <f t="shared" si="81"/>
        <v>0.32771250000000002</v>
      </c>
      <c r="JV46" s="53">
        <f t="shared" si="82"/>
        <v>37.218399999999995</v>
      </c>
      <c r="JW46" s="209">
        <f t="shared" si="118"/>
        <v>2.2100000000000009E-2</v>
      </c>
      <c r="JX46" s="213"/>
      <c r="JY46" s="213"/>
      <c r="JZ46" s="213">
        <v>36</v>
      </c>
      <c r="KA46" s="206">
        <v>9636</v>
      </c>
      <c r="KB46" s="184">
        <v>7.9169999999999998</v>
      </c>
      <c r="KC46" s="184">
        <v>1.0609</v>
      </c>
      <c r="KD46" s="184">
        <v>0.4042</v>
      </c>
      <c r="KE46" s="162">
        <f t="shared" si="83"/>
        <v>0.32987499999999997</v>
      </c>
      <c r="KF46" s="53">
        <f t="shared" si="84"/>
        <v>37.215799999999994</v>
      </c>
      <c r="KG46" s="213">
        <f t="shared" si="119"/>
        <v>5.1899999999999835E-2</v>
      </c>
      <c r="KI46" s="219"/>
      <c r="KJ46" s="219">
        <v>36</v>
      </c>
      <c r="KK46" s="214">
        <v>9636</v>
      </c>
      <c r="KL46" s="161">
        <v>7.9343000000000004</v>
      </c>
      <c r="KM46" s="161">
        <v>1.0631999999999999</v>
      </c>
      <c r="KN46" s="161">
        <v>0.40510000000000002</v>
      </c>
      <c r="KO46" s="162">
        <f t="shared" si="24"/>
        <v>0.33059583333333337</v>
      </c>
      <c r="KP46" s="53">
        <f t="shared" si="85"/>
        <v>37.2149</v>
      </c>
      <c r="KQ46" s="219">
        <f t="shared" si="120"/>
        <v>1.7300000000000537E-2</v>
      </c>
      <c r="KT46" s="223">
        <v>36</v>
      </c>
      <c r="KU46" s="216">
        <v>9636</v>
      </c>
      <c r="KV46" s="161">
        <v>7.9525000000000006</v>
      </c>
      <c r="KW46" s="161">
        <v>1.0657000000000001</v>
      </c>
      <c r="KX46" s="161">
        <v>0.40600000000000003</v>
      </c>
      <c r="KY46" s="162">
        <f t="shared" si="86"/>
        <v>0.33135416666666667</v>
      </c>
      <c r="KZ46" s="53">
        <f t="shared" si="87"/>
        <v>37.213999999999999</v>
      </c>
      <c r="LA46" s="223">
        <f t="shared" si="121"/>
        <v>1.8200000000000216E-2</v>
      </c>
      <c r="LD46" s="228">
        <v>36</v>
      </c>
      <c r="LE46" s="221">
        <v>9636</v>
      </c>
      <c r="LF46" s="161">
        <v>7.9678000000000004</v>
      </c>
      <c r="LG46" s="161">
        <v>1.0677000000000001</v>
      </c>
      <c r="LH46" s="161">
        <v>0.40679999999999999</v>
      </c>
      <c r="LI46" s="162">
        <f t="shared" si="88"/>
        <v>0.33199166666666668</v>
      </c>
      <c r="LJ46" s="53">
        <f t="shared" si="89"/>
        <v>37.213200000000001</v>
      </c>
      <c r="LK46" s="228">
        <f t="shared" si="122"/>
        <v>1.5299999999999869E-2</v>
      </c>
      <c r="LL46" s="231"/>
      <c r="LM46" s="231"/>
      <c r="LN46" s="231">
        <v>36</v>
      </c>
      <c r="LO46" s="226">
        <v>9636</v>
      </c>
      <c r="LP46" s="184">
        <v>7.9892000000000003</v>
      </c>
      <c r="LQ46" s="184">
        <v>1.0706</v>
      </c>
      <c r="LR46" s="184">
        <v>0.40789999999999998</v>
      </c>
      <c r="LS46" s="162">
        <f t="shared" si="90"/>
        <v>0.33288333333333336</v>
      </c>
      <c r="LT46" s="53">
        <f t="shared" si="91"/>
        <v>37.2121</v>
      </c>
      <c r="LU46" s="231">
        <f t="shared" si="123"/>
        <v>2.1399999999999864E-2</v>
      </c>
      <c r="LW46" s="231"/>
      <c r="LX46" s="231">
        <v>36</v>
      </c>
      <c r="LY46" s="234">
        <v>9636</v>
      </c>
      <c r="LZ46" s="184">
        <v>8.0131999999999994</v>
      </c>
      <c r="MA46" s="184">
        <v>1.0738000000000001</v>
      </c>
      <c r="MB46" s="184">
        <v>0.40910000000000002</v>
      </c>
      <c r="MC46" s="162">
        <f t="shared" si="92"/>
        <v>0.33388333333333331</v>
      </c>
      <c r="MD46" s="53">
        <f t="shared" si="93"/>
        <v>37.210899999999995</v>
      </c>
      <c r="ME46" s="231">
        <f t="shared" si="124"/>
        <v>2.3999999999999133E-2</v>
      </c>
      <c r="MF46" s="231"/>
      <c r="MG46" s="231"/>
      <c r="MH46" s="231">
        <v>36</v>
      </c>
      <c r="MI46" s="236">
        <v>9636</v>
      </c>
      <c r="MJ46" s="184">
        <v>8.0368999999999993</v>
      </c>
      <c r="MK46" s="184">
        <v>1.077</v>
      </c>
      <c r="ML46" s="184">
        <v>0.4103</v>
      </c>
      <c r="MM46" s="162">
        <f t="shared" si="94"/>
        <v>0.33487083333333328</v>
      </c>
      <c r="MN46" s="53">
        <f t="shared" si="95"/>
        <v>37.209699999999998</v>
      </c>
      <c r="MO46" s="231">
        <f t="shared" si="125"/>
        <v>2.3699999999999832E-2</v>
      </c>
      <c r="MP46" s="231"/>
      <c r="MQ46" s="231"/>
      <c r="MR46" s="231">
        <v>36</v>
      </c>
      <c r="MS46" s="34">
        <v>9636</v>
      </c>
      <c r="MT46" s="184">
        <v>8.0821000000000005</v>
      </c>
      <c r="MU46" s="184">
        <v>1.083</v>
      </c>
      <c r="MV46" s="184">
        <v>0.41260000000000002</v>
      </c>
      <c r="MW46" s="162">
        <f t="shared" si="96"/>
        <v>0.33675416666666669</v>
      </c>
      <c r="MX46" s="53">
        <f t="shared" si="97"/>
        <v>37.2074</v>
      </c>
      <c r="MY46" s="231">
        <f t="shared" si="126"/>
        <v>4.5200000000001239E-2</v>
      </c>
      <c r="MZ46" s="246"/>
      <c r="NA46" s="246"/>
      <c r="NB46" s="246">
        <v>36</v>
      </c>
      <c r="NC46" s="34">
        <v>9636</v>
      </c>
      <c r="ND46" s="184">
        <v>8.1282999999999994</v>
      </c>
      <c r="NE46" s="184">
        <v>1.0891999999999999</v>
      </c>
      <c r="NF46" s="184">
        <v>0.41499999999999998</v>
      </c>
      <c r="NG46" s="162">
        <f t="shared" si="98"/>
        <v>0.33867916666666664</v>
      </c>
      <c r="NH46" s="53">
        <f t="shared" si="99"/>
        <v>37.204999999999998</v>
      </c>
      <c r="NI46" s="232">
        <f t="shared" si="127"/>
        <v>4.6199999999998909E-2</v>
      </c>
      <c r="NK46" s="250"/>
      <c r="NL46" s="250">
        <v>36</v>
      </c>
      <c r="NM46" s="34">
        <v>9636</v>
      </c>
      <c r="NN46" s="184">
        <v>8.1418999999999997</v>
      </c>
      <c r="NO46" s="184">
        <v>1.091</v>
      </c>
      <c r="NP46" s="184">
        <v>0.41570000000000001</v>
      </c>
      <c r="NQ46" s="162">
        <f t="shared" si="133"/>
        <v>0.3392458333333333</v>
      </c>
      <c r="NR46" s="53">
        <f t="shared" si="101"/>
        <v>37.204299999999996</v>
      </c>
      <c r="NS46" s="232">
        <f t="shared" si="128"/>
        <v>1.3600000000000279E-2</v>
      </c>
      <c r="NU46" s="250"/>
      <c r="NV46" s="250">
        <v>36</v>
      </c>
      <c r="NW46" s="34">
        <v>9636</v>
      </c>
      <c r="NX46" s="184">
        <v>8.1635000000000009</v>
      </c>
      <c r="NY46" s="184">
        <v>1.0939000000000001</v>
      </c>
      <c r="NZ46" s="184">
        <v>0.4168</v>
      </c>
      <c r="OA46" s="162">
        <f t="shared" si="134"/>
        <v>0.34014583333333337</v>
      </c>
      <c r="OB46" s="53">
        <f t="shared" si="103"/>
        <v>37.203199999999995</v>
      </c>
      <c r="OC46" s="232">
        <f t="shared" si="129"/>
        <v>2.1600000000001174E-2</v>
      </c>
      <c r="OE46" s="250"/>
      <c r="OF46" s="250">
        <v>36</v>
      </c>
      <c r="OG46" s="34">
        <v>9636</v>
      </c>
      <c r="OH46" s="184">
        <v>8.1743000000000006</v>
      </c>
      <c r="OI46" s="184">
        <v>1.0953999999999999</v>
      </c>
      <c r="OJ46" s="184">
        <v>0.4173</v>
      </c>
      <c r="OK46" s="162">
        <f t="shared" si="135"/>
        <v>0.34059583333333338</v>
      </c>
      <c r="OL46" s="53">
        <f t="shared" si="105"/>
        <v>37.2027</v>
      </c>
      <c r="OM46" s="232">
        <f t="shared" si="130"/>
        <v>1.0799999999999699E-2</v>
      </c>
      <c r="OP46" s="250">
        <v>36</v>
      </c>
      <c r="OQ46" s="34">
        <v>9636</v>
      </c>
      <c r="OR46" s="184">
        <f>VLOOKUP(OQ46,Sheet4!A27:F103,3,0)</f>
        <v>8.1990999999999996</v>
      </c>
      <c r="OS46" s="184">
        <f>VLOOKUP(OQ46,Sheet4!A27:F103,4,0)</f>
        <v>1.0987</v>
      </c>
      <c r="OT46" s="184">
        <f>VLOOKUP(OQ46,Sheet4!A27:F103,5,0)</f>
        <v>0.41860000000000003</v>
      </c>
      <c r="OU46" s="162">
        <f t="shared" si="106"/>
        <v>0.34162916666666665</v>
      </c>
      <c r="OV46" s="53">
        <f t="shared" si="107"/>
        <v>37.2014</v>
      </c>
      <c r="OW46" s="232">
        <f t="shared" si="131"/>
        <v>2.4799999999999045E-2</v>
      </c>
    </row>
    <row r="47" spans="1:413" ht="15.75" x14ac:dyDescent="0.25">
      <c r="A47">
        <v>39</v>
      </c>
      <c r="B47" s="1">
        <v>9887</v>
      </c>
      <c r="C47" s="1" t="s">
        <v>1</v>
      </c>
      <c r="D47" s="2">
        <v>37.450000000000003</v>
      </c>
      <c r="E47" s="8"/>
      <c r="F47" s="8"/>
      <c r="G47" s="8"/>
      <c r="H47" s="8"/>
      <c r="J47" s="15">
        <v>9887</v>
      </c>
      <c r="K47" s="15">
        <v>6.8352000000000004</v>
      </c>
      <c r="L47" s="15">
        <v>0.91590000000000005</v>
      </c>
      <c r="M47" s="15">
        <v>0.34899999999999998</v>
      </c>
      <c r="N47" s="24">
        <f t="shared" si="42"/>
        <v>0.2848</v>
      </c>
      <c r="O47" s="10">
        <f t="shared" si="139"/>
        <v>37.101000000000006</v>
      </c>
      <c r="P47" s="18"/>
      <c r="R47" s="20">
        <v>9887</v>
      </c>
      <c r="S47" s="9">
        <v>6.8901000000000003</v>
      </c>
      <c r="T47" s="9">
        <v>0.92330000000000001</v>
      </c>
      <c r="U47" s="9">
        <v>0.3518</v>
      </c>
      <c r="V47" s="24">
        <f t="shared" si="43"/>
        <v>0.2870875</v>
      </c>
      <c r="W47" s="10">
        <f t="shared" si="140"/>
        <v>37.098200000000006</v>
      </c>
      <c r="X47" s="18"/>
      <c r="Z47" s="27">
        <v>9887</v>
      </c>
      <c r="AA47" s="9">
        <v>7.0250000000000004</v>
      </c>
      <c r="AB47" s="9">
        <v>0.94140000000000001</v>
      </c>
      <c r="AC47" s="9">
        <v>0.35870000000000002</v>
      </c>
      <c r="AD47" s="24">
        <f t="shared" si="45"/>
        <v>0.29270833333333335</v>
      </c>
      <c r="AE47" s="10">
        <f t="shared" si="46"/>
        <v>37.091300000000004</v>
      </c>
      <c r="AF47" s="79"/>
      <c r="AG47">
        <v>39</v>
      </c>
      <c r="AH47" s="1">
        <v>9887</v>
      </c>
      <c r="AI47" s="1" t="s">
        <v>1</v>
      </c>
      <c r="AJ47" s="2">
        <v>37.450000000000003</v>
      </c>
      <c r="AL47" s="35">
        <v>9887</v>
      </c>
      <c r="AM47" s="36">
        <v>7.1723999999999997</v>
      </c>
      <c r="AN47" s="36">
        <v>0.96109999999999995</v>
      </c>
      <c r="AO47" s="36">
        <v>0.36620000000000003</v>
      </c>
      <c r="AP47" s="37">
        <f t="shared" si="0"/>
        <v>0.29885</v>
      </c>
      <c r="AQ47" s="53">
        <f t="shared" si="108"/>
        <v>37.083800000000004</v>
      </c>
      <c r="AT47" s="39"/>
      <c r="AU47" s="35">
        <v>9887</v>
      </c>
      <c r="AV47" s="9">
        <v>7.2351000000000001</v>
      </c>
      <c r="AW47" s="43">
        <v>0.96950000000000003</v>
      </c>
      <c r="AX47" s="43">
        <v>0.36940000000000001</v>
      </c>
      <c r="AY47" s="47">
        <f t="shared" si="47"/>
        <v>0.30146250000000002</v>
      </c>
      <c r="AZ47" s="56">
        <f t="shared" si="109"/>
        <v>37.080600000000004</v>
      </c>
      <c r="BD47" s="35">
        <v>9887</v>
      </c>
      <c r="BE47" s="53">
        <v>7.2422000000000004</v>
      </c>
      <c r="BF47" s="58">
        <v>0.97050000000000003</v>
      </c>
      <c r="BG47" s="58">
        <v>0.36980000000000002</v>
      </c>
      <c r="BH47" s="47">
        <f t="shared" si="48"/>
        <v>0.30175833333333335</v>
      </c>
      <c r="BI47" s="56">
        <f t="shared" si="49"/>
        <v>37.080200000000005</v>
      </c>
      <c r="BJ47" s="88"/>
      <c r="BK47" s="88"/>
      <c r="BL47" s="88"/>
      <c r="BN47" s="9">
        <v>9887</v>
      </c>
      <c r="BO47" s="53">
        <v>7.2686999999999999</v>
      </c>
      <c r="BP47" s="53">
        <v>0.97399999999999998</v>
      </c>
      <c r="BQ47" s="53">
        <v>0.37109999999999999</v>
      </c>
      <c r="BR47" s="53">
        <f t="shared" si="50"/>
        <v>0.30286249999999998</v>
      </c>
      <c r="BS47" s="53">
        <f t="shared" si="51"/>
        <v>37.078900000000004</v>
      </c>
      <c r="BV47" s="88"/>
      <c r="BX47" s="93">
        <v>9887</v>
      </c>
      <c r="BY47" s="9">
        <v>7.3208000000000002</v>
      </c>
      <c r="BZ47" s="9">
        <v>0.98099999999999998</v>
      </c>
      <c r="CA47" s="9">
        <v>0.37380000000000002</v>
      </c>
      <c r="CB47" s="58">
        <f t="shared" si="52"/>
        <v>0.30503333333333332</v>
      </c>
      <c r="CC47" s="53">
        <f t="shared" si="110"/>
        <v>37.0762</v>
      </c>
      <c r="CF47" s="88"/>
      <c r="CG47">
        <v>37</v>
      </c>
      <c r="CH47" s="93">
        <v>9887</v>
      </c>
      <c r="CI47" s="93">
        <v>7.3655999999999997</v>
      </c>
      <c r="CJ47" s="9">
        <v>0.98699999999999999</v>
      </c>
      <c r="CK47" s="9">
        <v>0.37609999999999999</v>
      </c>
      <c r="CL47" s="47">
        <f t="shared" si="5"/>
        <v>0.30690000000000001</v>
      </c>
      <c r="CM47" s="53">
        <f t="shared" si="53"/>
        <v>37.073900000000002</v>
      </c>
      <c r="CQ47">
        <v>37</v>
      </c>
      <c r="CR47" s="98">
        <v>9887</v>
      </c>
      <c r="CS47" s="101">
        <v>7.4218999999999999</v>
      </c>
      <c r="CT47" s="101">
        <v>0.99460000000000004</v>
      </c>
      <c r="CU47" s="101">
        <v>0.37890000000000001</v>
      </c>
      <c r="CV47" s="47">
        <f t="shared" si="6"/>
        <v>0.30924583333333333</v>
      </c>
      <c r="CW47" s="53">
        <f t="shared" si="141"/>
        <v>37.071100000000001</v>
      </c>
      <c r="DA47">
        <v>37</v>
      </c>
      <c r="DB47" s="106">
        <v>9887</v>
      </c>
      <c r="DC47" s="107">
        <v>7.4273999999999996</v>
      </c>
      <c r="DD47" s="107">
        <v>0.99529999999999996</v>
      </c>
      <c r="DE47" s="107">
        <v>0.37919999999999998</v>
      </c>
      <c r="DF47" s="47">
        <f t="shared" si="136"/>
        <v>0.309475</v>
      </c>
      <c r="DG47" s="53">
        <f t="shared" si="111"/>
        <v>37.070800000000006</v>
      </c>
      <c r="DK47">
        <v>37</v>
      </c>
      <c r="DL47" s="110">
        <v>9887</v>
      </c>
      <c r="DM47" s="53">
        <v>7.4916999999999998</v>
      </c>
      <c r="DN47" s="53">
        <v>1.0039</v>
      </c>
      <c r="DO47" s="53">
        <v>0.38250000000000001</v>
      </c>
      <c r="DP47" s="47">
        <f t="shared" si="137"/>
        <v>0.31215416666666668</v>
      </c>
      <c r="DQ47" s="53">
        <f t="shared" si="54"/>
        <v>37.067500000000003</v>
      </c>
      <c r="DS47" s="3">
        <f t="shared" si="55"/>
        <v>6.4300000000000246E-2</v>
      </c>
      <c r="DU47">
        <v>37</v>
      </c>
      <c r="DV47" s="115">
        <v>9887</v>
      </c>
      <c r="DW47" s="53">
        <f>Sheet3!B$58</f>
        <v>7.5317999999999996</v>
      </c>
      <c r="DX47" s="53">
        <f>Sheet3!C$58</f>
        <v>1.0093000000000001</v>
      </c>
      <c r="DY47" s="53">
        <f>Sheet3!D$58</f>
        <v>0.38450000000000001</v>
      </c>
      <c r="DZ47" s="47">
        <f t="shared" si="138"/>
        <v>0.31382499999999997</v>
      </c>
      <c r="EA47" s="53">
        <f t="shared" si="112"/>
        <v>37.0655</v>
      </c>
      <c r="EB47" s="3"/>
      <c r="EE47">
        <v>37</v>
      </c>
      <c r="EF47" s="118">
        <v>9887</v>
      </c>
      <c r="EG47" s="9">
        <v>7.5944000000000003</v>
      </c>
      <c r="EH47" s="9">
        <v>1.0177</v>
      </c>
      <c r="EI47" s="9">
        <v>0.38769999999999999</v>
      </c>
      <c r="EJ47" s="47">
        <f t="shared" si="10"/>
        <v>0.31643333333333334</v>
      </c>
      <c r="EK47" s="53">
        <f t="shared" si="56"/>
        <v>37.0623</v>
      </c>
      <c r="EM47" s="3">
        <f t="shared" si="57"/>
        <v>-3.1999999999996476E-3</v>
      </c>
      <c r="EN47" s="3"/>
      <c r="EO47">
        <v>37</v>
      </c>
      <c r="EP47" s="121">
        <v>9887</v>
      </c>
      <c r="EQ47" s="122">
        <v>7.7187999999999999</v>
      </c>
      <c r="ER47" s="122">
        <v>1.0343</v>
      </c>
      <c r="ES47" s="129">
        <v>0.39410000000000001</v>
      </c>
      <c r="ET47" s="130">
        <f t="shared" si="11"/>
        <v>0.32161666666666666</v>
      </c>
      <c r="EU47" s="131">
        <f t="shared" si="58"/>
        <v>37.055900000000001</v>
      </c>
      <c r="EX47" s="3"/>
      <c r="EY47">
        <v>37</v>
      </c>
      <c r="EZ47" s="135">
        <v>9887</v>
      </c>
      <c r="FA47" s="135">
        <v>7.7774999999999999</v>
      </c>
      <c r="FB47" s="135">
        <v>1.0422</v>
      </c>
      <c r="FC47" s="135">
        <v>0.39710000000000001</v>
      </c>
      <c r="FD47" s="136">
        <f t="shared" si="12"/>
        <v>0.32406249999999998</v>
      </c>
      <c r="FE47" s="131">
        <f t="shared" si="59"/>
        <v>37.052900000000001</v>
      </c>
      <c r="FG47" s="123">
        <f t="shared" si="60"/>
        <v>-3.0000000000001137E-3</v>
      </c>
      <c r="FH47" s="3"/>
      <c r="FI47">
        <v>37</v>
      </c>
      <c r="FJ47" s="145">
        <v>9887</v>
      </c>
      <c r="FK47" s="9">
        <v>7.8556999999999997</v>
      </c>
      <c r="FL47" s="9">
        <v>1.0527</v>
      </c>
      <c r="FM47" s="9">
        <v>0.40110000000000001</v>
      </c>
      <c r="FN47" s="146">
        <f t="shared" si="113"/>
        <v>0.32732083333333334</v>
      </c>
      <c r="FO47" s="131">
        <f t="shared" si="61"/>
        <v>37.048900000000003</v>
      </c>
      <c r="FP47" s="123">
        <f t="shared" si="62"/>
        <v>-3.9999999999977831E-3</v>
      </c>
      <c r="FS47">
        <v>37</v>
      </c>
      <c r="FT47" s="147">
        <v>9887</v>
      </c>
      <c r="FU47" s="148">
        <v>7.8718000000000004</v>
      </c>
      <c r="FV47" s="148">
        <v>1.0548999999999999</v>
      </c>
      <c r="FW47" s="148">
        <v>0.40189999999999998</v>
      </c>
      <c r="FX47" s="150">
        <f t="shared" si="114"/>
        <v>0.32799166666666668</v>
      </c>
      <c r="FY47" s="131">
        <f t="shared" si="115"/>
        <v>37.048100000000005</v>
      </c>
      <c r="FZ47">
        <f t="shared" si="63"/>
        <v>1.6100000000000669E-2</v>
      </c>
      <c r="GC47">
        <v>37</v>
      </c>
      <c r="GD47" s="151">
        <v>9887</v>
      </c>
      <c r="GE47" s="151">
        <v>7.9116</v>
      </c>
      <c r="GF47" s="151">
        <v>1.0602</v>
      </c>
      <c r="GG47" s="151">
        <v>0.40389999999999998</v>
      </c>
      <c r="GH47" s="153">
        <f t="shared" si="132"/>
        <v>0.32965</v>
      </c>
      <c r="GI47" s="131">
        <f t="shared" si="64"/>
        <v>37.046100000000003</v>
      </c>
      <c r="GJ47">
        <f t="shared" si="142"/>
        <v>3.9799999999999613E-2</v>
      </c>
      <c r="GM47">
        <v>37</v>
      </c>
      <c r="GN47" s="155">
        <v>9887</v>
      </c>
      <c r="GO47" s="155">
        <v>7.9958999999999998</v>
      </c>
      <c r="GP47" s="155">
        <v>1.0714999999999999</v>
      </c>
      <c r="GQ47" s="155">
        <v>0.40820000000000001</v>
      </c>
      <c r="GR47" s="58">
        <f t="shared" si="65"/>
        <v>0.33316249999999997</v>
      </c>
      <c r="GS47" s="131">
        <f t="shared" si="66"/>
        <v>37.041800000000002</v>
      </c>
      <c r="GT47">
        <f t="shared" si="143"/>
        <v>8.429999999999982E-2</v>
      </c>
      <c r="GW47">
        <v>37</v>
      </c>
      <c r="GX47" s="157">
        <v>9887</v>
      </c>
      <c r="GY47" s="161">
        <f>VLOOKUP(GX47,Sheet3!$AJ$7:$AN$83,2,0)</f>
        <v>8.1029</v>
      </c>
      <c r="GZ47" s="161">
        <f>VLOOKUP(GX47,Sheet3!$AJ$7:$AN$83,3,0)</f>
        <v>1.0858000000000001</v>
      </c>
      <c r="HA47" s="161">
        <f>VLOOKUP(GX47,Sheet3!$AJ$7:$AN$83,4,0)</f>
        <v>0.41370000000000001</v>
      </c>
      <c r="HB47" s="162">
        <f t="shared" si="17"/>
        <v>0.33762083333333331</v>
      </c>
      <c r="HC47" s="131">
        <f t="shared" si="116"/>
        <v>37.036300000000004</v>
      </c>
      <c r="HD47" s="159">
        <f t="shared" si="144"/>
        <v>0.10700000000000021</v>
      </c>
      <c r="HE47" s="159">
        <f t="shared" si="145"/>
        <v>5.5000000000000049E-3</v>
      </c>
      <c r="HG47" s="159"/>
      <c r="HH47" s="159">
        <v>37</v>
      </c>
      <c r="HI47" s="158">
        <v>9887</v>
      </c>
      <c r="HJ47" s="161">
        <v>8.1461000000000006</v>
      </c>
      <c r="HK47" s="161">
        <v>1.0915999999999999</v>
      </c>
      <c r="HL47" s="161">
        <v>0.41589999999999999</v>
      </c>
      <c r="HM47" s="162">
        <f t="shared" si="18"/>
        <v>0.33942083333333334</v>
      </c>
      <c r="HN47" s="131">
        <f t="shared" si="67"/>
        <v>37.034100000000002</v>
      </c>
      <c r="HO47" s="159">
        <f t="shared" si="68"/>
        <v>4.3200000000000571E-2</v>
      </c>
      <c r="HQ47" s="183"/>
      <c r="HR47" s="183">
        <v>37</v>
      </c>
      <c r="HS47" s="178">
        <v>9887</v>
      </c>
      <c r="HT47" s="184">
        <v>8.1742000000000008</v>
      </c>
      <c r="HU47" s="184">
        <v>1.0953999999999999</v>
      </c>
      <c r="HV47" s="184">
        <v>0.4173</v>
      </c>
      <c r="HW47" s="171">
        <f t="shared" si="19"/>
        <v>0.34059166666666668</v>
      </c>
      <c r="HX47" s="53">
        <f t="shared" si="69"/>
        <v>37.032700000000006</v>
      </c>
      <c r="HY47" s="183">
        <f t="shared" si="70"/>
        <v>2.8100000000000236E-2</v>
      </c>
      <c r="IA47" s="194"/>
      <c r="IB47" s="194">
        <v>37</v>
      </c>
      <c r="IC47" s="193">
        <v>9887</v>
      </c>
      <c r="ID47" s="161">
        <v>8.1864000000000008</v>
      </c>
      <c r="IE47" s="184">
        <v>1.097</v>
      </c>
      <c r="IF47" s="184">
        <v>0.41799999999999998</v>
      </c>
      <c r="IG47" s="171">
        <f t="shared" si="71"/>
        <v>0.34110000000000001</v>
      </c>
      <c r="IH47" s="53">
        <f t="shared" si="72"/>
        <v>37.032000000000004</v>
      </c>
      <c r="II47" s="194">
        <f t="shared" si="73"/>
        <v>1.2199999999999989E-2</v>
      </c>
      <c r="IL47" s="199">
        <v>37</v>
      </c>
      <c r="IM47" s="197">
        <v>9887</v>
      </c>
      <c r="IN47" s="161">
        <v>8.2506000000000004</v>
      </c>
      <c r="IO47" s="184">
        <v>1.1055999999999999</v>
      </c>
      <c r="IP47" s="184">
        <v>0.42120000000000002</v>
      </c>
      <c r="IQ47" s="171">
        <f t="shared" si="74"/>
        <v>0.343775</v>
      </c>
      <c r="IR47" s="53">
        <f t="shared" si="75"/>
        <v>37.028800000000004</v>
      </c>
      <c r="IS47" s="199">
        <f t="shared" si="76"/>
        <v>6.4199999999999591E-2</v>
      </c>
      <c r="IU47" s="202"/>
      <c r="IV47" s="202">
        <v>37</v>
      </c>
      <c r="IW47" s="201">
        <v>9887</v>
      </c>
      <c r="IX47" s="184">
        <v>8.3371999999999993</v>
      </c>
      <c r="IY47" s="184">
        <v>1.1172</v>
      </c>
      <c r="IZ47" s="184">
        <v>0.42570000000000002</v>
      </c>
      <c r="JA47" s="162">
        <f t="shared" si="22"/>
        <v>0.34738333333333332</v>
      </c>
      <c r="JB47" s="53">
        <f t="shared" si="77"/>
        <v>37.024300000000004</v>
      </c>
      <c r="JC47" s="202">
        <f t="shared" si="78"/>
        <v>8.65999999999989E-2</v>
      </c>
      <c r="JE47" s="204"/>
      <c r="JF47" s="204">
        <v>37</v>
      </c>
      <c r="JG47" s="203">
        <v>9887</v>
      </c>
      <c r="JH47" s="161">
        <v>8.3646999999999991</v>
      </c>
      <c r="JI47" s="184">
        <v>1.1209</v>
      </c>
      <c r="JJ47" s="184">
        <v>0.42709999999999998</v>
      </c>
      <c r="JK47" s="162">
        <f t="shared" si="79"/>
        <v>0.34852916666666661</v>
      </c>
      <c r="JL47" s="53">
        <f t="shared" si="80"/>
        <v>37.0229</v>
      </c>
      <c r="JM47" s="204">
        <f t="shared" si="117"/>
        <v>2.7499999999999858E-2</v>
      </c>
      <c r="JN47" s="204"/>
      <c r="JP47" s="209">
        <v>37</v>
      </c>
      <c r="JQ47" s="205">
        <v>9887</v>
      </c>
      <c r="JR47" s="161">
        <v>8.3867999999999991</v>
      </c>
      <c r="JS47" s="184">
        <v>1.1238999999999999</v>
      </c>
      <c r="JT47" s="184">
        <v>0.42820000000000003</v>
      </c>
      <c r="JU47" s="162">
        <f t="shared" si="81"/>
        <v>0.34944999999999998</v>
      </c>
      <c r="JV47" s="53">
        <f t="shared" si="82"/>
        <v>37.021800000000006</v>
      </c>
      <c r="JW47" s="209">
        <f t="shared" si="118"/>
        <v>2.2100000000000009E-2</v>
      </c>
      <c r="JX47" s="213"/>
      <c r="JY47" s="213"/>
      <c r="JZ47" s="213">
        <v>37</v>
      </c>
      <c r="KA47" s="206">
        <v>9887</v>
      </c>
      <c r="KB47" s="184">
        <v>8.4387000000000008</v>
      </c>
      <c r="KC47" s="184">
        <v>1.1308</v>
      </c>
      <c r="KD47" s="184">
        <v>0.43080000000000002</v>
      </c>
      <c r="KE47" s="162">
        <f t="shared" si="83"/>
        <v>0.35161250000000005</v>
      </c>
      <c r="KF47" s="53">
        <f t="shared" si="84"/>
        <v>37.019200000000005</v>
      </c>
      <c r="KG47" s="213">
        <f t="shared" si="119"/>
        <v>5.1900000000001612E-2</v>
      </c>
      <c r="KI47" s="219"/>
      <c r="KJ47" s="219">
        <v>37</v>
      </c>
      <c r="KK47" s="214">
        <v>9887</v>
      </c>
      <c r="KL47" s="161">
        <v>8.4559999999999995</v>
      </c>
      <c r="KM47" s="161">
        <v>1.1331</v>
      </c>
      <c r="KN47" s="161">
        <v>0.43169999999999997</v>
      </c>
      <c r="KO47" s="162">
        <f t="shared" si="24"/>
        <v>0.35233333333333333</v>
      </c>
      <c r="KP47" s="53">
        <f t="shared" si="85"/>
        <v>37.018300000000004</v>
      </c>
      <c r="KQ47" s="219">
        <f t="shared" si="120"/>
        <v>1.7299999999998761E-2</v>
      </c>
      <c r="KT47" s="223">
        <v>37</v>
      </c>
      <c r="KU47" s="216">
        <v>9887</v>
      </c>
      <c r="KV47" s="161">
        <v>8.4741999999999997</v>
      </c>
      <c r="KW47" s="161">
        <v>1.1355999999999999</v>
      </c>
      <c r="KX47" s="161">
        <v>0.43269999999999997</v>
      </c>
      <c r="KY47" s="162">
        <f t="shared" si="86"/>
        <v>0.35309166666666664</v>
      </c>
      <c r="KZ47" s="53">
        <f t="shared" si="87"/>
        <v>37.017300000000006</v>
      </c>
      <c r="LA47" s="223">
        <f t="shared" si="121"/>
        <v>1.8200000000000216E-2</v>
      </c>
      <c r="LD47" s="228">
        <v>37</v>
      </c>
      <c r="LE47" s="221">
        <v>9887</v>
      </c>
      <c r="LF47" s="161">
        <v>8.4894999999999996</v>
      </c>
      <c r="LG47" s="161">
        <v>1.1375999999999999</v>
      </c>
      <c r="LH47" s="161">
        <v>0.43340000000000001</v>
      </c>
      <c r="LI47" s="162">
        <f t="shared" si="88"/>
        <v>0.35372916666666665</v>
      </c>
      <c r="LJ47" s="53">
        <f t="shared" si="89"/>
        <v>37.016600000000004</v>
      </c>
      <c r="LK47" s="228">
        <f t="shared" si="122"/>
        <v>1.5299999999999869E-2</v>
      </c>
      <c r="LL47" s="231"/>
      <c r="LM47" s="231"/>
      <c r="LN47" s="231">
        <v>37</v>
      </c>
      <c r="LO47" s="226">
        <v>9887</v>
      </c>
      <c r="LP47" s="184">
        <v>8.5108999999999995</v>
      </c>
      <c r="LQ47" s="184">
        <v>1.1405000000000001</v>
      </c>
      <c r="LR47" s="184">
        <v>0.4345</v>
      </c>
      <c r="LS47" s="162">
        <f t="shared" si="90"/>
        <v>0.35462083333333333</v>
      </c>
      <c r="LT47" s="53">
        <f t="shared" si="91"/>
        <v>37.015500000000003</v>
      </c>
      <c r="LU47" s="231">
        <f t="shared" si="123"/>
        <v>2.1399999999999864E-2</v>
      </c>
      <c r="LW47" s="231"/>
      <c r="LX47" s="231">
        <v>37</v>
      </c>
      <c r="LY47" s="234">
        <v>9887</v>
      </c>
      <c r="LZ47" s="184">
        <v>8.5349000000000004</v>
      </c>
      <c r="MA47" s="184">
        <v>1.1436999999999999</v>
      </c>
      <c r="MB47" s="184">
        <v>0.43580000000000002</v>
      </c>
      <c r="MC47" s="162">
        <f t="shared" si="92"/>
        <v>0.35562083333333333</v>
      </c>
      <c r="MD47" s="53">
        <f t="shared" si="93"/>
        <v>37.014200000000002</v>
      </c>
      <c r="ME47" s="231">
        <f t="shared" si="124"/>
        <v>2.4000000000000909E-2</v>
      </c>
      <c r="MF47" s="231"/>
      <c r="MG47" s="231"/>
      <c r="MH47" s="231">
        <v>37</v>
      </c>
      <c r="MI47" s="236">
        <v>9887</v>
      </c>
      <c r="MJ47" s="184">
        <v>8.5586000000000002</v>
      </c>
      <c r="MK47" s="184">
        <v>1.1469</v>
      </c>
      <c r="ML47" s="184">
        <v>0.437</v>
      </c>
      <c r="MM47" s="162">
        <f t="shared" si="94"/>
        <v>0.35660833333333336</v>
      </c>
      <c r="MN47" s="53">
        <f t="shared" si="95"/>
        <v>37.013000000000005</v>
      </c>
      <c r="MO47" s="231">
        <f t="shared" si="125"/>
        <v>2.3699999999999832E-2</v>
      </c>
      <c r="MP47" s="231"/>
      <c r="MQ47" s="231"/>
      <c r="MR47" s="231">
        <v>37</v>
      </c>
      <c r="MS47" s="34">
        <v>9887</v>
      </c>
      <c r="MT47" s="184">
        <v>8.6037999999999997</v>
      </c>
      <c r="MU47" s="184">
        <v>1.1529</v>
      </c>
      <c r="MV47" s="184">
        <v>0.43930000000000002</v>
      </c>
      <c r="MW47" s="162">
        <f t="shared" si="96"/>
        <v>0.35849166666666665</v>
      </c>
      <c r="MX47" s="53">
        <f t="shared" si="97"/>
        <v>37.0107</v>
      </c>
      <c r="MY47" s="231">
        <f t="shared" si="126"/>
        <v>4.5199999999999463E-2</v>
      </c>
      <c r="MZ47" s="246"/>
      <c r="NA47" s="246"/>
      <c r="NB47" s="246">
        <v>37</v>
      </c>
      <c r="NC47" s="34">
        <v>9887</v>
      </c>
      <c r="ND47" s="184">
        <v>8.65</v>
      </c>
      <c r="NE47" s="184">
        <v>1.1591</v>
      </c>
      <c r="NF47" s="184">
        <v>0.44159999999999999</v>
      </c>
      <c r="NG47" s="162">
        <f t="shared" si="98"/>
        <v>0.36041666666666666</v>
      </c>
      <c r="NH47" s="53">
        <f t="shared" si="99"/>
        <v>37.008400000000002</v>
      </c>
      <c r="NI47" s="232">
        <f t="shared" si="127"/>
        <v>4.6200000000000685E-2</v>
      </c>
      <c r="NK47" s="250"/>
      <c r="NL47" s="250">
        <v>37</v>
      </c>
      <c r="NM47" s="34">
        <v>9887</v>
      </c>
      <c r="NN47" s="184">
        <v>8.6636000000000006</v>
      </c>
      <c r="NO47" s="184">
        <v>1.161</v>
      </c>
      <c r="NP47" s="184">
        <v>0.44230000000000003</v>
      </c>
      <c r="NQ47" s="162">
        <f t="shared" si="133"/>
        <v>0.36098333333333338</v>
      </c>
      <c r="NR47" s="53">
        <f t="shared" si="101"/>
        <v>37.0077</v>
      </c>
      <c r="NS47" s="232">
        <f t="shared" si="128"/>
        <v>1.3600000000000279E-2</v>
      </c>
      <c r="NU47" s="250"/>
      <c r="NV47" s="250">
        <v>37</v>
      </c>
      <c r="NW47" s="34">
        <v>9887</v>
      </c>
      <c r="NX47" s="184">
        <v>8.6852</v>
      </c>
      <c r="NY47" s="184">
        <v>1.1638999999999999</v>
      </c>
      <c r="NZ47" s="184">
        <v>0.44340000000000002</v>
      </c>
      <c r="OA47" s="162">
        <f t="shared" si="134"/>
        <v>0.36188333333333333</v>
      </c>
      <c r="OB47" s="53">
        <f t="shared" si="103"/>
        <v>37.006600000000006</v>
      </c>
      <c r="OC47" s="232">
        <f t="shared" si="129"/>
        <v>2.1599999999999397E-2</v>
      </c>
      <c r="OE47" s="250"/>
      <c r="OF47" s="250">
        <v>37</v>
      </c>
      <c r="OG47" s="34">
        <v>9887</v>
      </c>
      <c r="OH47" s="184">
        <v>8.6959999999999997</v>
      </c>
      <c r="OI47" s="184">
        <v>1.1653</v>
      </c>
      <c r="OJ47" s="184">
        <v>0.44400000000000001</v>
      </c>
      <c r="OK47" s="162">
        <f t="shared" si="135"/>
        <v>0.36233333333333334</v>
      </c>
      <c r="OL47" s="53">
        <f t="shared" si="105"/>
        <v>37.006</v>
      </c>
      <c r="OM47" s="232">
        <f t="shared" si="130"/>
        <v>1.0799999999999699E-2</v>
      </c>
      <c r="OP47" s="250">
        <v>37</v>
      </c>
      <c r="OQ47" s="34">
        <v>9887</v>
      </c>
      <c r="OR47" s="184">
        <f>VLOOKUP(OQ47,Sheet4!A28:F104,3,0)</f>
        <v>8.7208000000000006</v>
      </c>
      <c r="OS47" s="184">
        <f>VLOOKUP(OQ47,Sheet4!A28:F104,4,0)</f>
        <v>1.1686000000000001</v>
      </c>
      <c r="OT47" s="184">
        <f>VLOOKUP(OQ47,Sheet4!A28:F104,5,0)</f>
        <v>0.44519999999999998</v>
      </c>
      <c r="OU47" s="162">
        <f t="shared" si="106"/>
        <v>0.36336666666666667</v>
      </c>
      <c r="OV47" s="53">
        <f t="shared" si="107"/>
        <v>37.004800000000003</v>
      </c>
      <c r="OW47" s="232">
        <f t="shared" si="131"/>
        <v>2.4800000000000821E-2</v>
      </c>
    </row>
    <row r="48" spans="1:413" ht="15.75" x14ac:dyDescent="0.25">
      <c r="A48">
        <v>40</v>
      </c>
      <c r="B48" s="1">
        <v>9354</v>
      </c>
      <c r="C48" s="1" t="s">
        <v>1</v>
      </c>
      <c r="D48" s="2">
        <v>38.04</v>
      </c>
      <c r="E48" s="8"/>
      <c r="F48" s="8"/>
      <c r="G48" s="8"/>
      <c r="H48" s="8"/>
      <c r="J48" s="15">
        <v>9354</v>
      </c>
      <c r="K48" s="15">
        <v>14.3048</v>
      </c>
      <c r="L48" s="15">
        <v>1.9169</v>
      </c>
      <c r="M48" s="15">
        <v>0.73029999999999995</v>
      </c>
      <c r="N48" s="24">
        <f t="shared" si="42"/>
        <v>0.5960333333333333</v>
      </c>
      <c r="O48" s="10">
        <f t="shared" si="139"/>
        <v>37.309699999999999</v>
      </c>
      <c r="P48" s="18"/>
      <c r="R48" s="20">
        <v>9354</v>
      </c>
      <c r="S48" s="9">
        <v>14.3597</v>
      </c>
      <c r="T48" s="9">
        <v>1.9242999999999999</v>
      </c>
      <c r="U48" s="9">
        <v>0.73309999999999997</v>
      </c>
      <c r="V48" s="24">
        <f t="shared" si="43"/>
        <v>0.5983208333333333</v>
      </c>
      <c r="W48" s="10">
        <f t="shared" si="140"/>
        <v>37.306899999999999</v>
      </c>
      <c r="X48" s="18"/>
      <c r="Z48" s="27">
        <v>9354</v>
      </c>
      <c r="AA48" s="9">
        <v>14.4946</v>
      </c>
      <c r="AB48" s="9">
        <v>1.9422999999999999</v>
      </c>
      <c r="AC48" s="9">
        <v>0.74</v>
      </c>
      <c r="AD48" s="24">
        <f t="shared" si="45"/>
        <v>0.60394166666666671</v>
      </c>
      <c r="AE48" s="10">
        <f t="shared" si="46"/>
        <v>37.299999999999997</v>
      </c>
      <c r="AF48" s="79"/>
      <c r="AG48">
        <v>40</v>
      </c>
      <c r="AH48" s="1">
        <v>9354</v>
      </c>
      <c r="AI48" s="1" t="s">
        <v>1</v>
      </c>
      <c r="AJ48" s="2">
        <v>38.04</v>
      </c>
      <c r="AL48" s="35">
        <v>9354</v>
      </c>
      <c r="AM48" s="36">
        <v>14.641999999999999</v>
      </c>
      <c r="AN48" s="36">
        <v>1.9621</v>
      </c>
      <c r="AO48" s="36">
        <v>0.74760000000000004</v>
      </c>
      <c r="AP48" s="37">
        <f t="shared" si="0"/>
        <v>0.61008333333333331</v>
      </c>
      <c r="AQ48" s="53">
        <f t="shared" si="108"/>
        <v>37.292400000000001</v>
      </c>
      <c r="AT48" s="39"/>
      <c r="AU48" s="35">
        <v>9354</v>
      </c>
      <c r="AV48" s="9">
        <v>14.704700000000001</v>
      </c>
      <c r="AW48" s="43">
        <v>1.9704999999999999</v>
      </c>
      <c r="AX48" s="43">
        <v>0.75080000000000002</v>
      </c>
      <c r="AY48" s="47">
        <f t="shared" si="47"/>
        <v>0.61269583333333333</v>
      </c>
      <c r="AZ48" s="56">
        <f t="shared" si="109"/>
        <v>37.289200000000001</v>
      </c>
      <c r="BD48" s="35">
        <v>9354</v>
      </c>
      <c r="BE48" s="53">
        <v>14.7118</v>
      </c>
      <c r="BF48" s="58">
        <v>1.9714</v>
      </c>
      <c r="BG48" s="58">
        <v>0.75109999999999999</v>
      </c>
      <c r="BH48" s="47">
        <f t="shared" si="48"/>
        <v>0.61299166666666671</v>
      </c>
      <c r="BI48" s="56">
        <f t="shared" si="49"/>
        <v>37.288899999999998</v>
      </c>
      <c r="BJ48" s="88"/>
      <c r="BK48" s="88"/>
      <c r="BL48" s="88"/>
      <c r="BN48" s="9">
        <v>9354</v>
      </c>
      <c r="BO48" s="53">
        <v>14.738300000000001</v>
      </c>
      <c r="BP48" s="53">
        <v>1.9750000000000001</v>
      </c>
      <c r="BQ48" s="53">
        <v>0.75249999999999995</v>
      </c>
      <c r="BR48" s="53">
        <f t="shared" si="50"/>
        <v>0.6140958333333334</v>
      </c>
      <c r="BS48" s="53">
        <f t="shared" si="51"/>
        <v>37.287500000000001</v>
      </c>
      <c r="BV48" s="88"/>
      <c r="BX48" s="93">
        <v>9354</v>
      </c>
      <c r="BY48" s="9">
        <v>14.7904</v>
      </c>
      <c r="BZ48" s="9">
        <v>1.982</v>
      </c>
      <c r="CA48" s="9">
        <v>0.75509999999999999</v>
      </c>
      <c r="CB48" s="58">
        <f t="shared" si="52"/>
        <v>0.61626666666666663</v>
      </c>
      <c r="CC48" s="53">
        <f t="shared" si="110"/>
        <v>37.2849</v>
      </c>
      <c r="CF48" s="88"/>
      <c r="CG48">
        <v>38</v>
      </c>
      <c r="CH48" s="93">
        <v>9354</v>
      </c>
      <c r="CI48" s="93">
        <v>14.8352</v>
      </c>
      <c r="CJ48" s="9">
        <v>1.988</v>
      </c>
      <c r="CK48" s="9">
        <v>0.75739999999999996</v>
      </c>
      <c r="CL48" s="47">
        <f t="shared" si="5"/>
        <v>0.61813333333333331</v>
      </c>
      <c r="CM48" s="53">
        <f t="shared" si="53"/>
        <v>37.282600000000002</v>
      </c>
      <c r="CQ48">
        <v>38</v>
      </c>
      <c r="CR48" s="98">
        <v>9354</v>
      </c>
      <c r="CS48" s="101">
        <v>14.891500000000001</v>
      </c>
      <c r="CT48" s="101">
        <v>1.9955000000000001</v>
      </c>
      <c r="CU48" s="101">
        <v>0.76029999999999998</v>
      </c>
      <c r="CV48" s="47">
        <f t="shared" si="6"/>
        <v>0.62047916666666669</v>
      </c>
      <c r="CW48" s="53">
        <f t="shared" si="141"/>
        <v>37.279699999999998</v>
      </c>
      <c r="DA48">
        <v>38</v>
      </c>
      <c r="DB48" s="106">
        <v>9354</v>
      </c>
      <c r="DC48" s="107">
        <v>14.897</v>
      </c>
      <c r="DD48" s="107">
        <v>1.9963</v>
      </c>
      <c r="DE48" s="107">
        <v>0.76060000000000005</v>
      </c>
      <c r="DF48" s="47">
        <f t="shared" si="136"/>
        <v>0.62070833333333331</v>
      </c>
      <c r="DG48" s="53">
        <f t="shared" si="111"/>
        <v>37.279400000000003</v>
      </c>
      <c r="DK48">
        <v>38</v>
      </c>
      <c r="DL48" s="110">
        <v>9354</v>
      </c>
      <c r="DM48" s="53">
        <v>14.9613</v>
      </c>
      <c r="DN48" s="53">
        <v>2.0049000000000001</v>
      </c>
      <c r="DO48" s="53">
        <v>0.76390000000000002</v>
      </c>
      <c r="DP48" s="47">
        <f t="shared" si="137"/>
        <v>0.62338749999999998</v>
      </c>
      <c r="DQ48" s="53">
        <f t="shared" si="54"/>
        <v>37.2761</v>
      </c>
      <c r="DS48" s="3">
        <f t="shared" si="55"/>
        <v>6.4299999999999358E-2</v>
      </c>
      <c r="DU48">
        <v>38</v>
      </c>
      <c r="DV48" s="115">
        <v>9354</v>
      </c>
      <c r="DW48" s="53">
        <f>Sheet3!B$16</f>
        <v>15.0014</v>
      </c>
      <c r="DX48" s="53">
        <f>Sheet3!C$16</f>
        <v>2.0102000000000002</v>
      </c>
      <c r="DY48" s="53">
        <f>Sheet3!D$16</f>
        <v>0.76590000000000003</v>
      </c>
      <c r="DZ48" s="47">
        <f t="shared" si="138"/>
        <v>0.62505833333333338</v>
      </c>
      <c r="EA48" s="53">
        <f t="shared" si="112"/>
        <v>37.274099999999997</v>
      </c>
      <c r="EB48" s="3"/>
      <c r="EE48">
        <v>38</v>
      </c>
      <c r="EF48" s="118">
        <v>9354</v>
      </c>
      <c r="EG48" s="9">
        <v>15.064</v>
      </c>
      <c r="EH48" s="9">
        <v>2.0186000000000002</v>
      </c>
      <c r="EI48" s="9">
        <v>0.76910000000000001</v>
      </c>
      <c r="EJ48" s="47">
        <f t="shared" si="10"/>
        <v>0.62766666666666671</v>
      </c>
      <c r="EK48" s="53">
        <f t="shared" si="56"/>
        <v>37.270899999999997</v>
      </c>
      <c r="EM48" s="3">
        <f t="shared" si="57"/>
        <v>-3.1999999999996476E-3</v>
      </c>
      <c r="EN48" s="3"/>
      <c r="EO48">
        <v>38</v>
      </c>
      <c r="EP48" s="121">
        <v>9354</v>
      </c>
      <c r="EQ48" s="122">
        <v>15.1884</v>
      </c>
      <c r="ER48" s="122">
        <v>2.0352999999999999</v>
      </c>
      <c r="ES48" s="129">
        <v>0.77549999999999997</v>
      </c>
      <c r="ET48" s="130">
        <f t="shared" si="11"/>
        <v>0.63285000000000002</v>
      </c>
      <c r="EU48" s="131">
        <f t="shared" si="58"/>
        <v>37.264499999999998</v>
      </c>
      <c r="EX48" s="3"/>
      <c r="EY48">
        <v>38</v>
      </c>
      <c r="EZ48" s="135">
        <v>9354</v>
      </c>
      <c r="FA48" s="135">
        <v>15.2471</v>
      </c>
      <c r="FB48" s="135">
        <v>2.0432000000000001</v>
      </c>
      <c r="FC48" s="135">
        <v>0.77839999999999998</v>
      </c>
      <c r="FD48" s="136">
        <f t="shared" si="12"/>
        <v>0.63529583333333328</v>
      </c>
      <c r="FE48" s="131">
        <f t="shared" si="59"/>
        <v>37.261600000000001</v>
      </c>
      <c r="FG48" s="123">
        <f t="shared" si="60"/>
        <v>-2.899999999996794E-3</v>
      </c>
      <c r="FH48" s="3"/>
      <c r="FI48">
        <v>38</v>
      </c>
      <c r="FJ48" s="145">
        <v>9354</v>
      </c>
      <c r="FK48" s="9">
        <v>15.3253</v>
      </c>
      <c r="FL48" s="9">
        <v>2.0535999999999999</v>
      </c>
      <c r="FM48" s="9">
        <v>0.78239999999999998</v>
      </c>
      <c r="FN48" s="146">
        <f t="shared" si="113"/>
        <v>0.63855416666666664</v>
      </c>
      <c r="FO48" s="131">
        <f t="shared" si="61"/>
        <v>37.257599999999996</v>
      </c>
      <c r="FP48" s="123">
        <f t="shared" si="62"/>
        <v>-4.0000000000048885E-3</v>
      </c>
      <c r="FS48">
        <v>38</v>
      </c>
      <c r="FT48" s="147">
        <v>9354</v>
      </c>
      <c r="FU48" s="148">
        <v>15.3414</v>
      </c>
      <c r="FV48" s="148">
        <v>2.0558000000000001</v>
      </c>
      <c r="FW48" s="148">
        <v>0.7833</v>
      </c>
      <c r="FX48" s="150">
        <f t="shared" si="114"/>
        <v>0.63922500000000004</v>
      </c>
      <c r="FY48" s="131">
        <f t="shared" si="115"/>
        <v>37.256700000000002</v>
      </c>
      <c r="FZ48">
        <f t="shared" si="63"/>
        <v>1.6099999999999781E-2</v>
      </c>
      <c r="GC48">
        <v>38</v>
      </c>
      <c r="GD48" s="151">
        <v>9354</v>
      </c>
      <c r="GE48" s="151">
        <v>15.3812</v>
      </c>
      <c r="GF48" s="151">
        <v>2.0611000000000002</v>
      </c>
      <c r="GG48" s="151">
        <v>0.7853</v>
      </c>
      <c r="GH48" s="153">
        <f t="shared" si="132"/>
        <v>0.64088333333333336</v>
      </c>
      <c r="GI48" s="131">
        <f t="shared" si="64"/>
        <v>37.2547</v>
      </c>
      <c r="GJ48">
        <f t="shared" si="142"/>
        <v>3.9799999999999613E-2</v>
      </c>
      <c r="GM48">
        <v>38</v>
      </c>
      <c r="GN48" s="155">
        <v>9354</v>
      </c>
      <c r="GO48" s="155">
        <v>15.4655</v>
      </c>
      <c r="GP48" s="155">
        <v>2.0724</v>
      </c>
      <c r="GQ48" s="155">
        <v>0.78959999999999997</v>
      </c>
      <c r="GR48" s="58">
        <f t="shared" si="65"/>
        <v>0.64439583333333339</v>
      </c>
      <c r="GS48" s="131">
        <f t="shared" si="66"/>
        <v>37.250399999999999</v>
      </c>
      <c r="GT48">
        <f t="shared" si="143"/>
        <v>8.4300000000000708E-2</v>
      </c>
      <c r="GW48">
        <v>38</v>
      </c>
      <c r="GX48" s="157">
        <v>9354</v>
      </c>
      <c r="GY48" s="161">
        <f>VLOOKUP(GX48,Sheet3!$AJ$7:$AN$83,2,0)</f>
        <v>15.5725</v>
      </c>
      <c r="GZ48" s="161">
        <f>VLOOKUP(GX48,Sheet3!$AJ$7:$AN$83,3,0)</f>
        <v>2.0868000000000002</v>
      </c>
      <c r="HA48" s="161">
        <f>VLOOKUP(GX48,Sheet3!$AJ$7:$AN$83,4,0)</f>
        <v>0.79510000000000003</v>
      </c>
      <c r="HB48" s="162">
        <f t="shared" si="17"/>
        <v>0.64885416666666662</v>
      </c>
      <c r="HC48" s="131">
        <f t="shared" si="116"/>
        <v>37.244900000000001</v>
      </c>
      <c r="HD48" s="159">
        <f t="shared" si="144"/>
        <v>0.10699999999999932</v>
      </c>
      <c r="HE48" s="159">
        <f t="shared" si="145"/>
        <v>5.5000000000000604E-3</v>
      </c>
      <c r="HG48" s="159"/>
      <c r="HH48" s="159">
        <v>38</v>
      </c>
      <c r="HI48" s="158">
        <v>9354</v>
      </c>
      <c r="HJ48" s="161">
        <v>15.6157</v>
      </c>
      <c r="HK48" s="161">
        <v>2.0926</v>
      </c>
      <c r="HL48" s="161">
        <v>0.79730000000000001</v>
      </c>
      <c r="HM48" s="162">
        <f t="shared" si="18"/>
        <v>0.65065416666666664</v>
      </c>
      <c r="HN48" s="131">
        <f t="shared" si="67"/>
        <v>37.242699999999999</v>
      </c>
      <c r="HO48" s="159">
        <f t="shared" si="68"/>
        <v>4.3200000000000571E-2</v>
      </c>
      <c r="HQ48" s="183"/>
      <c r="HR48" s="183">
        <v>38</v>
      </c>
      <c r="HS48" s="178">
        <v>9354</v>
      </c>
      <c r="HT48" s="184">
        <v>15.643800000000001</v>
      </c>
      <c r="HU48" s="184">
        <v>2.0962999999999998</v>
      </c>
      <c r="HV48" s="184">
        <v>0.79869999999999997</v>
      </c>
      <c r="HW48" s="171">
        <f t="shared" si="19"/>
        <v>0.65182499999999999</v>
      </c>
      <c r="HX48" s="53">
        <f t="shared" si="69"/>
        <v>37.241300000000003</v>
      </c>
      <c r="HY48" s="183">
        <f t="shared" si="70"/>
        <v>2.8100000000000236E-2</v>
      </c>
      <c r="IA48" s="194"/>
      <c r="IB48" s="194">
        <v>38</v>
      </c>
      <c r="IC48" s="193">
        <v>9354</v>
      </c>
      <c r="ID48" s="161">
        <v>15.656000000000001</v>
      </c>
      <c r="IE48" s="184">
        <v>2.0979999999999999</v>
      </c>
      <c r="IF48" s="184">
        <v>0.79930000000000001</v>
      </c>
      <c r="IG48" s="171">
        <f t="shared" si="71"/>
        <v>0.65233333333333332</v>
      </c>
      <c r="IH48" s="53">
        <f t="shared" si="72"/>
        <v>37.240699999999997</v>
      </c>
      <c r="II48" s="194">
        <f t="shared" si="73"/>
        <v>1.2199999999999989E-2</v>
      </c>
      <c r="IL48" s="199">
        <v>38</v>
      </c>
      <c r="IM48" s="197">
        <v>9354</v>
      </c>
      <c r="IN48" s="161">
        <v>15.7202</v>
      </c>
      <c r="IO48" s="184">
        <v>2.1065999999999998</v>
      </c>
      <c r="IP48" s="184">
        <v>0.80259999999999998</v>
      </c>
      <c r="IQ48" s="171">
        <f t="shared" si="74"/>
        <v>0.6550083333333333</v>
      </c>
      <c r="IR48" s="53">
        <f t="shared" si="75"/>
        <v>37.237400000000001</v>
      </c>
      <c r="IS48" s="199">
        <f t="shared" si="76"/>
        <v>6.4199999999999591E-2</v>
      </c>
      <c r="IV48" s="202">
        <v>38</v>
      </c>
      <c r="IW48" s="201">
        <v>9354</v>
      </c>
      <c r="IX48" s="184">
        <v>15.806800000000001</v>
      </c>
      <c r="IY48" s="184">
        <v>2.1181999999999999</v>
      </c>
      <c r="IZ48" s="184">
        <v>0.80700000000000005</v>
      </c>
      <c r="JA48" s="162">
        <f t="shared" si="22"/>
        <v>0.65861666666666674</v>
      </c>
      <c r="JB48" s="53">
        <f t="shared" si="77"/>
        <v>37.232999999999997</v>
      </c>
      <c r="JC48" s="202">
        <f t="shared" si="78"/>
        <v>8.6600000000000676E-2</v>
      </c>
      <c r="JE48" s="204"/>
      <c r="JF48" s="204">
        <v>38</v>
      </c>
      <c r="JG48" s="203">
        <v>9354</v>
      </c>
      <c r="JH48" s="161">
        <v>15.834300000000001</v>
      </c>
      <c r="JI48" s="184">
        <v>2.1219000000000001</v>
      </c>
      <c r="JJ48" s="184">
        <v>0.80840000000000001</v>
      </c>
      <c r="JK48" s="162">
        <f t="shared" si="79"/>
        <v>0.65976250000000003</v>
      </c>
      <c r="JL48" s="53">
        <f t="shared" si="80"/>
        <v>37.2316</v>
      </c>
      <c r="JM48" s="204">
        <f t="shared" si="117"/>
        <v>2.7499999999999858E-2</v>
      </c>
      <c r="JN48" s="204"/>
      <c r="JP48" s="209">
        <v>38</v>
      </c>
      <c r="JQ48" s="205">
        <v>9354</v>
      </c>
      <c r="JR48" s="161">
        <v>15.856400000000001</v>
      </c>
      <c r="JS48" s="184">
        <v>2.1248</v>
      </c>
      <c r="JT48" s="184">
        <v>0.80959999999999999</v>
      </c>
      <c r="JU48" s="162">
        <f t="shared" si="81"/>
        <v>0.6606833333333334</v>
      </c>
      <c r="JV48" s="53">
        <f t="shared" si="82"/>
        <v>37.230399999999996</v>
      </c>
      <c r="JW48" s="209">
        <f t="shared" si="118"/>
        <v>2.2100000000000009E-2</v>
      </c>
      <c r="JX48" s="213"/>
      <c r="JY48" s="213"/>
      <c r="JZ48" s="213">
        <v>38</v>
      </c>
      <c r="KA48" s="206">
        <v>9354</v>
      </c>
      <c r="KB48" s="184">
        <v>15.908300000000001</v>
      </c>
      <c r="KC48" s="184">
        <v>2.1318000000000001</v>
      </c>
      <c r="KD48" s="184">
        <v>0.81220000000000003</v>
      </c>
      <c r="KE48" s="162">
        <f t="shared" si="83"/>
        <v>0.66284583333333336</v>
      </c>
      <c r="KF48" s="53">
        <f t="shared" si="84"/>
        <v>37.227800000000002</v>
      </c>
      <c r="KG48" s="213">
        <f t="shared" si="119"/>
        <v>5.1899999999999835E-2</v>
      </c>
      <c r="KI48" s="219"/>
      <c r="KJ48" s="219">
        <v>38</v>
      </c>
      <c r="KK48" s="214">
        <v>9354</v>
      </c>
      <c r="KL48" s="161">
        <v>15.925599999999999</v>
      </c>
      <c r="KM48" s="161">
        <v>2.1341000000000001</v>
      </c>
      <c r="KN48" s="161">
        <v>0.81310000000000004</v>
      </c>
      <c r="KO48" s="162">
        <f t="shared" si="24"/>
        <v>0.66356666666666664</v>
      </c>
      <c r="KP48" s="53">
        <f t="shared" si="85"/>
        <v>37.226900000000001</v>
      </c>
      <c r="KQ48" s="219">
        <f t="shared" si="120"/>
        <v>1.7299999999998761E-2</v>
      </c>
      <c r="KT48" s="223">
        <v>38</v>
      </c>
      <c r="KU48" s="216">
        <v>9354</v>
      </c>
      <c r="KV48" s="161">
        <v>15.9438</v>
      </c>
      <c r="KW48" s="161">
        <v>2.1364999999999998</v>
      </c>
      <c r="KX48" s="161">
        <v>0.81399999999999995</v>
      </c>
      <c r="KY48" s="162">
        <f t="shared" si="86"/>
        <v>0.66432499999999994</v>
      </c>
      <c r="KZ48" s="53">
        <f t="shared" si="87"/>
        <v>37.225999999999999</v>
      </c>
      <c r="LA48" s="223">
        <f t="shared" si="121"/>
        <v>1.8200000000000216E-2</v>
      </c>
      <c r="LD48" s="228">
        <v>38</v>
      </c>
      <c r="LE48" s="221">
        <v>9354</v>
      </c>
      <c r="LF48" s="161">
        <v>15.959099999999999</v>
      </c>
      <c r="LG48" s="161">
        <v>2.1385999999999998</v>
      </c>
      <c r="LH48" s="161">
        <v>0.81479999999999997</v>
      </c>
      <c r="LI48" s="162">
        <f t="shared" si="88"/>
        <v>0.66496250000000001</v>
      </c>
      <c r="LJ48" s="53">
        <f t="shared" si="89"/>
        <v>37.225200000000001</v>
      </c>
      <c r="LK48" s="228">
        <f t="shared" si="122"/>
        <v>1.5299999999999869E-2</v>
      </c>
      <c r="LL48" s="231"/>
      <c r="LM48" s="231"/>
      <c r="LN48" s="231">
        <v>38</v>
      </c>
      <c r="LO48" s="226">
        <v>9354</v>
      </c>
      <c r="LP48" s="184">
        <v>15.980499999999999</v>
      </c>
      <c r="LQ48" s="184">
        <v>2.1414</v>
      </c>
      <c r="LR48" s="184">
        <v>0.81589999999999996</v>
      </c>
      <c r="LS48" s="162">
        <f t="shared" si="90"/>
        <v>0.66585416666666664</v>
      </c>
      <c r="LT48" s="53">
        <f t="shared" si="91"/>
        <v>37.2241</v>
      </c>
      <c r="LU48" s="231">
        <f t="shared" si="123"/>
        <v>2.1399999999999864E-2</v>
      </c>
      <c r="LW48" s="231"/>
      <c r="LX48" s="231">
        <v>38</v>
      </c>
      <c r="LY48" s="234">
        <v>9354</v>
      </c>
      <c r="LZ48" s="184">
        <v>16.0045</v>
      </c>
      <c r="MA48" s="184">
        <v>2.1446999999999998</v>
      </c>
      <c r="MB48" s="184">
        <v>0.81710000000000005</v>
      </c>
      <c r="MC48" s="162">
        <f t="shared" si="92"/>
        <v>0.66685416666666664</v>
      </c>
      <c r="MD48" s="53">
        <f t="shared" si="93"/>
        <v>37.222899999999996</v>
      </c>
      <c r="ME48" s="231">
        <f t="shared" si="124"/>
        <v>2.4000000000000909E-2</v>
      </c>
      <c r="MF48" s="231"/>
      <c r="MG48" s="231"/>
      <c r="MH48" s="231">
        <v>38</v>
      </c>
      <c r="MI48" s="236">
        <v>9354</v>
      </c>
      <c r="MJ48" s="184">
        <v>16.028199999999998</v>
      </c>
      <c r="MK48" s="184">
        <v>2.1478000000000002</v>
      </c>
      <c r="ML48" s="184">
        <v>0.81830000000000003</v>
      </c>
      <c r="MM48" s="162">
        <f t="shared" si="94"/>
        <v>0.66784166666666656</v>
      </c>
      <c r="MN48" s="53">
        <f t="shared" si="95"/>
        <v>37.221699999999998</v>
      </c>
      <c r="MO48" s="231">
        <f t="shared" si="125"/>
        <v>2.3699999999998056E-2</v>
      </c>
      <c r="MP48" s="231"/>
      <c r="MQ48" s="231"/>
      <c r="MR48" s="231">
        <v>38</v>
      </c>
      <c r="MS48" s="34">
        <v>9354</v>
      </c>
      <c r="MT48" s="184">
        <v>16.073399999999999</v>
      </c>
      <c r="MU48" s="184">
        <v>2.1539000000000001</v>
      </c>
      <c r="MV48" s="184">
        <v>0.8206</v>
      </c>
      <c r="MW48" s="162">
        <f t="shared" si="96"/>
        <v>0.66972500000000001</v>
      </c>
      <c r="MX48" s="53">
        <f t="shared" si="97"/>
        <v>37.2194</v>
      </c>
      <c r="MY48" s="231">
        <f t="shared" si="126"/>
        <v>4.5200000000001239E-2</v>
      </c>
      <c r="MZ48" s="246"/>
      <c r="NA48" s="246"/>
      <c r="NB48" s="246">
        <v>38</v>
      </c>
      <c r="NC48" s="34">
        <v>9354</v>
      </c>
      <c r="ND48" s="184">
        <v>16.119599999999998</v>
      </c>
      <c r="NE48" s="184">
        <v>2.1600999999999999</v>
      </c>
      <c r="NF48" s="184">
        <v>0.82299999999999995</v>
      </c>
      <c r="NG48" s="162">
        <f t="shared" si="98"/>
        <v>0.67164999999999997</v>
      </c>
      <c r="NH48" s="53">
        <f t="shared" si="99"/>
        <v>37.216999999999999</v>
      </c>
      <c r="NI48" s="232">
        <f t="shared" si="127"/>
        <v>4.6199999999998909E-2</v>
      </c>
      <c r="NK48" s="250"/>
      <c r="NL48" s="250">
        <v>38</v>
      </c>
      <c r="NM48" s="34">
        <v>9354</v>
      </c>
      <c r="NN48" s="184">
        <v>16.133199999999999</v>
      </c>
      <c r="NO48" s="184">
        <v>2.1619000000000002</v>
      </c>
      <c r="NP48" s="184">
        <v>0.82369999999999999</v>
      </c>
      <c r="NQ48" s="162">
        <f t="shared" si="133"/>
        <v>0.67221666666666657</v>
      </c>
      <c r="NR48" s="53">
        <f t="shared" si="101"/>
        <v>37.216299999999997</v>
      </c>
      <c r="NS48" s="232">
        <f t="shared" si="128"/>
        <v>1.3600000000000279E-2</v>
      </c>
      <c r="NU48" s="250"/>
      <c r="NV48" s="250">
        <v>38</v>
      </c>
      <c r="NW48" s="34">
        <v>9354</v>
      </c>
      <c r="NX48" s="184">
        <v>16.154800000000002</v>
      </c>
      <c r="NY48" s="184">
        <v>2.1648000000000001</v>
      </c>
      <c r="NZ48" s="184">
        <v>0.82479999999999998</v>
      </c>
      <c r="OA48" s="162">
        <f t="shared" si="134"/>
        <v>0.6731166666666667</v>
      </c>
      <c r="OB48" s="53">
        <f t="shared" si="103"/>
        <v>37.215199999999996</v>
      </c>
      <c r="OC48" s="232">
        <f t="shared" si="129"/>
        <v>2.160000000000295E-2</v>
      </c>
      <c r="OE48" s="250"/>
      <c r="OF48" s="250">
        <v>38</v>
      </c>
      <c r="OG48" s="34">
        <v>9354</v>
      </c>
      <c r="OH48" s="184">
        <v>16.165600000000001</v>
      </c>
      <c r="OI48" s="184">
        <v>2.1663000000000001</v>
      </c>
      <c r="OJ48" s="184">
        <v>0.82530000000000003</v>
      </c>
      <c r="OK48" s="162">
        <f t="shared" si="135"/>
        <v>0.67356666666666676</v>
      </c>
      <c r="OL48" s="53">
        <f t="shared" si="105"/>
        <v>37.214700000000001</v>
      </c>
      <c r="OM48" s="232">
        <f t="shared" si="130"/>
        <v>1.0799999999999699E-2</v>
      </c>
      <c r="OP48" s="250">
        <v>38</v>
      </c>
      <c r="OQ48" s="34">
        <v>9354</v>
      </c>
      <c r="OR48" s="184">
        <f>VLOOKUP(OQ48,Sheet4!A9:F85,3,0)</f>
        <v>16.1904</v>
      </c>
      <c r="OS48" s="184">
        <f>VLOOKUP(OQ48,Sheet4!A9:F85,4,0)</f>
        <v>2.1696</v>
      </c>
      <c r="OT48" s="184">
        <f>VLOOKUP(OQ48,Sheet4!A9:F85,5,0)</f>
        <v>0.8266</v>
      </c>
      <c r="OU48" s="162">
        <f t="shared" si="106"/>
        <v>0.67459999999999998</v>
      </c>
      <c r="OV48" s="53">
        <f t="shared" si="107"/>
        <v>37.2134</v>
      </c>
      <c r="OW48" s="232">
        <f t="shared" si="131"/>
        <v>2.4799999999999045E-2</v>
      </c>
    </row>
    <row r="49" spans="1:413" ht="15.75" x14ac:dyDescent="0.25">
      <c r="A49">
        <v>41</v>
      </c>
      <c r="B49" s="1">
        <v>9596</v>
      </c>
      <c r="C49" s="1" t="s">
        <v>1</v>
      </c>
      <c r="D49" s="2">
        <v>37.82</v>
      </c>
      <c r="E49" s="8"/>
      <c r="F49" s="8"/>
      <c r="G49" s="8"/>
      <c r="H49" s="8"/>
      <c r="J49" s="15">
        <v>9596</v>
      </c>
      <c r="K49" s="15">
        <v>11.023199999999999</v>
      </c>
      <c r="L49" s="15">
        <v>1.4772000000000001</v>
      </c>
      <c r="M49" s="15">
        <v>0.56279999999999997</v>
      </c>
      <c r="N49" s="24">
        <f t="shared" si="42"/>
        <v>0.45929999999999999</v>
      </c>
      <c r="O49" s="10">
        <f t="shared" si="139"/>
        <v>37.257199999999997</v>
      </c>
      <c r="P49" s="18"/>
      <c r="R49" s="20">
        <v>9596</v>
      </c>
      <c r="S49" s="9">
        <v>11.078099999999999</v>
      </c>
      <c r="T49" s="9">
        <v>1.4844999999999999</v>
      </c>
      <c r="U49" s="9">
        <v>0.56559999999999999</v>
      </c>
      <c r="V49" s="24">
        <f t="shared" si="43"/>
        <v>0.46158749999999998</v>
      </c>
      <c r="W49" s="10">
        <f t="shared" si="140"/>
        <v>37.254399999999997</v>
      </c>
      <c r="X49" s="18"/>
      <c r="Z49" s="27">
        <v>9596</v>
      </c>
      <c r="AA49" s="9">
        <v>11.212999999999999</v>
      </c>
      <c r="AB49" s="9">
        <v>1.5025999999999999</v>
      </c>
      <c r="AC49" s="9">
        <v>0.57250000000000001</v>
      </c>
      <c r="AD49" s="24">
        <f t="shared" si="45"/>
        <v>0.46720833333333328</v>
      </c>
      <c r="AE49" s="10">
        <f t="shared" si="46"/>
        <v>37.247500000000002</v>
      </c>
      <c r="AF49" s="79"/>
      <c r="AG49">
        <v>41</v>
      </c>
      <c r="AH49" s="1">
        <v>9596</v>
      </c>
      <c r="AI49" s="1" t="s">
        <v>1</v>
      </c>
      <c r="AJ49" s="2">
        <v>37.82</v>
      </c>
      <c r="AL49" s="35">
        <v>9596</v>
      </c>
      <c r="AM49" s="36">
        <v>11.3604</v>
      </c>
      <c r="AN49" s="36">
        <v>1.5223</v>
      </c>
      <c r="AO49" s="36">
        <v>0.57999999999999996</v>
      </c>
      <c r="AP49" s="37">
        <f t="shared" si="0"/>
        <v>0.47334999999999999</v>
      </c>
      <c r="AQ49" s="53">
        <f t="shared" si="108"/>
        <v>37.24</v>
      </c>
      <c r="AT49" s="39"/>
      <c r="AU49" s="35">
        <v>9596</v>
      </c>
      <c r="AV49" s="9">
        <v>11.4231</v>
      </c>
      <c r="AW49" s="43">
        <v>1.5306999999999999</v>
      </c>
      <c r="AX49" s="43">
        <v>0.58320000000000005</v>
      </c>
      <c r="AY49" s="47">
        <f t="shared" si="47"/>
        <v>0.47596250000000001</v>
      </c>
      <c r="AZ49" s="56">
        <f t="shared" si="109"/>
        <v>37.236800000000002</v>
      </c>
      <c r="BD49" s="35">
        <v>9596</v>
      </c>
      <c r="BE49" s="53">
        <v>11.430199999999999</v>
      </c>
      <c r="BF49" s="58">
        <v>1.5317000000000001</v>
      </c>
      <c r="BG49" s="58">
        <v>0.58360000000000001</v>
      </c>
      <c r="BH49" s="47">
        <f t="shared" si="48"/>
        <v>0.47625833333333328</v>
      </c>
      <c r="BI49" s="56">
        <f t="shared" si="49"/>
        <v>37.236400000000003</v>
      </c>
      <c r="BJ49" s="88"/>
      <c r="BK49" s="88"/>
      <c r="BL49" s="88"/>
      <c r="BN49" s="9">
        <v>9596</v>
      </c>
      <c r="BO49" s="53">
        <v>11.4567</v>
      </c>
      <c r="BP49" s="53">
        <v>1.5351999999999999</v>
      </c>
      <c r="BQ49" s="53">
        <v>0.58489999999999998</v>
      </c>
      <c r="BR49" s="53">
        <f t="shared" si="50"/>
        <v>0.47736249999999997</v>
      </c>
      <c r="BS49" s="53">
        <f t="shared" si="51"/>
        <v>37.235100000000003</v>
      </c>
      <c r="BV49" s="88"/>
      <c r="BX49" s="93">
        <v>9596</v>
      </c>
      <c r="BY49" s="9">
        <v>11.508800000000001</v>
      </c>
      <c r="BZ49" s="9">
        <v>1.5422</v>
      </c>
      <c r="CA49" s="9">
        <v>0.58760000000000001</v>
      </c>
      <c r="CB49" s="58">
        <f t="shared" si="52"/>
        <v>0.47953333333333337</v>
      </c>
      <c r="CC49" s="53">
        <f t="shared" si="110"/>
        <v>37.232399999999998</v>
      </c>
      <c r="CF49" s="88"/>
      <c r="CG49">
        <v>39</v>
      </c>
      <c r="CH49" s="93">
        <v>9596</v>
      </c>
      <c r="CI49" s="93">
        <v>11.553599999999999</v>
      </c>
      <c r="CJ49" s="9">
        <v>1.5482</v>
      </c>
      <c r="CK49" s="9">
        <v>0.58989999999999998</v>
      </c>
      <c r="CL49" s="47">
        <f t="shared" si="5"/>
        <v>0.48139999999999999</v>
      </c>
      <c r="CM49" s="53">
        <f t="shared" si="53"/>
        <v>37.2301</v>
      </c>
      <c r="CQ49">
        <v>39</v>
      </c>
      <c r="CR49" s="98">
        <v>9596</v>
      </c>
      <c r="CS49" s="101">
        <v>11.6099</v>
      </c>
      <c r="CT49" s="101">
        <v>1.5558000000000001</v>
      </c>
      <c r="CU49" s="101">
        <v>0.5927</v>
      </c>
      <c r="CV49" s="47">
        <f t="shared" si="6"/>
        <v>0.48374583333333332</v>
      </c>
      <c r="CW49" s="53">
        <f t="shared" si="141"/>
        <v>37.2273</v>
      </c>
      <c r="DA49">
        <v>39</v>
      </c>
      <c r="DB49" s="106">
        <v>9596</v>
      </c>
      <c r="DC49" s="107">
        <v>11.615399999999999</v>
      </c>
      <c r="DD49" s="107">
        <v>1.5565</v>
      </c>
      <c r="DE49" s="107">
        <v>0.59299999999999997</v>
      </c>
      <c r="DF49" s="47">
        <f t="shared" si="136"/>
        <v>0.48397499999999999</v>
      </c>
      <c r="DG49" s="53">
        <f t="shared" si="111"/>
        <v>37.227000000000004</v>
      </c>
      <c r="DK49">
        <v>39</v>
      </c>
      <c r="DL49" s="110">
        <v>9596</v>
      </c>
      <c r="DM49" s="53">
        <v>11.6797</v>
      </c>
      <c r="DN49" s="53">
        <v>1.5650999999999999</v>
      </c>
      <c r="DO49" s="53">
        <v>0.59630000000000005</v>
      </c>
      <c r="DP49" s="47">
        <f t="shared" si="137"/>
        <v>0.48665416666666667</v>
      </c>
      <c r="DQ49" s="53">
        <f t="shared" si="54"/>
        <v>37.223700000000001</v>
      </c>
      <c r="DS49" s="3">
        <f t="shared" si="55"/>
        <v>6.4300000000001134E-2</v>
      </c>
      <c r="DU49">
        <v>39</v>
      </c>
      <c r="DV49" s="115">
        <v>9596</v>
      </c>
      <c r="DW49" s="53">
        <f>Sheet3!B$30</f>
        <v>11.719799999999999</v>
      </c>
      <c r="DX49" s="53">
        <f>Sheet3!C$30</f>
        <v>1.5705</v>
      </c>
      <c r="DY49" s="53">
        <f>Sheet3!D$30</f>
        <v>0.59840000000000004</v>
      </c>
      <c r="DZ49" s="47">
        <f t="shared" si="138"/>
        <v>0.48832499999999995</v>
      </c>
      <c r="EA49" s="53">
        <f t="shared" si="112"/>
        <v>37.221600000000002</v>
      </c>
      <c r="EB49" s="3"/>
      <c r="EE49">
        <v>39</v>
      </c>
      <c r="EF49" s="118">
        <v>9596</v>
      </c>
      <c r="EG49" s="9">
        <v>11.782400000000001</v>
      </c>
      <c r="EH49" s="9">
        <v>1.5789</v>
      </c>
      <c r="EI49" s="9">
        <v>0.60160000000000002</v>
      </c>
      <c r="EJ49" s="47">
        <f t="shared" si="10"/>
        <v>0.49093333333333339</v>
      </c>
      <c r="EK49" s="53">
        <f t="shared" si="56"/>
        <v>37.218400000000003</v>
      </c>
      <c r="EM49" s="3">
        <f t="shared" si="57"/>
        <v>-3.1999999999996476E-3</v>
      </c>
      <c r="EN49" s="3"/>
      <c r="EO49">
        <v>39</v>
      </c>
      <c r="EP49" s="121">
        <v>9596</v>
      </c>
      <c r="EQ49" s="122">
        <v>11.9068</v>
      </c>
      <c r="ER49" s="122">
        <v>1.5955999999999999</v>
      </c>
      <c r="ES49" s="129">
        <v>0.6079</v>
      </c>
      <c r="ET49" s="130">
        <f t="shared" si="11"/>
        <v>0.49611666666666671</v>
      </c>
      <c r="EU49" s="131">
        <f t="shared" si="58"/>
        <v>37.2121</v>
      </c>
      <c r="EX49" s="3"/>
      <c r="EY49">
        <v>39</v>
      </c>
      <c r="EZ49" s="135">
        <v>9596</v>
      </c>
      <c r="FA49" s="135">
        <v>11.9655</v>
      </c>
      <c r="FB49" s="135">
        <v>1.6033999999999999</v>
      </c>
      <c r="FC49" s="135">
        <v>0.6109</v>
      </c>
      <c r="FD49" s="136">
        <f t="shared" si="12"/>
        <v>0.49856250000000002</v>
      </c>
      <c r="FE49" s="131">
        <f t="shared" si="59"/>
        <v>37.209099999999999</v>
      </c>
      <c r="FG49" s="123">
        <f t="shared" si="60"/>
        <v>-3.0000000000001137E-3</v>
      </c>
      <c r="FH49" s="3"/>
      <c r="FI49">
        <v>39</v>
      </c>
      <c r="FJ49" s="145">
        <v>9596</v>
      </c>
      <c r="FK49" s="9">
        <v>12.043699999999999</v>
      </c>
      <c r="FL49" s="9">
        <v>1.6138999999999999</v>
      </c>
      <c r="FM49" s="9">
        <v>0.6149</v>
      </c>
      <c r="FN49" s="146">
        <f t="shared" si="113"/>
        <v>0.50182083333333327</v>
      </c>
      <c r="FO49" s="131">
        <f t="shared" si="61"/>
        <v>37.205100000000002</v>
      </c>
      <c r="FP49" s="123">
        <f t="shared" si="62"/>
        <v>-3.9999999999977831E-3</v>
      </c>
      <c r="FS49">
        <v>39</v>
      </c>
      <c r="FT49" s="147">
        <v>9596</v>
      </c>
      <c r="FU49" s="148">
        <v>12.059799999999999</v>
      </c>
      <c r="FV49" s="148">
        <v>1.6161000000000001</v>
      </c>
      <c r="FW49" s="148">
        <v>0.61570000000000003</v>
      </c>
      <c r="FX49" s="150">
        <f t="shared" si="114"/>
        <v>0.50249166666666667</v>
      </c>
      <c r="FY49" s="131">
        <f t="shared" si="115"/>
        <v>37.204300000000003</v>
      </c>
      <c r="FZ49">
        <f t="shared" si="63"/>
        <v>1.6099999999999781E-2</v>
      </c>
      <c r="GC49">
        <v>39</v>
      </c>
      <c r="GD49" s="151">
        <v>9596</v>
      </c>
      <c r="GE49" s="151">
        <v>12.099600000000001</v>
      </c>
      <c r="GF49" s="151">
        <v>1.6214</v>
      </c>
      <c r="GG49" s="151">
        <v>0.61780000000000002</v>
      </c>
      <c r="GH49" s="153">
        <f t="shared" si="132"/>
        <v>0.50414999999999999</v>
      </c>
      <c r="GI49" s="131">
        <f t="shared" si="64"/>
        <v>37.202199999999998</v>
      </c>
      <c r="GJ49">
        <f t="shared" si="142"/>
        <v>3.980000000000139E-2</v>
      </c>
      <c r="GM49">
        <v>39</v>
      </c>
      <c r="GN49" s="155">
        <v>9596</v>
      </c>
      <c r="GO49" s="155">
        <v>12.1839</v>
      </c>
      <c r="GP49" s="155">
        <v>1.6327</v>
      </c>
      <c r="GQ49" s="155">
        <v>0.62209999999999999</v>
      </c>
      <c r="GR49" s="58">
        <f t="shared" si="65"/>
        <v>0.50766250000000002</v>
      </c>
      <c r="GS49" s="131">
        <f t="shared" si="66"/>
        <v>37.197899999999997</v>
      </c>
      <c r="GT49">
        <f t="shared" si="143"/>
        <v>8.4299999999998931E-2</v>
      </c>
      <c r="GW49">
        <v>39</v>
      </c>
      <c r="GX49" s="157">
        <v>9596</v>
      </c>
      <c r="GY49" s="161">
        <f>VLOOKUP(GX49,Sheet3!$AJ$7:$AN$83,2,0)</f>
        <v>12.290900000000001</v>
      </c>
      <c r="GZ49" s="161">
        <f>VLOOKUP(GX49,Sheet3!$AJ$7:$AN$83,3,0)</f>
        <v>1.647</v>
      </c>
      <c r="HA49" s="161">
        <f>VLOOKUP(GX49,Sheet3!$AJ$7:$AN$83,4,0)</f>
        <v>0.62749999999999995</v>
      </c>
      <c r="HB49" s="162">
        <f t="shared" si="17"/>
        <v>0.51212083333333336</v>
      </c>
      <c r="HC49" s="131">
        <f t="shared" si="116"/>
        <v>37.192500000000003</v>
      </c>
      <c r="HD49" s="159">
        <f t="shared" si="144"/>
        <v>0.10700000000000109</v>
      </c>
      <c r="HE49" s="159">
        <f t="shared" si="145"/>
        <v>5.3999999999999604E-3</v>
      </c>
      <c r="HG49" s="159"/>
      <c r="HH49" s="159">
        <v>39</v>
      </c>
      <c r="HI49" s="158">
        <v>9596</v>
      </c>
      <c r="HJ49" s="161">
        <v>12.334099999999999</v>
      </c>
      <c r="HK49" s="161">
        <v>1.6528</v>
      </c>
      <c r="HL49" s="161">
        <v>0.62970000000000004</v>
      </c>
      <c r="HM49" s="162">
        <f t="shared" si="18"/>
        <v>0.51392083333333327</v>
      </c>
      <c r="HN49" s="131">
        <f t="shared" si="67"/>
        <v>37.190300000000001</v>
      </c>
      <c r="HO49" s="159">
        <f t="shared" si="68"/>
        <v>4.3199999999998795E-2</v>
      </c>
      <c r="HQ49" s="183"/>
      <c r="HR49" s="183">
        <v>39</v>
      </c>
      <c r="HS49" s="178">
        <v>9596</v>
      </c>
      <c r="HT49" s="184">
        <v>12.3622</v>
      </c>
      <c r="HU49" s="184">
        <v>1.6566000000000001</v>
      </c>
      <c r="HV49" s="184">
        <v>0.63119999999999998</v>
      </c>
      <c r="HW49" s="171">
        <f t="shared" si="19"/>
        <v>0.51509166666666661</v>
      </c>
      <c r="HX49" s="53">
        <f t="shared" si="69"/>
        <v>37.188800000000001</v>
      </c>
      <c r="HY49" s="183">
        <f t="shared" si="70"/>
        <v>2.8100000000000236E-2</v>
      </c>
      <c r="IA49" s="194"/>
      <c r="IB49" s="194">
        <v>39</v>
      </c>
      <c r="IC49" s="193">
        <v>9596</v>
      </c>
      <c r="ID49" s="161">
        <v>12.3744</v>
      </c>
      <c r="IE49" s="184">
        <v>1.6581999999999999</v>
      </c>
      <c r="IF49" s="184">
        <v>0.63180000000000003</v>
      </c>
      <c r="IG49" s="171">
        <f t="shared" si="71"/>
        <v>0.51559999999999995</v>
      </c>
      <c r="IH49" s="53">
        <f t="shared" si="72"/>
        <v>37.188200000000002</v>
      </c>
      <c r="II49" s="194">
        <f t="shared" si="73"/>
        <v>1.2199999999999989E-2</v>
      </c>
      <c r="IL49" s="199">
        <v>39</v>
      </c>
      <c r="IM49" s="197">
        <v>9596</v>
      </c>
      <c r="IN49" s="161">
        <v>12.438599999999999</v>
      </c>
      <c r="IO49" s="184">
        <v>1.6668000000000001</v>
      </c>
      <c r="IP49" s="184">
        <v>0.6351</v>
      </c>
      <c r="IQ49" s="171">
        <f t="shared" si="74"/>
        <v>0.51827499999999993</v>
      </c>
      <c r="IR49" s="53">
        <f t="shared" si="75"/>
        <v>37.184899999999999</v>
      </c>
      <c r="IS49" s="199">
        <f t="shared" si="76"/>
        <v>6.4199999999999591E-2</v>
      </c>
      <c r="IU49" s="202"/>
      <c r="IV49" s="202">
        <v>39</v>
      </c>
      <c r="IW49" s="201">
        <v>9596</v>
      </c>
      <c r="IX49" s="184">
        <v>12.5252</v>
      </c>
      <c r="IY49" s="184">
        <v>1.6783999999999999</v>
      </c>
      <c r="IZ49" s="184">
        <v>0.63949999999999996</v>
      </c>
      <c r="JA49" s="162">
        <f t="shared" si="22"/>
        <v>0.52188333333333337</v>
      </c>
      <c r="JB49" s="53">
        <f t="shared" si="77"/>
        <v>37.180500000000002</v>
      </c>
      <c r="JC49" s="202">
        <f t="shared" si="78"/>
        <v>8.6600000000000676E-2</v>
      </c>
      <c r="JE49" s="204"/>
      <c r="JF49" s="204">
        <v>39</v>
      </c>
      <c r="JG49" s="203">
        <v>9596</v>
      </c>
      <c r="JH49" s="161">
        <v>12.5527</v>
      </c>
      <c r="JI49" s="184">
        <v>1.6820999999999999</v>
      </c>
      <c r="JJ49" s="184">
        <v>0.64090000000000003</v>
      </c>
      <c r="JK49" s="162">
        <f t="shared" si="79"/>
        <v>0.52302916666666666</v>
      </c>
      <c r="JL49" s="53">
        <f t="shared" si="80"/>
        <v>37.179099999999998</v>
      </c>
      <c r="JM49" s="204">
        <f t="shared" si="117"/>
        <v>2.7499999999999858E-2</v>
      </c>
      <c r="JN49" s="204"/>
      <c r="JP49" s="209">
        <v>39</v>
      </c>
      <c r="JQ49" s="205">
        <v>9596</v>
      </c>
      <c r="JR49" s="161">
        <v>12.5748</v>
      </c>
      <c r="JS49" s="184">
        <v>1.6851</v>
      </c>
      <c r="JT49" s="184">
        <v>0.64200000000000002</v>
      </c>
      <c r="JU49" s="162">
        <f t="shared" si="81"/>
        <v>0.52395000000000003</v>
      </c>
      <c r="JV49" s="53">
        <f t="shared" si="82"/>
        <v>37.177999999999997</v>
      </c>
      <c r="JW49" s="209">
        <f t="shared" si="118"/>
        <v>2.2100000000000009E-2</v>
      </c>
      <c r="JX49" s="213"/>
      <c r="JY49" s="213"/>
      <c r="JZ49" s="213">
        <v>39</v>
      </c>
      <c r="KA49" s="206">
        <v>9596</v>
      </c>
      <c r="KB49" s="184">
        <v>12.6267</v>
      </c>
      <c r="KC49" s="184">
        <v>1.6919999999999999</v>
      </c>
      <c r="KD49" s="184">
        <v>0.64470000000000005</v>
      </c>
      <c r="KE49" s="162">
        <f t="shared" si="83"/>
        <v>0.52611249999999998</v>
      </c>
      <c r="KF49" s="53">
        <f t="shared" si="84"/>
        <v>37.1753</v>
      </c>
      <c r="KG49" s="213">
        <f t="shared" si="119"/>
        <v>5.1899999999999835E-2</v>
      </c>
      <c r="KI49" s="219"/>
      <c r="KJ49" s="219">
        <v>39</v>
      </c>
      <c r="KK49" s="214">
        <v>9596</v>
      </c>
      <c r="KL49" s="161">
        <v>12.644</v>
      </c>
      <c r="KM49" s="161">
        <v>1.6942999999999999</v>
      </c>
      <c r="KN49" s="161">
        <v>0.64549999999999996</v>
      </c>
      <c r="KO49" s="162">
        <f t="shared" si="24"/>
        <v>0.52683333333333338</v>
      </c>
      <c r="KP49" s="53">
        <f t="shared" si="85"/>
        <v>37.174500000000002</v>
      </c>
      <c r="KQ49" s="219">
        <f t="shared" si="120"/>
        <v>1.7300000000000537E-2</v>
      </c>
      <c r="KT49" s="223">
        <v>39</v>
      </c>
      <c r="KU49" s="216">
        <v>9596</v>
      </c>
      <c r="KV49" s="161">
        <v>12.6622</v>
      </c>
      <c r="KW49" s="161">
        <v>1.6968000000000001</v>
      </c>
      <c r="KX49" s="161">
        <v>0.64649999999999996</v>
      </c>
      <c r="KY49" s="162">
        <f t="shared" si="86"/>
        <v>0.52759166666666668</v>
      </c>
      <c r="KZ49" s="53">
        <f t="shared" si="87"/>
        <v>37.173499999999997</v>
      </c>
      <c r="LA49" s="223">
        <f t="shared" si="121"/>
        <v>1.8200000000000216E-2</v>
      </c>
      <c r="LD49" s="228">
        <v>39</v>
      </c>
      <c r="LE49" s="221">
        <v>9596</v>
      </c>
      <c r="LF49" s="161">
        <v>12.6775</v>
      </c>
      <c r="LG49" s="161">
        <v>1.6988000000000001</v>
      </c>
      <c r="LH49" s="161">
        <v>0.64729999999999999</v>
      </c>
      <c r="LI49" s="162">
        <f t="shared" si="88"/>
        <v>0.52822916666666664</v>
      </c>
      <c r="LJ49" s="53">
        <f t="shared" si="89"/>
        <v>37.172699999999999</v>
      </c>
      <c r="LK49" s="228">
        <f t="shared" si="122"/>
        <v>1.5299999999999869E-2</v>
      </c>
      <c r="LL49" s="231"/>
      <c r="LM49" s="231"/>
      <c r="LN49" s="231">
        <v>39</v>
      </c>
      <c r="LO49" s="226">
        <v>9596</v>
      </c>
      <c r="LP49" s="184">
        <v>12.6989</v>
      </c>
      <c r="LQ49" s="184">
        <v>1.7017</v>
      </c>
      <c r="LR49" s="184">
        <v>0.64829999999999999</v>
      </c>
      <c r="LS49" s="162">
        <f t="shared" si="90"/>
        <v>0.52912083333333337</v>
      </c>
      <c r="LT49" s="53">
        <f t="shared" si="91"/>
        <v>37.171700000000001</v>
      </c>
      <c r="LU49" s="231">
        <f t="shared" si="123"/>
        <v>2.1399999999999864E-2</v>
      </c>
      <c r="LW49" s="231"/>
      <c r="LX49" s="231">
        <v>39</v>
      </c>
      <c r="LY49" s="234">
        <v>9596</v>
      </c>
      <c r="LZ49" s="184">
        <v>12.722899999999999</v>
      </c>
      <c r="MA49" s="184">
        <v>1.7049000000000001</v>
      </c>
      <c r="MB49" s="184">
        <v>0.64959999999999996</v>
      </c>
      <c r="MC49" s="162">
        <f t="shared" si="92"/>
        <v>0.53012083333333326</v>
      </c>
      <c r="MD49" s="53">
        <f t="shared" si="93"/>
        <v>37.170400000000001</v>
      </c>
      <c r="ME49" s="231">
        <f t="shared" si="124"/>
        <v>2.3999999999999133E-2</v>
      </c>
      <c r="MF49" s="231"/>
      <c r="MG49" s="231"/>
      <c r="MH49" s="231">
        <v>39</v>
      </c>
      <c r="MI49" s="236">
        <v>9596</v>
      </c>
      <c r="MJ49" s="184">
        <v>12.746600000000001</v>
      </c>
      <c r="MK49" s="184">
        <v>1.7081</v>
      </c>
      <c r="ML49" s="184">
        <v>0.65080000000000005</v>
      </c>
      <c r="MM49" s="162">
        <f t="shared" si="94"/>
        <v>0.5311083333333334</v>
      </c>
      <c r="MN49" s="53">
        <f t="shared" si="95"/>
        <v>37.169200000000004</v>
      </c>
      <c r="MO49" s="231">
        <f t="shared" si="125"/>
        <v>2.3700000000001609E-2</v>
      </c>
      <c r="MP49" s="231"/>
      <c r="MQ49" s="231"/>
      <c r="MR49" s="231">
        <v>39</v>
      </c>
      <c r="MS49" s="34">
        <v>9596</v>
      </c>
      <c r="MT49" s="184">
        <v>12.7918</v>
      </c>
      <c r="MU49" s="184">
        <v>1.7141999999999999</v>
      </c>
      <c r="MV49" s="184">
        <v>0.65310000000000001</v>
      </c>
      <c r="MW49" s="162">
        <f t="shared" si="96"/>
        <v>0.53299166666666664</v>
      </c>
      <c r="MX49" s="53">
        <f t="shared" si="97"/>
        <v>37.166899999999998</v>
      </c>
      <c r="MY49" s="231">
        <f t="shared" si="126"/>
        <v>4.5199999999999463E-2</v>
      </c>
      <c r="MZ49" s="246"/>
      <c r="NA49" s="246"/>
      <c r="NB49" s="246">
        <v>39</v>
      </c>
      <c r="NC49" s="34">
        <v>9596</v>
      </c>
      <c r="ND49" s="184">
        <v>12.837999999999999</v>
      </c>
      <c r="NE49" s="184">
        <v>1.7202999999999999</v>
      </c>
      <c r="NF49" s="184">
        <v>0.65549999999999997</v>
      </c>
      <c r="NG49" s="162">
        <f t="shared" si="98"/>
        <v>0.5349166666666666</v>
      </c>
      <c r="NH49" s="53">
        <f t="shared" si="99"/>
        <v>37.164500000000004</v>
      </c>
      <c r="NI49" s="232">
        <f t="shared" si="127"/>
        <v>4.6199999999998909E-2</v>
      </c>
      <c r="NK49" s="250"/>
      <c r="NL49" s="250">
        <v>39</v>
      </c>
      <c r="NM49" s="34">
        <v>9596</v>
      </c>
      <c r="NN49" s="184">
        <v>12.851599999999999</v>
      </c>
      <c r="NO49" s="184">
        <v>1.7222</v>
      </c>
      <c r="NP49" s="184">
        <v>0.65610000000000002</v>
      </c>
      <c r="NQ49" s="162">
        <f t="shared" si="133"/>
        <v>0.53548333333333331</v>
      </c>
      <c r="NR49" s="53">
        <f t="shared" si="101"/>
        <v>37.163899999999998</v>
      </c>
      <c r="NS49" s="232">
        <f t="shared" si="128"/>
        <v>1.3600000000000279E-2</v>
      </c>
      <c r="NU49" s="250"/>
      <c r="NV49" s="250">
        <v>39</v>
      </c>
      <c r="NW49" s="34">
        <v>9596</v>
      </c>
      <c r="NX49" s="184">
        <v>12.873200000000001</v>
      </c>
      <c r="NY49" s="184">
        <v>1.7251000000000001</v>
      </c>
      <c r="NZ49" s="184">
        <v>0.65720000000000001</v>
      </c>
      <c r="OA49" s="162">
        <f t="shared" si="134"/>
        <v>0.53638333333333332</v>
      </c>
      <c r="OB49" s="53">
        <f t="shared" si="103"/>
        <v>37.162799999999997</v>
      </c>
      <c r="OC49" s="232">
        <f t="shared" si="129"/>
        <v>2.1600000000001174E-2</v>
      </c>
      <c r="OE49" s="250"/>
      <c r="OF49" s="250">
        <v>39</v>
      </c>
      <c r="OG49" s="34">
        <v>9596</v>
      </c>
      <c r="OH49" s="184">
        <v>12.884</v>
      </c>
      <c r="OI49" s="184">
        <v>1.7264999999999999</v>
      </c>
      <c r="OJ49" s="184">
        <v>0.65780000000000005</v>
      </c>
      <c r="OK49" s="162">
        <f t="shared" si="135"/>
        <v>0.53683333333333338</v>
      </c>
      <c r="OL49" s="53">
        <f t="shared" si="105"/>
        <v>37.162199999999999</v>
      </c>
      <c r="OM49" s="232">
        <f t="shared" si="130"/>
        <v>1.0799999999999699E-2</v>
      </c>
      <c r="OP49" s="250">
        <v>39</v>
      </c>
      <c r="OQ49" s="34">
        <v>9596</v>
      </c>
      <c r="OR49" s="184">
        <f>VLOOKUP(OQ49,Sheet4!A10:F86,3,0)</f>
        <v>12.908799999999999</v>
      </c>
      <c r="OS49" s="184">
        <f>VLOOKUP(OQ49,Sheet4!A10:F86,4,0)</f>
        <v>1.7298</v>
      </c>
      <c r="OT49" s="184">
        <f>VLOOKUP(OQ49,Sheet4!A10:F86,5,0)</f>
        <v>0.65910000000000002</v>
      </c>
      <c r="OU49" s="162">
        <f t="shared" si="106"/>
        <v>0.5378666666666666</v>
      </c>
      <c r="OV49" s="53">
        <f t="shared" si="107"/>
        <v>37.160899999999998</v>
      </c>
      <c r="OW49" s="232">
        <f t="shared" si="131"/>
        <v>2.4799999999999045E-2</v>
      </c>
    </row>
    <row r="50" spans="1:413" ht="15.75" x14ac:dyDescent="0.25">
      <c r="A50">
        <v>42</v>
      </c>
      <c r="B50" s="1">
        <v>9886</v>
      </c>
      <c r="C50" s="1" t="s">
        <v>1</v>
      </c>
      <c r="D50" s="2">
        <v>37.659999999999997</v>
      </c>
      <c r="E50" s="8"/>
      <c r="F50" s="8"/>
      <c r="G50" s="8"/>
      <c r="H50" s="8"/>
      <c r="J50" s="15">
        <v>9886</v>
      </c>
      <c r="K50" s="15">
        <v>7.1167999999999996</v>
      </c>
      <c r="L50" s="15">
        <v>0.95369999999999999</v>
      </c>
      <c r="M50" s="15">
        <v>0.3634</v>
      </c>
      <c r="N50" s="24">
        <f t="shared" si="42"/>
        <v>0.29653333333333332</v>
      </c>
      <c r="O50" s="10">
        <f t="shared" si="139"/>
        <v>37.296599999999998</v>
      </c>
      <c r="P50" s="18"/>
      <c r="R50" s="20">
        <v>9886</v>
      </c>
      <c r="S50" s="9">
        <v>7.1717000000000004</v>
      </c>
      <c r="T50" s="9">
        <v>0.96099999999999997</v>
      </c>
      <c r="U50" s="9">
        <v>0.36620000000000003</v>
      </c>
      <c r="V50" s="24">
        <f t="shared" si="43"/>
        <v>0.29882083333333337</v>
      </c>
      <c r="W50" s="10">
        <f t="shared" si="140"/>
        <v>37.293799999999997</v>
      </c>
      <c r="X50" s="18"/>
      <c r="Z50" s="27">
        <v>9886</v>
      </c>
      <c r="AA50" s="9">
        <v>7.3066000000000004</v>
      </c>
      <c r="AB50" s="9">
        <v>0.97909999999999997</v>
      </c>
      <c r="AC50" s="9">
        <v>0.373</v>
      </c>
      <c r="AD50" s="24">
        <f t="shared" si="45"/>
        <v>0.30444166666666667</v>
      </c>
      <c r="AE50" s="10">
        <f t="shared" si="46"/>
        <v>37.286999999999999</v>
      </c>
      <c r="AF50" s="79"/>
      <c r="AG50">
        <v>42</v>
      </c>
      <c r="AH50" s="1">
        <v>9886</v>
      </c>
      <c r="AI50" s="1" t="s">
        <v>1</v>
      </c>
      <c r="AJ50" s="2">
        <v>37.659999999999997</v>
      </c>
      <c r="AL50" s="35">
        <v>9886</v>
      </c>
      <c r="AM50" s="36">
        <v>7.4539999999999997</v>
      </c>
      <c r="AN50" s="36">
        <v>0.99890000000000001</v>
      </c>
      <c r="AO50" s="36">
        <v>0.38059999999999999</v>
      </c>
      <c r="AP50" s="37">
        <f t="shared" si="0"/>
        <v>0.31058333333333332</v>
      </c>
      <c r="AQ50" s="53">
        <f t="shared" si="108"/>
        <v>37.279399999999995</v>
      </c>
      <c r="AT50" s="39"/>
      <c r="AU50" s="35">
        <v>9886</v>
      </c>
      <c r="AV50" s="9">
        <v>7.5167000000000002</v>
      </c>
      <c r="AW50" s="43">
        <v>1.0073000000000001</v>
      </c>
      <c r="AX50" s="43">
        <v>0.38379999999999997</v>
      </c>
      <c r="AY50" s="47">
        <f t="shared" si="47"/>
        <v>0.31319583333333334</v>
      </c>
      <c r="AZ50" s="56">
        <f t="shared" si="109"/>
        <v>37.276199999999996</v>
      </c>
      <c r="BD50" s="35">
        <v>9886</v>
      </c>
      <c r="BE50" s="53">
        <v>7.5237999999999996</v>
      </c>
      <c r="BF50" s="58">
        <v>1.0082</v>
      </c>
      <c r="BG50" s="58">
        <v>0.3841</v>
      </c>
      <c r="BH50" s="47">
        <f t="shared" si="48"/>
        <v>0.31349166666666667</v>
      </c>
      <c r="BI50" s="56">
        <f t="shared" si="49"/>
        <v>37.2759</v>
      </c>
      <c r="BJ50" s="88"/>
      <c r="BK50" s="88"/>
      <c r="BL50" s="88"/>
      <c r="BN50" s="9">
        <v>9886</v>
      </c>
      <c r="BO50" s="53">
        <v>7.5503</v>
      </c>
      <c r="BP50" s="53">
        <v>1.0118</v>
      </c>
      <c r="BQ50" s="53">
        <v>0.38550000000000001</v>
      </c>
      <c r="BR50" s="53">
        <f t="shared" si="50"/>
        <v>0.31459583333333335</v>
      </c>
      <c r="BS50" s="53">
        <f t="shared" si="51"/>
        <v>37.274499999999996</v>
      </c>
      <c r="BV50" s="88"/>
      <c r="BX50" s="93">
        <v>9886</v>
      </c>
      <c r="BY50" s="9">
        <v>7.6024000000000003</v>
      </c>
      <c r="BZ50" s="9">
        <v>1.0187999999999999</v>
      </c>
      <c r="CA50" s="9">
        <v>0.3881</v>
      </c>
      <c r="CB50" s="58">
        <f t="shared" si="52"/>
        <v>0.3167666666666667</v>
      </c>
      <c r="CC50" s="53">
        <f t="shared" si="110"/>
        <v>37.271899999999995</v>
      </c>
      <c r="CF50" s="88"/>
      <c r="CG50">
        <v>40</v>
      </c>
      <c r="CH50" s="93">
        <v>9886</v>
      </c>
      <c r="CI50" s="93">
        <v>7.6471999999999998</v>
      </c>
      <c r="CJ50" s="9">
        <v>1.0247999999999999</v>
      </c>
      <c r="CK50" s="9">
        <v>0.39040000000000002</v>
      </c>
      <c r="CL50" s="47">
        <f t="shared" si="5"/>
        <v>0.31863333333333332</v>
      </c>
      <c r="CM50" s="53">
        <f t="shared" si="53"/>
        <v>37.269599999999997</v>
      </c>
      <c r="CQ50">
        <v>40</v>
      </c>
      <c r="CR50" s="98">
        <v>9886</v>
      </c>
      <c r="CS50" s="101">
        <v>7.7035</v>
      </c>
      <c r="CT50" s="101">
        <v>1.0323</v>
      </c>
      <c r="CU50" s="101">
        <v>0.39329999999999998</v>
      </c>
      <c r="CV50" s="47">
        <f t="shared" si="6"/>
        <v>0.32097916666666665</v>
      </c>
      <c r="CW50" s="53">
        <f t="shared" si="141"/>
        <v>37.2667</v>
      </c>
      <c r="DA50">
        <v>40</v>
      </c>
      <c r="DB50" s="106">
        <v>9886</v>
      </c>
      <c r="DC50" s="107">
        <v>7.7089999999999996</v>
      </c>
      <c r="DD50" s="107">
        <v>1.0329999999999999</v>
      </c>
      <c r="DE50" s="107">
        <v>0.39360000000000001</v>
      </c>
      <c r="DF50" s="47">
        <f t="shared" si="136"/>
        <v>0.32120833333333332</v>
      </c>
      <c r="DG50" s="53">
        <f t="shared" si="111"/>
        <v>37.266399999999997</v>
      </c>
      <c r="DK50">
        <v>40</v>
      </c>
      <c r="DL50" s="110">
        <v>9886</v>
      </c>
      <c r="DM50" s="53">
        <v>7.7732999999999999</v>
      </c>
      <c r="DN50" s="53">
        <v>1.0417000000000001</v>
      </c>
      <c r="DO50" s="53">
        <v>0.39689999999999998</v>
      </c>
      <c r="DP50" s="47">
        <f t="shared" si="137"/>
        <v>0.32388749999999999</v>
      </c>
      <c r="DQ50" s="53">
        <f t="shared" si="54"/>
        <v>37.263099999999994</v>
      </c>
      <c r="DS50" s="3">
        <f t="shared" si="55"/>
        <v>6.4300000000000246E-2</v>
      </c>
      <c r="DU50">
        <v>40</v>
      </c>
      <c r="DV50" s="115">
        <v>9886</v>
      </c>
      <c r="DW50" s="53">
        <f>Sheet3!B$57</f>
        <v>7.8133999999999997</v>
      </c>
      <c r="DX50" s="53">
        <f>Sheet3!C$57</f>
        <v>1.0469999999999999</v>
      </c>
      <c r="DY50" s="53">
        <f>Sheet3!D$57</f>
        <v>0.39889999999999998</v>
      </c>
      <c r="DZ50" s="47">
        <f t="shared" si="138"/>
        <v>0.32555833333333334</v>
      </c>
      <c r="EA50" s="53">
        <f t="shared" si="112"/>
        <v>37.261099999999999</v>
      </c>
      <c r="EB50" s="3"/>
      <c r="EE50">
        <v>40</v>
      </c>
      <c r="EF50" s="118">
        <v>9886</v>
      </c>
      <c r="EG50" s="9">
        <v>7.8760000000000003</v>
      </c>
      <c r="EH50" s="9">
        <v>1.0553999999999999</v>
      </c>
      <c r="EI50" s="9">
        <v>0.40210000000000001</v>
      </c>
      <c r="EJ50" s="47">
        <f t="shared" si="10"/>
        <v>0.32816666666666666</v>
      </c>
      <c r="EK50" s="53">
        <f t="shared" si="56"/>
        <v>37.257899999999999</v>
      </c>
      <c r="EM50" s="3">
        <f t="shared" si="57"/>
        <v>-3.1999999999996476E-3</v>
      </c>
      <c r="EN50" s="3"/>
      <c r="EO50">
        <v>40</v>
      </c>
      <c r="EP50" s="121">
        <v>9886</v>
      </c>
      <c r="EQ50" s="122">
        <v>8.0004000000000008</v>
      </c>
      <c r="ER50" s="122">
        <v>1.0721000000000001</v>
      </c>
      <c r="ES50" s="129">
        <v>0.40849999999999997</v>
      </c>
      <c r="ET50" s="130">
        <f t="shared" si="11"/>
        <v>0.33335000000000004</v>
      </c>
      <c r="EU50" s="131">
        <f t="shared" si="58"/>
        <v>37.2515</v>
      </c>
      <c r="EX50" s="3"/>
      <c r="EY50">
        <v>40</v>
      </c>
      <c r="EZ50" s="135">
        <v>9886</v>
      </c>
      <c r="FA50" s="135">
        <v>8.0591000000000008</v>
      </c>
      <c r="FB50" s="135">
        <v>1.08</v>
      </c>
      <c r="FC50" s="135">
        <v>0.41149999999999998</v>
      </c>
      <c r="FD50" s="136">
        <f t="shared" si="12"/>
        <v>0.33579583333333335</v>
      </c>
      <c r="FE50" s="131">
        <f t="shared" si="59"/>
        <v>37.2485</v>
      </c>
      <c r="FG50" s="123">
        <f t="shared" si="60"/>
        <v>-3.0000000000001137E-3</v>
      </c>
      <c r="FH50" s="3"/>
      <c r="FI50">
        <v>40</v>
      </c>
      <c r="FJ50" s="145">
        <v>9886</v>
      </c>
      <c r="FK50" s="9">
        <v>8.1372999999999998</v>
      </c>
      <c r="FL50" s="9">
        <v>1.0904</v>
      </c>
      <c r="FM50" s="9">
        <v>0.41549999999999998</v>
      </c>
      <c r="FN50" s="146">
        <f t="shared" si="113"/>
        <v>0.33905416666666666</v>
      </c>
      <c r="FO50" s="131">
        <f t="shared" si="61"/>
        <v>37.244499999999995</v>
      </c>
      <c r="FP50" s="123">
        <f t="shared" si="62"/>
        <v>-4.0000000000048885E-3</v>
      </c>
      <c r="FS50">
        <v>40</v>
      </c>
      <c r="FT50" s="147">
        <v>9886</v>
      </c>
      <c r="FU50" s="148">
        <v>8.1533999999999995</v>
      </c>
      <c r="FV50" s="148">
        <v>1.0926</v>
      </c>
      <c r="FW50" s="148">
        <v>0.4163</v>
      </c>
      <c r="FX50" s="150">
        <f t="shared" si="114"/>
        <v>0.339725</v>
      </c>
      <c r="FY50" s="131">
        <f t="shared" si="115"/>
        <v>37.243699999999997</v>
      </c>
      <c r="FZ50">
        <f t="shared" si="63"/>
        <v>1.6099999999999781E-2</v>
      </c>
      <c r="GC50">
        <v>40</v>
      </c>
      <c r="GD50" s="151">
        <v>9886</v>
      </c>
      <c r="GE50" s="151">
        <v>8.1931999999999992</v>
      </c>
      <c r="GF50" s="151">
        <v>1.0979000000000001</v>
      </c>
      <c r="GG50" s="151">
        <v>0.41830000000000001</v>
      </c>
      <c r="GH50" s="153">
        <f t="shared" si="132"/>
        <v>0.34138333333333332</v>
      </c>
      <c r="GI50" s="131">
        <f t="shared" si="64"/>
        <v>37.241699999999994</v>
      </c>
      <c r="GJ50">
        <f t="shared" si="142"/>
        <v>3.9799999999999613E-2</v>
      </c>
      <c r="GM50">
        <v>40</v>
      </c>
      <c r="GN50" s="155">
        <v>9886</v>
      </c>
      <c r="GO50" s="155">
        <v>8.2774999999999999</v>
      </c>
      <c r="GP50" s="155">
        <v>1.1092</v>
      </c>
      <c r="GQ50" s="155">
        <v>0.42259999999999998</v>
      </c>
      <c r="GR50" s="58">
        <f t="shared" si="65"/>
        <v>0.34489583333333335</v>
      </c>
      <c r="GS50" s="131">
        <f t="shared" si="66"/>
        <v>37.237399999999994</v>
      </c>
      <c r="GT50">
        <f t="shared" si="143"/>
        <v>8.4300000000000708E-2</v>
      </c>
      <c r="GW50">
        <v>40</v>
      </c>
      <c r="GX50" s="157">
        <v>9886</v>
      </c>
      <c r="GY50" s="161">
        <f>VLOOKUP(GX50,Sheet3!$AJ$7:$AN$83,2,0)</f>
        <v>8.3844999999999992</v>
      </c>
      <c r="GZ50" s="161">
        <f>VLOOKUP(GX50,Sheet3!$AJ$7:$AN$83,3,0)</f>
        <v>1.1235999999999999</v>
      </c>
      <c r="HA50" s="161">
        <f>VLOOKUP(GX50,Sheet3!$AJ$7:$AN$83,4,0)</f>
        <v>0.42809999999999998</v>
      </c>
      <c r="HB50" s="162">
        <f t="shared" si="17"/>
        <v>0.34935416666666663</v>
      </c>
      <c r="HC50" s="131">
        <f t="shared" si="116"/>
        <v>37.231899999999996</v>
      </c>
      <c r="HD50" s="159">
        <f t="shared" si="144"/>
        <v>0.10699999999999932</v>
      </c>
      <c r="HE50" s="159">
        <f t="shared" si="145"/>
        <v>5.5000000000000049E-3</v>
      </c>
      <c r="HG50" s="159"/>
      <c r="HH50" s="159">
        <v>40</v>
      </c>
      <c r="HI50" s="158">
        <v>9886</v>
      </c>
      <c r="HJ50" s="161">
        <v>8.4276999999999997</v>
      </c>
      <c r="HK50" s="161">
        <v>1.1293</v>
      </c>
      <c r="HL50" s="161">
        <v>0.43030000000000002</v>
      </c>
      <c r="HM50" s="162">
        <f t="shared" si="18"/>
        <v>0.35115416666666666</v>
      </c>
      <c r="HN50" s="131">
        <f t="shared" si="67"/>
        <v>37.229699999999994</v>
      </c>
      <c r="HO50" s="159">
        <f t="shared" si="68"/>
        <v>4.3200000000000571E-2</v>
      </c>
      <c r="HQ50" s="183"/>
      <c r="HR50" s="183">
        <v>40</v>
      </c>
      <c r="HS50" s="178">
        <v>9886</v>
      </c>
      <c r="HT50" s="184">
        <v>8.4558</v>
      </c>
      <c r="HU50" s="184">
        <v>1.1331</v>
      </c>
      <c r="HV50" s="184">
        <v>0.43169999999999997</v>
      </c>
      <c r="HW50" s="171">
        <f t="shared" si="19"/>
        <v>0.352325</v>
      </c>
      <c r="HX50" s="53">
        <f t="shared" si="69"/>
        <v>37.228299999999997</v>
      </c>
      <c r="HY50" s="183">
        <f t="shared" si="70"/>
        <v>2.8100000000000236E-2</v>
      </c>
      <c r="IA50" s="194"/>
      <c r="IB50" s="194">
        <v>40</v>
      </c>
      <c r="IC50" s="193">
        <v>9886</v>
      </c>
      <c r="ID50" s="161">
        <v>8.468</v>
      </c>
      <c r="IE50" s="184">
        <v>1.1347</v>
      </c>
      <c r="IF50" s="184">
        <v>0.43230000000000002</v>
      </c>
      <c r="IG50" s="171">
        <f t="shared" si="71"/>
        <v>0.35283333333333333</v>
      </c>
      <c r="IH50" s="53">
        <f t="shared" si="72"/>
        <v>37.227699999999999</v>
      </c>
      <c r="II50" s="194">
        <f t="shared" si="73"/>
        <v>1.2199999999999989E-2</v>
      </c>
      <c r="IL50" s="199">
        <v>40</v>
      </c>
      <c r="IM50" s="197">
        <v>9886</v>
      </c>
      <c r="IN50" s="161">
        <v>8.5321999999999996</v>
      </c>
      <c r="IO50" s="184">
        <v>1.1433</v>
      </c>
      <c r="IP50" s="184">
        <v>0.43559999999999999</v>
      </c>
      <c r="IQ50" s="171">
        <f t="shared" si="74"/>
        <v>0.35550833333333332</v>
      </c>
      <c r="IR50" s="53">
        <f t="shared" si="75"/>
        <v>37.224399999999996</v>
      </c>
      <c r="IS50" s="199">
        <f t="shared" si="76"/>
        <v>6.4199999999999591E-2</v>
      </c>
      <c r="IU50" s="202"/>
      <c r="IV50" s="202">
        <v>40</v>
      </c>
      <c r="IW50" s="201">
        <v>9886</v>
      </c>
      <c r="IX50" s="184">
        <v>8.6188000000000002</v>
      </c>
      <c r="IY50" s="184">
        <v>1.155</v>
      </c>
      <c r="IZ50" s="184">
        <v>0.44</v>
      </c>
      <c r="JA50" s="162">
        <f t="shared" si="22"/>
        <v>0.3591166666666667</v>
      </c>
      <c r="JB50" s="53">
        <f t="shared" si="77"/>
        <v>37.22</v>
      </c>
      <c r="JC50" s="202">
        <f t="shared" si="78"/>
        <v>8.6600000000000676E-2</v>
      </c>
      <c r="JE50" s="204"/>
      <c r="JF50" s="204">
        <v>40</v>
      </c>
      <c r="JG50" s="203">
        <v>9886</v>
      </c>
      <c r="JH50" s="161">
        <v>8.6463000000000001</v>
      </c>
      <c r="JI50" s="184">
        <v>1.1586000000000001</v>
      </c>
      <c r="JJ50" s="184">
        <v>0.44140000000000001</v>
      </c>
      <c r="JK50" s="162">
        <f t="shared" si="79"/>
        <v>0.36026249999999999</v>
      </c>
      <c r="JL50" s="53">
        <f t="shared" si="80"/>
        <v>37.218599999999995</v>
      </c>
      <c r="JM50" s="204">
        <f t="shared" si="117"/>
        <v>2.7499999999999858E-2</v>
      </c>
      <c r="JN50" s="204"/>
      <c r="JP50" s="209">
        <v>40</v>
      </c>
      <c r="JQ50" s="205">
        <v>9886</v>
      </c>
      <c r="JR50" s="161">
        <v>8.6684000000000001</v>
      </c>
      <c r="JS50" s="184">
        <v>1.1616</v>
      </c>
      <c r="JT50" s="184">
        <v>0.44259999999999999</v>
      </c>
      <c r="JU50" s="162">
        <f t="shared" si="81"/>
        <v>0.36118333333333336</v>
      </c>
      <c r="JV50" s="53">
        <f t="shared" si="82"/>
        <v>37.217399999999998</v>
      </c>
      <c r="JW50" s="209">
        <f t="shared" si="118"/>
        <v>2.2100000000000009E-2</v>
      </c>
      <c r="JX50" s="213"/>
      <c r="JY50" s="213"/>
      <c r="JZ50" s="213">
        <v>40</v>
      </c>
      <c r="KA50" s="206">
        <v>9886</v>
      </c>
      <c r="KB50" s="184">
        <v>8.7202999999999999</v>
      </c>
      <c r="KC50" s="184">
        <v>1.1686000000000001</v>
      </c>
      <c r="KD50" s="184">
        <v>0.44519999999999998</v>
      </c>
      <c r="KE50" s="162">
        <f t="shared" si="83"/>
        <v>0.36334583333333331</v>
      </c>
      <c r="KF50" s="53">
        <f t="shared" si="84"/>
        <v>37.214799999999997</v>
      </c>
      <c r="KG50" s="213">
        <f t="shared" si="119"/>
        <v>5.1899999999999835E-2</v>
      </c>
      <c r="KI50" s="219"/>
      <c r="KJ50" s="219">
        <v>40</v>
      </c>
      <c r="KK50" s="214">
        <v>9886</v>
      </c>
      <c r="KL50" s="161">
        <v>8.7376000000000005</v>
      </c>
      <c r="KM50" s="161">
        <v>1.1709000000000001</v>
      </c>
      <c r="KN50" s="161">
        <v>0.4461</v>
      </c>
      <c r="KO50" s="162">
        <f t="shared" si="24"/>
        <v>0.36406666666666671</v>
      </c>
      <c r="KP50" s="53">
        <f t="shared" si="85"/>
        <v>37.213899999999995</v>
      </c>
      <c r="KQ50" s="219">
        <f t="shared" si="120"/>
        <v>1.7300000000000537E-2</v>
      </c>
      <c r="KT50" s="223">
        <v>40</v>
      </c>
      <c r="KU50" s="216">
        <v>9886</v>
      </c>
      <c r="KV50" s="161">
        <v>8.7558000000000007</v>
      </c>
      <c r="KW50" s="161">
        <v>1.1733</v>
      </c>
      <c r="KX50" s="161">
        <v>0.44700000000000001</v>
      </c>
      <c r="KY50" s="162">
        <f t="shared" si="86"/>
        <v>0.36482500000000001</v>
      </c>
      <c r="KZ50" s="53">
        <f t="shared" si="87"/>
        <v>37.212999999999994</v>
      </c>
      <c r="LA50" s="223">
        <f t="shared" si="121"/>
        <v>1.8200000000000216E-2</v>
      </c>
      <c r="LD50" s="228">
        <v>40</v>
      </c>
      <c r="LE50" s="221">
        <v>9886</v>
      </c>
      <c r="LF50" s="161">
        <v>8.7711000000000006</v>
      </c>
      <c r="LG50" s="161">
        <v>1.1754</v>
      </c>
      <c r="LH50" s="161">
        <v>0.44779999999999998</v>
      </c>
      <c r="LI50" s="162">
        <f t="shared" si="88"/>
        <v>0.36546250000000002</v>
      </c>
      <c r="LJ50" s="53">
        <f t="shared" si="89"/>
        <v>37.212199999999996</v>
      </c>
      <c r="LK50" s="228">
        <f t="shared" si="122"/>
        <v>1.5299999999999869E-2</v>
      </c>
      <c r="LL50" s="231"/>
      <c r="LM50" s="231"/>
      <c r="LN50" s="231">
        <v>40</v>
      </c>
      <c r="LO50" s="226">
        <v>9886</v>
      </c>
      <c r="LP50" s="184">
        <v>8.7925000000000004</v>
      </c>
      <c r="LQ50" s="184">
        <v>1.1781999999999999</v>
      </c>
      <c r="LR50" s="184">
        <v>0.44890000000000002</v>
      </c>
      <c r="LS50" s="162">
        <f t="shared" si="90"/>
        <v>0.3663541666666667</v>
      </c>
      <c r="LT50" s="53">
        <f t="shared" si="91"/>
        <v>37.211099999999995</v>
      </c>
      <c r="LU50" s="231">
        <f t="shared" si="123"/>
        <v>2.1399999999999864E-2</v>
      </c>
      <c r="LW50" s="231"/>
      <c r="LX50" s="231">
        <v>40</v>
      </c>
      <c r="LY50" s="234">
        <v>9886</v>
      </c>
      <c r="LZ50" s="184">
        <v>8.8164999999999996</v>
      </c>
      <c r="MA50" s="184">
        <v>1.1814</v>
      </c>
      <c r="MB50" s="184">
        <v>0.4501</v>
      </c>
      <c r="MC50" s="162">
        <f t="shared" si="92"/>
        <v>0.36735416666666665</v>
      </c>
      <c r="MD50" s="53">
        <f t="shared" si="93"/>
        <v>37.209899999999998</v>
      </c>
      <c r="ME50" s="231">
        <f t="shared" si="124"/>
        <v>2.3999999999999133E-2</v>
      </c>
      <c r="MF50" s="231"/>
      <c r="MG50" s="231"/>
      <c r="MH50" s="231">
        <v>40</v>
      </c>
      <c r="MI50" s="236">
        <v>9886</v>
      </c>
      <c r="MJ50" s="184">
        <v>8.8401999999999994</v>
      </c>
      <c r="MK50" s="184">
        <v>1.1846000000000001</v>
      </c>
      <c r="ML50" s="184">
        <v>0.45129999999999998</v>
      </c>
      <c r="MM50" s="162">
        <f t="shared" si="94"/>
        <v>0.36834166666666662</v>
      </c>
      <c r="MN50" s="53">
        <f t="shared" si="95"/>
        <v>37.208699999999993</v>
      </c>
      <c r="MO50" s="231">
        <f t="shared" si="125"/>
        <v>2.3699999999999832E-2</v>
      </c>
      <c r="MP50" s="231"/>
      <c r="MQ50" s="231"/>
      <c r="MR50" s="231">
        <v>40</v>
      </c>
      <c r="MS50" s="34">
        <v>9886</v>
      </c>
      <c r="MT50" s="184">
        <v>8.8854000000000006</v>
      </c>
      <c r="MU50" s="184">
        <v>1.1907000000000001</v>
      </c>
      <c r="MV50" s="184">
        <v>0.4536</v>
      </c>
      <c r="MW50" s="162">
        <f t="shared" si="96"/>
        <v>0.37022500000000003</v>
      </c>
      <c r="MX50" s="53">
        <f t="shared" si="97"/>
        <v>37.206399999999995</v>
      </c>
      <c r="MY50" s="231">
        <f t="shared" si="126"/>
        <v>4.5200000000001239E-2</v>
      </c>
      <c r="MZ50" s="246"/>
      <c r="NA50" s="246"/>
      <c r="NB50" s="246">
        <v>40</v>
      </c>
      <c r="NC50" s="34">
        <v>9886</v>
      </c>
      <c r="ND50" s="184">
        <v>8.9315999999999995</v>
      </c>
      <c r="NE50" s="184">
        <v>1.1969000000000001</v>
      </c>
      <c r="NF50" s="184">
        <v>0.45600000000000002</v>
      </c>
      <c r="NG50" s="162">
        <f t="shared" si="98"/>
        <v>0.37214999999999998</v>
      </c>
      <c r="NH50" s="53">
        <f t="shared" si="99"/>
        <v>37.203999999999994</v>
      </c>
      <c r="NI50" s="232">
        <f t="shared" si="127"/>
        <v>4.6199999999998909E-2</v>
      </c>
      <c r="NK50" s="250"/>
      <c r="NL50" s="250">
        <v>40</v>
      </c>
      <c r="NM50" s="34">
        <v>9886</v>
      </c>
      <c r="NN50" s="184">
        <v>8.9451999999999998</v>
      </c>
      <c r="NO50" s="184">
        <v>1.1987000000000001</v>
      </c>
      <c r="NP50" s="184">
        <v>0.45669999999999999</v>
      </c>
      <c r="NQ50" s="162">
        <f t="shared" si="133"/>
        <v>0.37271666666666664</v>
      </c>
      <c r="NR50" s="53">
        <f t="shared" si="101"/>
        <v>37.203299999999999</v>
      </c>
      <c r="NS50" s="232">
        <f t="shared" si="128"/>
        <v>1.3600000000000279E-2</v>
      </c>
      <c r="NU50" s="250"/>
      <c r="NV50" s="250">
        <v>40</v>
      </c>
      <c r="NW50" s="34">
        <v>9886</v>
      </c>
      <c r="NX50" s="184">
        <v>8.9667999999999992</v>
      </c>
      <c r="NY50" s="184">
        <v>1.2016</v>
      </c>
      <c r="NZ50" s="184">
        <v>0.45779999999999998</v>
      </c>
      <c r="OA50" s="162">
        <f t="shared" si="134"/>
        <v>0.37361666666666665</v>
      </c>
      <c r="OB50" s="53">
        <f t="shared" si="103"/>
        <v>37.202199999999998</v>
      </c>
      <c r="OC50" s="232">
        <f t="shared" si="129"/>
        <v>2.1599999999999397E-2</v>
      </c>
      <c r="OE50" s="250"/>
      <c r="OF50" s="250">
        <v>40</v>
      </c>
      <c r="OG50" s="34">
        <v>9886</v>
      </c>
      <c r="OH50" s="184">
        <v>8.9776000000000007</v>
      </c>
      <c r="OI50" s="184">
        <v>1.2030000000000001</v>
      </c>
      <c r="OJ50" s="184">
        <v>0.45839999999999997</v>
      </c>
      <c r="OK50" s="162">
        <f t="shared" si="135"/>
        <v>0.37406666666666671</v>
      </c>
      <c r="OL50" s="53">
        <f t="shared" si="105"/>
        <v>37.201599999999999</v>
      </c>
      <c r="OM50" s="232">
        <f t="shared" si="130"/>
        <v>1.0800000000001475E-2</v>
      </c>
      <c r="OP50" s="250">
        <v>40</v>
      </c>
      <c r="OQ50" s="34">
        <v>9886</v>
      </c>
      <c r="OR50" s="184">
        <f>VLOOKUP(OQ50,Sheet4!A11:F87,3,0)</f>
        <v>9.0023999999999997</v>
      </c>
      <c r="OS50" s="184">
        <f>VLOOKUP(OQ50,Sheet4!A11:F87,4,0)</f>
        <v>1.2063999999999999</v>
      </c>
      <c r="OT50" s="184">
        <f>VLOOKUP(OQ50,Sheet4!A11:F87,5,0)</f>
        <v>0.45960000000000001</v>
      </c>
      <c r="OU50" s="162">
        <f t="shared" si="106"/>
        <v>0.37509999999999999</v>
      </c>
      <c r="OV50" s="53">
        <f t="shared" si="107"/>
        <v>37.200399999999995</v>
      </c>
      <c r="OW50" s="232">
        <f t="shared" si="131"/>
        <v>2.4799999999999045E-2</v>
      </c>
    </row>
    <row r="51" spans="1:413" ht="15.75" x14ac:dyDescent="0.25">
      <c r="A51">
        <v>43</v>
      </c>
      <c r="B51" s="1">
        <v>9882</v>
      </c>
      <c r="C51" s="1" t="s">
        <v>1</v>
      </c>
      <c r="D51" s="2">
        <v>37.65</v>
      </c>
      <c r="E51" s="8"/>
      <c r="F51" s="8"/>
      <c r="G51" s="8"/>
      <c r="H51" s="8"/>
      <c r="J51" s="15">
        <v>9882</v>
      </c>
      <c r="K51" s="15">
        <v>6.8352000000000004</v>
      </c>
      <c r="L51" s="15">
        <v>0.91590000000000005</v>
      </c>
      <c r="M51" s="15">
        <v>0.34899999999999998</v>
      </c>
      <c r="N51" s="24">
        <f t="shared" si="42"/>
        <v>0.2848</v>
      </c>
      <c r="O51" s="10">
        <f t="shared" si="139"/>
        <v>37.301000000000002</v>
      </c>
      <c r="P51" s="18"/>
      <c r="R51" s="20">
        <v>9882</v>
      </c>
      <c r="S51" s="9">
        <v>6.8901000000000003</v>
      </c>
      <c r="T51" s="9">
        <v>0.92330000000000001</v>
      </c>
      <c r="U51" s="9">
        <v>0.3518</v>
      </c>
      <c r="V51" s="24">
        <f t="shared" si="43"/>
        <v>0.2870875</v>
      </c>
      <c r="W51" s="10">
        <f t="shared" si="140"/>
        <v>37.298200000000001</v>
      </c>
      <c r="X51" s="18"/>
      <c r="Z51" s="27">
        <v>9882</v>
      </c>
      <c r="AA51" s="9">
        <v>7.0250000000000004</v>
      </c>
      <c r="AB51" s="9">
        <v>0.94140000000000001</v>
      </c>
      <c r="AC51" s="9">
        <v>0.35870000000000002</v>
      </c>
      <c r="AD51" s="24">
        <f t="shared" si="45"/>
        <v>0.29270833333333335</v>
      </c>
      <c r="AE51" s="10">
        <f t="shared" si="46"/>
        <v>37.2913</v>
      </c>
      <c r="AF51" s="79"/>
      <c r="AG51">
        <v>43</v>
      </c>
      <c r="AH51" s="1">
        <v>9882</v>
      </c>
      <c r="AI51" s="1" t="s">
        <v>1</v>
      </c>
      <c r="AJ51" s="2">
        <v>37.65</v>
      </c>
      <c r="AL51" s="35">
        <v>9882</v>
      </c>
      <c r="AM51" s="36">
        <v>7.1723999999999997</v>
      </c>
      <c r="AN51" s="36">
        <v>0.96109999999999995</v>
      </c>
      <c r="AO51" s="36">
        <v>0.36620000000000003</v>
      </c>
      <c r="AP51" s="37">
        <f t="shared" si="0"/>
        <v>0.29885</v>
      </c>
      <c r="AQ51" s="53">
        <f t="shared" si="108"/>
        <v>37.283799999999999</v>
      </c>
      <c r="AT51" s="39"/>
      <c r="AU51" s="35">
        <v>9882</v>
      </c>
      <c r="AV51" s="9">
        <v>7.2351000000000001</v>
      </c>
      <c r="AW51" s="43">
        <v>0.96950000000000003</v>
      </c>
      <c r="AX51" s="43">
        <v>0.36940000000000001</v>
      </c>
      <c r="AY51" s="47">
        <f t="shared" si="47"/>
        <v>0.30146250000000002</v>
      </c>
      <c r="AZ51" s="56">
        <f t="shared" si="109"/>
        <v>37.2806</v>
      </c>
      <c r="BD51" s="35">
        <v>9882</v>
      </c>
      <c r="BE51" s="53">
        <v>7.2422000000000004</v>
      </c>
      <c r="BF51" s="58">
        <v>0.97050000000000003</v>
      </c>
      <c r="BG51" s="58">
        <v>0.36980000000000002</v>
      </c>
      <c r="BH51" s="47">
        <f t="shared" si="48"/>
        <v>0.30175833333333335</v>
      </c>
      <c r="BI51" s="56">
        <f t="shared" si="49"/>
        <v>37.280200000000001</v>
      </c>
      <c r="BJ51" s="88"/>
      <c r="BK51" s="88"/>
      <c r="BL51" s="88"/>
      <c r="BN51" s="9">
        <v>9882</v>
      </c>
      <c r="BO51" s="53">
        <v>7.2686999999999999</v>
      </c>
      <c r="BP51" s="53">
        <v>0.97399999999999998</v>
      </c>
      <c r="BQ51" s="53">
        <v>0.37109999999999999</v>
      </c>
      <c r="BR51" s="53">
        <f t="shared" si="50"/>
        <v>0.30286249999999998</v>
      </c>
      <c r="BS51" s="53">
        <f t="shared" si="51"/>
        <v>37.2789</v>
      </c>
      <c r="BV51" s="88"/>
      <c r="BX51" s="93">
        <v>9882</v>
      </c>
      <c r="BY51" s="9">
        <v>7.3208000000000002</v>
      </c>
      <c r="BZ51" s="9">
        <v>0.98099999999999998</v>
      </c>
      <c r="CA51" s="9">
        <v>0.37380000000000002</v>
      </c>
      <c r="CB51" s="58">
        <f t="shared" si="52"/>
        <v>0.30503333333333332</v>
      </c>
      <c r="CC51" s="53">
        <f t="shared" si="110"/>
        <v>37.276199999999996</v>
      </c>
      <c r="CF51" s="88"/>
      <c r="CG51">
        <v>41</v>
      </c>
      <c r="CH51" s="93">
        <v>9882</v>
      </c>
      <c r="CI51" s="93">
        <v>7.3655999999999997</v>
      </c>
      <c r="CJ51" s="9">
        <v>0.98699999999999999</v>
      </c>
      <c r="CK51" s="9">
        <v>0.37609999999999999</v>
      </c>
      <c r="CL51" s="47">
        <f t="shared" si="5"/>
        <v>0.30690000000000001</v>
      </c>
      <c r="CM51" s="53">
        <f t="shared" si="53"/>
        <v>37.273899999999998</v>
      </c>
      <c r="CQ51">
        <v>41</v>
      </c>
      <c r="CR51" s="98">
        <v>9882</v>
      </c>
      <c r="CS51" s="101">
        <v>7.4218999999999999</v>
      </c>
      <c r="CT51" s="101">
        <v>0.99460000000000004</v>
      </c>
      <c r="CU51" s="101">
        <v>0.37890000000000001</v>
      </c>
      <c r="CV51" s="47">
        <f t="shared" si="6"/>
        <v>0.30924583333333333</v>
      </c>
      <c r="CW51" s="53">
        <f t="shared" si="141"/>
        <v>37.271099999999997</v>
      </c>
      <c r="DA51">
        <v>41</v>
      </c>
      <c r="DB51" s="106">
        <v>9882</v>
      </c>
      <c r="DC51" s="107">
        <v>7.4273999999999996</v>
      </c>
      <c r="DD51" s="107">
        <v>0.99529999999999996</v>
      </c>
      <c r="DE51" s="107">
        <v>0.37919999999999998</v>
      </c>
      <c r="DF51" s="47">
        <f t="shared" si="136"/>
        <v>0.309475</v>
      </c>
      <c r="DG51" s="53">
        <f t="shared" si="111"/>
        <v>37.270800000000001</v>
      </c>
      <c r="DK51">
        <v>41</v>
      </c>
      <c r="DL51" s="110">
        <v>9882</v>
      </c>
      <c r="DM51" s="53">
        <v>7.4916999999999998</v>
      </c>
      <c r="DN51" s="53">
        <v>1.0039</v>
      </c>
      <c r="DO51" s="53">
        <v>0.38250000000000001</v>
      </c>
      <c r="DP51" s="47">
        <f t="shared" si="137"/>
        <v>0.31215416666666668</v>
      </c>
      <c r="DQ51" s="53">
        <f t="shared" si="54"/>
        <v>37.267499999999998</v>
      </c>
      <c r="DS51" s="3">
        <f t="shared" si="55"/>
        <v>6.4300000000000246E-2</v>
      </c>
      <c r="DU51">
        <v>41</v>
      </c>
      <c r="DV51" s="115">
        <v>9882</v>
      </c>
      <c r="DW51" s="53">
        <f>Sheet3!B$53</f>
        <v>7.5317999999999996</v>
      </c>
      <c r="DX51" s="53">
        <f>Sheet3!C$53</f>
        <v>1.0093000000000001</v>
      </c>
      <c r="DY51" s="53">
        <f>Sheet3!D$53</f>
        <v>0.38450000000000001</v>
      </c>
      <c r="DZ51" s="47">
        <f t="shared" si="138"/>
        <v>0.31382499999999997</v>
      </c>
      <c r="EA51" s="53">
        <f t="shared" si="112"/>
        <v>37.265499999999996</v>
      </c>
      <c r="EB51" s="3"/>
      <c r="EE51">
        <v>41</v>
      </c>
      <c r="EF51" s="118">
        <v>9882</v>
      </c>
      <c r="EG51" s="9">
        <v>7.5944000000000003</v>
      </c>
      <c r="EH51" s="9">
        <v>1.0177</v>
      </c>
      <c r="EI51" s="9">
        <v>0.38769999999999999</v>
      </c>
      <c r="EJ51" s="47">
        <f t="shared" si="10"/>
        <v>0.31643333333333334</v>
      </c>
      <c r="EK51" s="53">
        <f t="shared" si="56"/>
        <v>37.262299999999996</v>
      </c>
      <c r="EM51" s="3">
        <f t="shared" si="57"/>
        <v>-3.1999999999996476E-3</v>
      </c>
      <c r="EN51" s="3"/>
      <c r="EO51">
        <v>41</v>
      </c>
      <c r="EP51" s="121">
        <v>9882</v>
      </c>
      <c r="EQ51" s="122">
        <v>7.7187999999999999</v>
      </c>
      <c r="ER51" s="122">
        <v>1.0343</v>
      </c>
      <c r="ES51" s="129">
        <v>0.39410000000000001</v>
      </c>
      <c r="ET51" s="130">
        <f t="shared" si="11"/>
        <v>0.32161666666666666</v>
      </c>
      <c r="EU51" s="131">
        <f t="shared" si="58"/>
        <v>37.255899999999997</v>
      </c>
      <c r="EX51" s="3"/>
      <c r="EY51">
        <v>41</v>
      </c>
      <c r="EZ51" s="135">
        <v>9882</v>
      </c>
      <c r="FA51" s="135">
        <v>7.7774999999999999</v>
      </c>
      <c r="FB51" s="135">
        <v>1.0422</v>
      </c>
      <c r="FC51" s="135">
        <v>0.39710000000000001</v>
      </c>
      <c r="FD51" s="136">
        <f t="shared" si="12"/>
        <v>0.32406249999999998</v>
      </c>
      <c r="FE51" s="131">
        <f t="shared" si="59"/>
        <v>37.252899999999997</v>
      </c>
      <c r="FG51" s="123">
        <f t="shared" si="60"/>
        <v>-3.0000000000001137E-3</v>
      </c>
      <c r="FH51" s="3"/>
      <c r="FI51">
        <v>41</v>
      </c>
      <c r="FJ51" s="145">
        <v>9882</v>
      </c>
      <c r="FK51" s="9">
        <v>7.8556999999999997</v>
      </c>
      <c r="FL51" s="9">
        <v>1.0527</v>
      </c>
      <c r="FM51" s="9">
        <v>0.40110000000000001</v>
      </c>
      <c r="FN51" s="146">
        <f t="shared" si="113"/>
        <v>0.32732083333333334</v>
      </c>
      <c r="FO51" s="131">
        <f t="shared" si="61"/>
        <v>37.248899999999999</v>
      </c>
      <c r="FP51" s="123">
        <f t="shared" si="62"/>
        <v>-3.9999999999977831E-3</v>
      </c>
      <c r="FS51">
        <v>41</v>
      </c>
      <c r="FT51" s="147">
        <v>9882</v>
      </c>
      <c r="FU51" s="148">
        <v>7.8718000000000004</v>
      </c>
      <c r="FV51" s="148">
        <v>1.0548999999999999</v>
      </c>
      <c r="FW51" s="148">
        <v>0.40189999999999998</v>
      </c>
      <c r="FX51" s="150">
        <f t="shared" si="114"/>
        <v>0.32799166666666668</v>
      </c>
      <c r="FY51" s="131">
        <f t="shared" si="115"/>
        <v>37.248100000000001</v>
      </c>
      <c r="FZ51">
        <f t="shared" si="63"/>
        <v>1.6100000000000669E-2</v>
      </c>
      <c r="GC51">
        <v>41</v>
      </c>
      <c r="GD51" s="151">
        <v>9882</v>
      </c>
      <c r="GE51" s="151">
        <v>7.9116</v>
      </c>
      <c r="GF51" s="151">
        <v>1.0602</v>
      </c>
      <c r="GG51" s="151">
        <v>0.40389999999999998</v>
      </c>
      <c r="GH51" s="153">
        <f t="shared" si="132"/>
        <v>0.32965</v>
      </c>
      <c r="GI51" s="131">
        <f t="shared" si="64"/>
        <v>37.246099999999998</v>
      </c>
      <c r="GJ51">
        <f t="shared" si="142"/>
        <v>3.9799999999999613E-2</v>
      </c>
      <c r="GM51">
        <v>41</v>
      </c>
      <c r="GN51" s="155">
        <v>9882</v>
      </c>
      <c r="GO51" s="155">
        <v>7.9958999999999998</v>
      </c>
      <c r="GP51" s="155">
        <v>1.0714999999999999</v>
      </c>
      <c r="GQ51" s="155">
        <v>0.40820000000000001</v>
      </c>
      <c r="GR51" s="58">
        <f t="shared" si="65"/>
        <v>0.33316249999999997</v>
      </c>
      <c r="GS51" s="131">
        <f t="shared" si="66"/>
        <v>37.241799999999998</v>
      </c>
      <c r="GT51">
        <f t="shared" si="143"/>
        <v>8.429999999999982E-2</v>
      </c>
      <c r="GW51">
        <v>41</v>
      </c>
      <c r="GX51" s="157">
        <v>9882</v>
      </c>
      <c r="GY51" s="161">
        <f>VLOOKUP(GX51,Sheet3!$AJ$7:$AN$83,2,0)</f>
        <v>8.1029</v>
      </c>
      <c r="GZ51" s="161">
        <f>VLOOKUP(GX51,Sheet3!$AJ$7:$AN$83,3,0)</f>
        <v>1.0858000000000001</v>
      </c>
      <c r="HA51" s="161">
        <f>VLOOKUP(GX51,Sheet3!$AJ$7:$AN$83,4,0)</f>
        <v>0.41370000000000001</v>
      </c>
      <c r="HB51" s="162">
        <f t="shared" si="17"/>
        <v>0.33762083333333331</v>
      </c>
      <c r="HC51" s="131">
        <f t="shared" si="116"/>
        <v>37.2363</v>
      </c>
      <c r="HD51" s="159">
        <f t="shared" si="144"/>
        <v>0.10700000000000021</v>
      </c>
      <c r="HE51" s="159">
        <f t="shared" si="145"/>
        <v>5.5000000000000049E-3</v>
      </c>
      <c r="HG51" s="159"/>
      <c r="HH51" s="159">
        <v>41</v>
      </c>
      <c r="HI51" s="158">
        <v>9882</v>
      </c>
      <c r="HJ51" s="161">
        <v>8.1461000000000006</v>
      </c>
      <c r="HK51" s="161">
        <v>1.0915999999999999</v>
      </c>
      <c r="HL51" s="161">
        <v>0.41589999999999999</v>
      </c>
      <c r="HM51" s="162">
        <f t="shared" si="18"/>
        <v>0.33942083333333334</v>
      </c>
      <c r="HN51" s="131">
        <f t="shared" si="67"/>
        <v>37.234099999999998</v>
      </c>
      <c r="HO51" s="159">
        <f t="shared" si="68"/>
        <v>4.3200000000000571E-2</v>
      </c>
      <c r="HQ51" s="183"/>
      <c r="HR51" s="183">
        <v>41</v>
      </c>
      <c r="HS51" s="178">
        <v>9882</v>
      </c>
      <c r="HT51" s="184">
        <v>8.1742000000000008</v>
      </c>
      <c r="HU51" s="184">
        <v>1.0953999999999999</v>
      </c>
      <c r="HV51" s="184">
        <v>0.4173</v>
      </c>
      <c r="HW51" s="171">
        <f t="shared" si="19"/>
        <v>0.34059166666666668</v>
      </c>
      <c r="HX51" s="53">
        <f t="shared" si="69"/>
        <v>37.232700000000001</v>
      </c>
      <c r="HY51" s="183">
        <f t="shared" si="70"/>
        <v>2.8100000000000236E-2</v>
      </c>
      <c r="IA51" s="194"/>
      <c r="IB51" s="194">
        <v>41</v>
      </c>
      <c r="IC51" s="193">
        <v>9882</v>
      </c>
      <c r="ID51" s="161">
        <v>8.1864000000000008</v>
      </c>
      <c r="IE51" s="184">
        <v>1.097</v>
      </c>
      <c r="IF51" s="184">
        <v>0.41799999999999998</v>
      </c>
      <c r="IG51" s="171">
        <f t="shared" si="71"/>
        <v>0.34110000000000001</v>
      </c>
      <c r="IH51" s="53">
        <f t="shared" si="72"/>
        <v>37.231999999999999</v>
      </c>
      <c r="II51" s="194">
        <f t="shared" si="73"/>
        <v>1.2199999999999989E-2</v>
      </c>
      <c r="IL51" s="199">
        <v>41</v>
      </c>
      <c r="IM51" s="197">
        <v>9882</v>
      </c>
      <c r="IN51" s="161">
        <v>8.2506000000000004</v>
      </c>
      <c r="IO51" s="184">
        <v>1.1055999999999999</v>
      </c>
      <c r="IP51" s="184">
        <v>0.42120000000000002</v>
      </c>
      <c r="IQ51" s="171">
        <f t="shared" si="74"/>
        <v>0.343775</v>
      </c>
      <c r="IR51" s="53">
        <f t="shared" si="75"/>
        <v>37.2288</v>
      </c>
      <c r="IS51" s="199">
        <f t="shared" si="76"/>
        <v>6.4199999999999591E-2</v>
      </c>
      <c r="IU51" s="202"/>
      <c r="IV51" s="202">
        <v>41</v>
      </c>
      <c r="IW51" s="201">
        <v>9882</v>
      </c>
      <c r="IX51" s="184">
        <v>8.3371999999999993</v>
      </c>
      <c r="IY51" s="184">
        <v>1.1172</v>
      </c>
      <c r="IZ51" s="184">
        <v>0.42570000000000002</v>
      </c>
      <c r="JA51" s="162">
        <f t="shared" si="22"/>
        <v>0.34738333333333332</v>
      </c>
      <c r="JB51" s="53">
        <f t="shared" si="77"/>
        <v>37.224299999999999</v>
      </c>
      <c r="JC51" s="202">
        <f t="shared" si="78"/>
        <v>8.65999999999989E-2</v>
      </c>
      <c r="JE51" s="204"/>
      <c r="JF51" s="204">
        <v>41</v>
      </c>
      <c r="JG51" s="203">
        <v>9882</v>
      </c>
      <c r="JH51" s="161">
        <v>8.3646999999999991</v>
      </c>
      <c r="JI51" s="184">
        <v>1.1209</v>
      </c>
      <c r="JJ51" s="184">
        <v>0.42709999999999998</v>
      </c>
      <c r="JK51" s="162">
        <f t="shared" si="79"/>
        <v>0.34852916666666661</v>
      </c>
      <c r="JL51" s="53">
        <f t="shared" si="80"/>
        <v>37.222899999999996</v>
      </c>
      <c r="JM51" s="204">
        <f t="shared" si="117"/>
        <v>2.7499999999999858E-2</v>
      </c>
      <c r="JN51" s="204"/>
      <c r="JP51" s="209">
        <v>41</v>
      </c>
      <c r="JQ51" s="205">
        <v>9882</v>
      </c>
      <c r="JR51" s="161">
        <v>8.3867999999999991</v>
      </c>
      <c r="JS51" s="184">
        <v>1.1238999999999999</v>
      </c>
      <c r="JT51" s="184">
        <v>0.42820000000000003</v>
      </c>
      <c r="JU51" s="162">
        <f t="shared" si="81"/>
        <v>0.34944999999999998</v>
      </c>
      <c r="JV51" s="53">
        <f t="shared" si="82"/>
        <v>37.221800000000002</v>
      </c>
      <c r="JW51" s="209">
        <f t="shared" si="118"/>
        <v>2.2100000000000009E-2</v>
      </c>
      <c r="JX51" s="213"/>
      <c r="JY51" s="213"/>
      <c r="JZ51" s="213">
        <v>41</v>
      </c>
      <c r="KA51" s="206">
        <v>9882</v>
      </c>
      <c r="KB51" s="184">
        <v>8.4387000000000008</v>
      </c>
      <c r="KC51" s="184">
        <v>1.1308</v>
      </c>
      <c r="KD51" s="184">
        <v>0.43080000000000002</v>
      </c>
      <c r="KE51" s="162">
        <f t="shared" si="83"/>
        <v>0.35161250000000005</v>
      </c>
      <c r="KF51" s="53">
        <f t="shared" si="84"/>
        <v>37.219200000000001</v>
      </c>
      <c r="KG51" s="213">
        <f t="shared" si="119"/>
        <v>5.1900000000001612E-2</v>
      </c>
      <c r="KI51" s="219"/>
      <c r="KJ51" s="219">
        <v>41</v>
      </c>
      <c r="KK51" s="214">
        <v>9882</v>
      </c>
      <c r="KL51" s="161">
        <v>8.4559999999999995</v>
      </c>
      <c r="KM51" s="161">
        <v>1.1331</v>
      </c>
      <c r="KN51" s="161">
        <v>0.43169999999999997</v>
      </c>
      <c r="KO51" s="162">
        <f t="shared" si="24"/>
        <v>0.35233333333333333</v>
      </c>
      <c r="KP51" s="53">
        <f t="shared" si="85"/>
        <v>37.218299999999999</v>
      </c>
      <c r="KQ51" s="219">
        <f t="shared" si="120"/>
        <v>1.7299999999998761E-2</v>
      </c>
      <c r="KT51" s="223">
        <v>41</v>
      </c>
      <c r="KU51" s="216">
        <v>9882</v>
      </c>
      <c r="KV51" s="161">
        <v>8.4741999999999997</v>
      </c>
      <c r="KW51" s="161">
        <v>1.1355999999999999</v>
      </c>
      <c r="KX51" s="161">
        <v>0.43269999999999997</v>
      </c>
      <c r="KY51" s="162">
        <f t="shared" si="86"/>
        <v>0.35309166666666664</v>
      </c>
      <c r="KZ51" s="53">
        <f t="shared" si="87"/>
        <v>37.217300000000002</v>
      </c>
      <c r="LA51" s="223">
        <f t="shared" si="121"/>
        <v>1.8200000000000216E-2</v>
      </c>
      <c r="LD51" s="228">
        <v>41</v>
      </c>
      <c r="LE51" s="221">
        <v>9882</v>
      </c>
      <c r="LF51" s="161">
        <v>8.4894999999999996</v>
      </c>
      <c r="LG51" s="161">
        <v>1.1375999999999999</v>
      </c>
      <c r="LH51" s="161">
        <v>0.43340000000000001</v>
      </c>
      <c r="LI51" s="162">
        <f t="shared" si="88"/>
        <v>0.35372916666666665</v>
      </c>
      <c r="LJ51" s="53">
        <f t="shared" si="89"/>
        <v>37.2166</v>
      </c>
      <c r="LK51" s="228">
        <f t="shared" si="122"/>
        <v>1.5299999999999869E-2</v>
      </c>
      <c r="LL51" s="231"/>
      <c r="LM51" s="231"/>
      <c r="LN51" s="231">
        <v>41</v>
      </c>
      <c r="LO51" s="226">
        <v>9882</v>
      </c>
      <c r="LP51" s="184">
        <v>8.5108999999999995</v>
      </c>
      <c r="LQ51" s="184">
        <v>1.1405000000000001</v>
      </c>
      <c r="LR51" s="184">
        <v>0.4345</v>
      </c>
      <c r="LS51" s="162">
        <f t="shared" si="90"/>
        <v>0.35462083333333333</v>
      </c>
      <c r="LT51" s="53">
        <f t="shared" si="91"/>
        <v>37.215499999999999</v>
      </c>
      <c r="LU51" s="231">
        <f t="shared" si="123"/>
        <v>2.1399999999999864E-2</v>
      </c>
      <c r="LW51" s="231"/>
      <c r="LX51" s="231">
        <v>41</v>
      </c>
      <c r="LY51" s="234">
        <v>9882</v>
      </c>
      <c r="LZ51" s="184">
        <v>8.5349000000000004</v>
      </c>
      <c r="MA51" s="184">
        <v>1.1436999999999999</v>
      </c>
      <c r="MB51" s="184">
        <v>0.43580000000000002</v>
      </c>
      <c r="MC51" s="162">
        <f t="shared" si="92"/>
        <v>0.35562083333333333</v>
      </c>
      <c r="MD51" s="53">
        <f t="shared" si="93"/>
        <v>37.214199999999998</v>
      </c>
      <c r="ME51" s="231">
        <f t="shared" si="124"/>
        <v>2.4000000000000909E-2</v>
      </c>
      <c r="MF51" s="231"/>
      <c r="MG51" s="231"/>
      <c r="MH51" s="231">
        <v>41</v>
      </c>
      <c r="MI51" s="236">
        <v>9882</v>
      </c>
      <c r="MJ51" s="184">
        <v>8.5586000000000002</v>
      </c>
      <c r="MK51" s="184">
        <v>1.1469</v>
      </c>
      <c r="ML51" s="184">
        <v>0.437</v>
      </c>
      <c r="MM51" s="162">
        <f t="shared" si="94"/>
        <v>0.35660833333333336</v>
      </c>
      <c r="MN51" s="53">
        <f t="shared" si="95"/>
        <v>37.213000000000001</v>
      </c>
      <c r="MO51" s="231">
        <f t="shared" si="125"/>
        <v>2.3699999999999832E-2</v>
      </c>
      <c r="MP51" s="231"/>
      <c r="MQ51" s="231"/>
      <c r="MR51" s="231">
        <v>41</v>
      </c>
      <c r="MS51" s="34">
        <v>9882</v>
      </c>
      <c r="MT51" s="184">
        <v>8.6037999999999997</v>
      </c>
      <c r="MU51" s="184">
        <v>1.1529</v>
      </c>
      <c r="MV51" s="184">
        <v>0.43930000000000002</v>
      </c>
      <c r="MW51" s="162">
        <f t="shared" si="96"/>
        <v>0.35849166666666665</v>
      </c>
      <c r="MX51" s="53">
        <f t="shared" si="97"/>
        <v>37.210699999999996</v>
      </c>
      <c r="MY51" s="231">
        <f t="shared" si="126"/>
        <v>4.5199999999999463E-2</v>
      </c>
      <c r="MZ51" s="246"/>
      <c r="NA51" s="246"/>
      <c r="NB51" s="246">
        <v>41</v>
      </c>
      <c r="NC51" s="34">
        <v>9882</v>
      </c>
      <c r="ND51" s="184">
        <v>8.65</v>
      </c>
      <c r="NE51" s="184">
        <v>1.1591</v>
      </c>
      <c r="NF51" s="184">
        <v>0.44159999999999999</v>
      </c>
      <c r="NG51" s="162">
        <f t="shared" si="98"/>
        <v>0.36041666666666666</v>
      </c>
      <c r="NH51" s="53">
        <f t="shared" si="99"/>
        <v>37.208399999999997</v>
      </c>
      <c r="NI51" s="232">
        <f t="shared" si="127"/>
        <v>4.6200000000000685E-2</v>
      </c>
      <c r="NK51" s="250"/>
      <c r="NL51" s="250">
        <v>41</v>
      </c>
      <c r="NM51" s="34">
        <v>9882</v>
      </c>
      <c r="NN51" s="184">
        <v>8.6636000000000006</v>
      </c>
      <c r="NO51" s="184">
        <v>1.161</v>
      </c>
      <c r="NP51" s="184">
        <v>0.44230000000000003</v>
      </c>
      <c r="NQ51" s="162">
        <f t="shared" si="133"/>
        <v>0.36098333333333338</v>
      </c>
      <c r="NR51" s="53">
        <f t="shared" si="101"/>
        <v>37.207699999999996</v>
      </c>
      <c r="NS51" s="232">
        <f t="shared" si="128"/>
        <v>1.3600000000000279E-2</v>
      </c>
      <c r="NU51" s="250"/>
      <c r="NV51" s="250">
        <v>41</v>
      </c>
      <c r="NW51" s="34">
        <v>9882</v>
      </c>
      <c r="NX51" s="184">
        <v>8.6852</v>
      </c>
      <c r="NY51" s="184">
        <v>1.1638999999999999</v>
      </c>
      <c r="NZ51" s="184">
        <v>0.44340000000000002</v>
      </c>
      <c r="OA51" s="162">
        <f t="shared" si="134"/>
        <v>0.36188333333333333</v>
      </c>
      <c r="OB51" s="53">
        <f t="shared" si="103"/>
        <v>37.206600000000002</v>
      </c>
      <c r="OC51" s="232">
        <f t="shared" si="129"/>
        <v>2.1599999999999397E-2</v>
      </c>
      <c r="OE51" s="250"/>
      <c r="OF51" s="250">
        <v>41</v>
      </c>
      <c r="OG51" s="34">
        <v>9882</v>
      </c>
      <c r="OH51" s="184">
        <v>8.6959999999999997</v>
      </c>
      <c r="OI51" s="184">
        <v>1.1653</v>
      </c>
      <c r="OJ51" s="184">
        <v>0.44400000000000001</v>
      </c>
      <c r="OK51" s="162">
        <f t="shared" si="135"/>
        <v>0.36233333333333334</v>
      </c>
      <c r="OL51" s="53">
        <f t="shared" si="105"/>
        <v>37.205999999999996</v>
      </c>
      <c r="OM51" s="232">
        <f t="shared" si="130"/>
        <v>1.0799999999999699E-2</v>
      </c>
      <c r="OP51" s="250">
        <v>41</v>
      </c>
      <c r="OQ51" s="34">
        <v>9882</v>
      </c>
      <c r="OR51" s="184">
        <f>VLOOKUP(OQ51,Sheet4!A12:F88,3,0)</f>
        <v>8.7208000000000006</v>
      </c>
      <c r="OS51" s="184">
        <f>VLOOKUP(OQ51,Sheet4!A12:F88,4,0)</f>
        <v>1.1686000000000001</v>
      </c>
      <c r="OT51" s="184">
        <f>VLOOKUP(OQ51,Sheet4!A12:F88,5,0)</f>
        <v>0.44519999999999998</v>
      </c>
      <c r="OU51" s="162">
        <f t="shared" si="106"/>
        <v>0.36336666666666667</v>
      </c>
      <c r="OV51" s="53">
        <f t="shared" si="107"/>
        <v>37.204799999999999</v>
      </c>
      <c r="OW51" s="232">
        <f t="shared" si="131"/>
        <v>2.4800000000000821E-2</v>
      </c>
    </row>
    <row r="52" spans="1:413" ht="15.75" x14ac:dyDescent="0.25">
      <c r="A52">
        <v>44</v>
      </c>
      <c r="B52" s="1">
        <v>9885</v>
      </c>
      <c r="C52" s="1" t="s">
        <v>1</v>
      </c>
      <c r="D52" s="2">
        <v>37.65</v>
      </c>
      <c r="E52" s="8"/>
      <c r="F52" s="8"/>
      <c r="G52" s="8"/>
      <c r="H52" s="8"/>
      <c r="J52" s="15">
        <v>9885</v>
      </c>
      <c r="K52" s="15">
        <v>6.8352000000000004</v>
      </c>
      <c r="L52" s="15">
        <v>0.91590000000000005</v>
      </c>
      <c r="M52" s="15">
        <v>0.34899999999999998</v>
      </c>
      <c r="N52" s="24">
        <f t="shared" si="42"/>
        <v>0.2848</v>
      </c>
      <c r="O52" s="10">
        <f t="shared" si="139"/>
        <v>37.301000000000002</v>
      </c>
      <c r="P52" s="18"/>
      <c r="R52" s="20">
        <v>9885</v>
      </c>
      <c r="S52" s="9">
        <v>6.8901000000000003</v>
      </c>
      <c r="T52" s="9">
        <v>0.92330000000000001</v>
      </c>
      <c r="U52" s="9">
        <v>0.3518</v>
      </c>
      <c r="V52" s="24">
        <f t="shared" si="43"/>
        <v>0.2870875</v>
      </c>
      <c r="W52" s="10">
        <f t="shared" si="140"/>
        <v>37.298200000000001</v>
      </c>
      <c r="X52" s="18"/>
      <c r="Z52" s="27">
        <v>9885</v>
      </c>
      <c r="AA52" s="9">
        <v>7.0250000000000004</v>
      </c>
      <c r="AB52" s="9">
        <v>0.94140000000000001</v>
      </c>
      <c r="AC52" s="9">
        <v>0.35870000000000002</v>
      </c>
      <c r="AD52" s="24">
        <f t="shared" si="45"/>
        <v>0.29270833333333335</v>
      </c>
      <c r="AE52" s="10">
        <f t="shared" si="46"/>
        <v>37.2913</v>
      </c>
      <c r="AF52" s="79"/>
      <c r="AG52">
        <v>44</v>
      </c>
      <c r="AH52" s="1">
        <v>9885</v>
      </c>
      <c r="AI52" s="1" t="s">
        <v>1</v>
      </c>
      <c r="AJ52" s="2">
        <v>37.65</v>
      </c>
      <c r="AL52" s="35">
        <v>9885</v>
      </c>
      <c r="AM52" s="36">
        <v>7.1723999999999997</v>
      </c>
      <c r="AN52" s="36">
        <v>0.96109999999999995</v>
      </c>
      <c r="AO52" s="36">
        <v>0.36620000000000003</v>
      </c>
      <c r="AP52" s="37">
        <f t="shared" si="0"/>
        <v>0.29885</v>
      </c>
      <c r="AQ52" s="53">
        <f t="shared" si="108"/>
        <v>37.283799999999999</v>
      </c>
      <c r="AT52" s="39"/>
      <c r="AU52" s="35">
        <v>9885</v>
      </c>
      <c r="AV52" s="9">
        <v>7.2351000000000001</v>
      </c>
      <c r="AW52" s="43">
        <v>0.96950000000000003</v>
      </c>
      <c r="AX52" s="43">
        <v>0.36940000000000001</v>
      </c>
      <c r="AY52" s="47">
        <f t="shared" si="47"/>
        <v>0.30146250000000002</v>
      </c>
      <c r="AZ52" s="56">
        <f t="shared" si="109"/>
        <v>37.2806</v>
      </c>
      <c r="BD52" s="35">
        <v>9885</v>
      </c>
      <c r="BE52" s="53">
        <v>7.2422000000000004</v>
      </c>
      <c r="BF52" s="58">
        <v>0.97050000000000003</v>
      </c>
      <c r="BG52" s="58">
        <v>0.36980000000000002</v>
      </c>
      <c r="BH52" s="47">
        <f t="shared" si="48"/>
        <v>0.30175833333333335</v>
      </c>
      <c r="BI52" s="56">
        <f t="shared" si="49"/>
        <v>37.280200000000001</v>
      </c>
      <c r="BJ52" s="88"/>
      <c r="BK52" s="88"/>
      <c r="BL52" s="88"/>
      <c r="BN52" s="9">
        <v>9885</v>
      </c>
      <c r="BO52" s="53">
        <v>7.2686999999999999</v>
      </c>
      <c r="BP52" s="53">
        <v>0.97399999999999998</v>
      </c>
      <c r="BQ52" s="53">
        <v>0.37109999999999999</v>
      </c>
      <c r="BR52" s="53">
        <f t="shared" si="50"/>
        <v>0.30286249999999998</v>
      </c>
      <c r="BS52" s="53">
        <f t="shared" si="51"/>
        <v>37.2789</v>
      </c>
      <c r="BV52" s="88"/>
      <c r="BX52" s="93">
        <v>9885</v>
      </c>
      <c r="BY52" s="9">
        <v>7.3208000000000002</v>
      </c>
      <c r="BZ52" s="9">
        <v>0.98099999999999998</v>
      </c>
      <c r="CA52" s="9">
        <v>0.37380000000000002</v>
      </c>
      <c r="CB52" s="58">
        <f t="shared" si="52"/>
        <v>0.30503333333333332</v>
      </c>
      <c r="CC52" s="53">
        <f t="shared" si="110"/>
        <v>37.276199999999996</v>
      </c>
      <c r="CF52" s="88"/>
      <c r="CG52">
        <v>42</v>
      </c>
      <c r="CH52" s="93">
        <v>9885</v>
      </c>
      <c r="CI52" s="93">
        <v>7.3655999999999997</v>
      </c>
      <c r="CJ52" s="9">
        <v>0.98699999999999999</v>
      </c>
      <c r="CK52" s="9">
        <v>0.37609999999999999</v>
      </c>
      <c r="CL52" s="47">
        <f t="shared" si="5"/>
        <v>0.30690000000000001</v>
      </c>
      <c r="CM52" s="53">
        <f t="shared" si="53"/>
        <v>37.273899999999998</v>
      </c>
      <c r="CQ52">
        <v>42</v>
      </c>
      <c r="CR52" s="98">
        <v>9885</v>
      </c>
      <c r="CS52" s="101">
        <v>7.4218999999999999</v>
      </c>
      <c r="CT52" s="101">
        <v>0.99460000000000004</v>
      </c>
      <c r="CU52" s="101">
        <v>0.37890000000000001</v>
      </c>
      <c r="CV52" s="47">
        <f t="shared" si="6"/>
        <v>0.30924583333333333</v>
      </c>
      <c r="CW52" s="53">
        <f t="shared" si="141"/>
        <v>37.271099999999997</v>
      </c>
      <c r="DA52">
        <v>42</v>
      </c>
      <c r="DB52" s="106">
        <v>9885</v>
      </c>
      <c r="DC52" s="107">
        <v>7.4273999999999996</v>
      </c>
      <c r="DD52" s="107">
        <v>0.99529999999999996</v>
      </c>
      <c r="DE52" s="107">
        <v>0.37919999999999998</v>
      </c>
      <c r="DF52" s="47">
        <f t="shared" si="136"/>
        <v>0.309475</v>
      </c>
      <c r="DG52" s="53">
        <f t="shared" si="111"/>
        <v>37.270800000000001</v>
      </c>
      <c r="DK52">
        <v>42</v>
      </c>
      <c r="DL52" s="110">
        <v>9885</v>
      </c>
      <c r="DM52" s="53">
        <v>7.4916999999999998</v>
      </c>
      <c r="DN52" s="53">
        <v>1.0039</v>
      </c>
      <c r="DO52" s="53">
        <v>0.38250000000000001</v>
      </c>
      <c r="DP52" s="47">
        <f t="shared" si="137"/>
        <v>0.31215416666666668</v>
      </c>
      <c r="DQ52" s="53">
        <f t="shared" si="54"/>
        <v>37.267499999999998</v>
      </c>
      <c r="DS52" s="3">
        <f t="shared" si="55"/>
        <v>6.4300000000000246E-2</v>
      </c>
      <c r="DU52">
        <v>42</v>
      </c>
      <c r="DV52" s="115">
        <v>9885</v>
      </c>
      <c r="DW52" s="53">
        <f>Sheet3!B$56</f>
        <v>7.5317999999999996</v>
      </c>
      <c r="DX52" s="53">
        <f>Sheet3!C$56</f>
        <v>1.0093000000000001</v>
      </c>
      <c r="DY52" s="53">
        <f>Sheet3!D$56</f>
        <v>0.38450000000000001</v>
      </c>
      <c r="DZ52" s="47">
        <f t="shared" si="138"/>
        <v>0.31382499999999997</v>
      </c>
      <c r="EA52" s="53">
        <f t="shared" si="112"/>
        <v>37.265499999999996</v>
      </c>
      <c r="EB52" s="3"/>
      <c r="EE52">
        <v>42</v>
      </c>
      <c r="EF52" s="118">
        <v>9885</v>
      </c>
      <c r="EG52" s="9">
        <v>7.5944000000000003</v>
      </c>
      <c r="EH52" s="9">
        <v>1.0177</v>
      </c>
      <c r="EI52" s="9">
        <v>0.38769999999999999</v>
      </c>
      <c r="EJ52" s="47">
        <f t="shared" si="10"/>
        <v>0.31643333333333334</v>
      </c>
      <c r="EK52" s="53">
        <f t="shared" si="56"/>
        <v>37.262299999999996</v>
      </c>
      <c r="EM52" s="3">
        <f t="shared" si="57"/>
        <v>-3.1999999999996476E-3</v>
      </c>
      <c r="EN52" s="3"/>
      <c r="EO52">
        <v>42</v>
      </c>
      <c r="EP52" s="121">
        <v>9885</v>
      </c>
      <c r="EQ52" s="122">
        <v>7.7187999999999999</v>
      </c>
      <c r="ER52" s="122">
        <v>1.0343</v>
      </c>
      <c r="ES52" s="129">
        <v>0.39410000000000001</v>
      </c>
      <c r="ET52" s="130">
        <f t="shared" si="11"/>
        <v>0.32161666666666666</v>
      </c>
      <c r="EU52" s="131">
        <f t="shared" si="58"/>
        <v>37.255899999999997</v>
      </c>
      <c r="EX52" s="3"/>
      <c r="EY52">
        <v>42</v>
      </c>
      <c r="EZ52" s="135">
        <v>9885</v>
      </c>
      <c r="FA52" s="135">
        <v>7.7774999999999999</v>
      </c>
      <c r="FB52" s="135">
        <v>1.0422</v>
      </c>
      <c r="FC52" s="135">
        <v>0.39710000000000001</v>
      </c>
      <c r="FD52" s="136">
        <f t="shared" si="12"/>
        <v>0.32406249999999998</v>
      </c>
      <c r="FE52" s="131">
        <f t="shared" si="59"/>
        <v>37.252899999999997</v>
      </c>
      <c r="FG52" s="123">
        <f t="shared" si="60"/>
        <v>-3.0000000000001137E-3</v>
      </c>
      <c r="FH52" s="3"/>
      <c r="FI52">
        <v>42</v>
      </c>
      <c r="FJ52" s="145">
        <v>9885</v>
      </c>
      <c r="FK52" s="9">
        <v>7.8556999999999997</v>
      </c>
      <c r="FL52" s="9">
        <v>1.0527</v>
      </c>
      <c r="FM52" s="9">
        <v>0.40110000000000001</v>
      </c>
      <c r="FN52" s="146">
        <f t="shared" si="113"/>
        <v>0.32732083333333334</v>
      </c>
      <c r="FO52" s="131">
        <f t="shared" si="61"/>
        <v>37.248899999999999</v>
      </c>
      <c r="FP52" s="123">
        <f t="shared" si="62"/>
        <v>-3.9999999999977831E-3</v>
      </c>
      <c r="FS52">
        <v>42</v>
      </c>
      <c r="FT52" s="147">
        <v>9885</v>
      </c>
      <c r="FU52" s="148">
        <v>7.8718000000000004</v>
      </c>
      <c r="FV52" s="148">
        <v>1.0548999999999999</v>
      </c>
      <c r="FW52" s="148">
        <v>0.40189999999999998</v>
      </c>
      <c r="FX52" s="150">
        <f t="shared" si="114"/>
        <v>0.32799166666666668</v>
      </c>
      <c r="FY52" s="131">
        <f t="shared" si="115"/>
        <v>37.248100000000001</v>
      </c>
      <c r="FZ52">
        <f t="shared" si="63"/>
        <v>1.6100000000000669E-2</v>
      </c>
      <c r="GC52">
        <v>42</v>
      </c>
      <c r="GD52" s="151">
        <v>9885</v>
      </c>
      <c r="GE52" s="151">
        <v>7.9116</v>
      </c>
      <c r="GF52" s="151">
        <v>1.0602</v>
      </c>
      <c r="GG52" s="151">
        <v>0.40389999999999998</v>
      </c>
      <c r="GH52" s="153">
        <f t="shared" si="132"/>
        <v>0.32965</v>
      </c>
      <c r="GI52" s="131">
        <f t="shared" si="64"/>
        <v>37.246099999999998</v>
      </c>
      <c r="GJ52">
        <f t="shared" si="142"/>
        <v>3.9799999999999613E-2</v>
      </c>
      <c r="GM52">
        <v>42</v>
      </c>
      <c r="GN52" s="155">
        <v>9885</v>
      </c>
      <c r="GO52" s="155">
        <v>7.9958999999999998</v>
      </c>
      <c r="GP52" s="155">
        <v>1.0714999999999999</v>
      </c>
      <c r="GQ52" s="155">
        <v>0.40820000000000001</v>
      </c>
      <c r="GR52" s="58">
        <f t="shared" si="65"/>
        <v>0.33316249999999997</v>
      </c>
      <c r="GS52" s="131">
        <f t="shared" si="66"/>
        <v>37.241799999999998</v>
      </c>
      <c r="GT52">
        <f t="shared" si="143"/>
        <v>8.429999999999982E-2</v>
      </c>
      <c r="GW52">
        <v>42</v>
      </c>
      <c r="GX52" s="157">
        <v>9885</v>
      </c>
      <c r="GY52" s="161">
        <f>VLOOKUP(GX52,Sheet3!$AJ$7:$AN$83,2,0)</f>
        <v>8.1029</v>
      </c>
      <c r="GZ52" s="161">
        <f>VLOOKUP(GX52,Sheet3!$AJ$7:$AN$83,3,0)</f>
        <v>1.0858000000000001</v>
      </c>
      <c r="HA52" s="161">
        <f>VLOOKUP(GX52,Sheet3!$AJ$7:$AN$83,4,0)</f>
        <v>0.41370000000000001</v>
      </c>
      <c r="HB52" s="162">
        <f t="shared" si="17"/>
        <v>0.33762083333333331</v>
      </c>
      <c r="HC52" s="131">
        <f t="shared" si="116"/>
        <v>37.2363</v>
      </c>
      <c r="HD52" s="159">
        <f t="shared" si="144"/>
        <v>0.10700000000000021</v>
      </c>
      <c r="HE52" s="159">
        <f t="shared" si="145"/>
        <v>5.5000000000000049E-3</v>
      </c>
      <c r="HG52" s="159"/>
      <c r="HH52" s="159">
        <v>42</v>
      </c>
      <c r="HI52" s="158">
        <v>9885</v>
      </c>
      <c r="HJ52" s="161">
        <v>8.1461000000000006</v>
      </c>
      <c r="HK52" s="161">
        <v>1.0915999999999999</v>
      </c>
      <c r="HL52" s="161">
        <v>0.41589999999999999</v>
      </c>
      <c r="HM52" s="162">
        <f t="shared" si="18"/>
        <v>0.33942083333333334</v>
      </c>
      <c r="HN52" s="131">
        <f t="shared" si="67"/>
        <v>37.234099999999998</v>
      </c>
      <c r="HO52" s="159">
        <f t="shared" si="68"/>
        <v>4.3200000000000571E-2</v>
      </c>
      <c r="HQ52" s="183"/>
      <c r="HR52" s="183">
        <v>42</v>
      </c>
      <c r="HS52" s="178">
        <v>9885</v>
      </c>
      <c r="HT52" s="184">
        <v>8.1742000000000008</v>
      </c>
      <c r="HU52" s="184">
        <v>1.0953999999999999</v>
      </c>
      <c r="HV52" s="184">
        <v>0.4173</v>
      </c>
      <c r="HW52" s="171">
        <f t="shared" si="19"/>
        <v>0.34059166666666668</v>
      </c>
      <c r="HX52" s="53">
        <f t="shared" si="69"/>
        <v>37.232700000000001</v>
      </c>
      <c r="HY52" s="183">
        <f t="shared" si="70"/>
        <v>2.8100000000000236E-2</v>
      </c>
      <c r="IA52" s="194"/>
      <c r="IB52" s="194">
        <v>42</v>
      </c>
      <c r="IC52" s="193">
        <v>9885</v>
      </c>
      <c r="ID52" s="161">
        <v>8.1864000000000008</v>
      </c>
      <c r="IE52" s="184">
        <v>1.097</v>
      </c>
      <c r="IF52" s="184">
        <v>0.41799999999999998</v>
      </c>
      <c r="IG52" s="171">
        <f t="shared" si="71"/>
        <v>0.34110000000000001</v>
      </c>
      <c r="IH52" s="53">
        <f t="shared" si="72"/>
        <v>37.231999999999999</v>
      </c>
      <c r="II52" s="194">
        <f t="shared" si="73"/>
        <v>1.2199999999999989E-2</v>
      </c>
      <c r="IL52" s="199">
        <v>42</v>
      </c>
      <c r="IM52" s="197">
        <v>9885</v>
      </c>
      <c r="IN52" s="161">
        <v>8.2506000000000004</v>
      </c>
      <c r="IO52" s="184">
        <v>1.1055999999999999</v>
      </c>
      <c r="IP52" s="184">
        <v>0.42120000000000002</v>
      </c>
      <c r="IQ52" s="171">
        <f t="shared" si="74"/>
        <v>0.343775</v>
      </c>
      <c r="IR52" s="53">
        <f t="shared" si="75"/>
        <v>37.2288</v>
      </c>
      <c r="IS52" s="199">
        <f t="shared" si="76"/>
        <v>6.4199999999999591E-2</v>
      </c>
      <c r="IU52" s="202"/>
      <c r="IV52" s="202">
        <v>42</v>
      </c>
      <c r="IW52" s="201">
        <v>9885</v>
      </c>
      <c r="IX52" s="184">
        <v>8.3371999999999993</v>
      </c>
      <c r="IY52" s="184">
        <v>1.1172</v>
      </c>
      <c r="IZ52" s="184">
        <v>0.42570000000000002</v>
      </c>
      <c r="JA52" s="162">
        <f t="shared" si="22"/>
        <v>0.34738333333333332</v>
      </c>
      <c r="JB52" s="53">
        <f t="shared" si="77"/>
        <v>37.224299999999999</v>
      </c>
      <c r="JC52" s="202">
        <f t="shared" si="78"/>
        <v>8.65999999999989E-2</v>
      </c>
      <c r="JE52" s="204"/>
      <c r="JF52" s="204">
        <v>42</v>
      </c>
      <c r="JG52" s="203">
        <v>9885</v>
      </c>
      <c r="JH52" s="161">
        <v>8.3646999999999991</v>
      </c>
      <c r="JI52" s="184">
        <v>1.1209</v>
      </c>
      <c r="JJ52" s="184">
        <v>0.42709999999999998</v>
      </c>
      <c r="JK52" s="162">
        <f t="shared" si="79"/>
        <v>0.34852916666666661</v>
      </c>
      <c r="JL52" s="53">
        <f t="shared" si="80"/>
        <v>37.222899999999996</v>
      </c>
      <c r="JM52" s="204">
        <f t="shared" si="117"/>
        <v>2.7499999999999858E-2</v>
      </c>
      <c r="JN52" s="204"/>
      <c r="JP52" s="209">
        <v>42</v>
      </c>
      <c r="JQ52" s="205">
        <v>9885</v>
      </c>
      <c r="JR52" s="161">
        <v>8.3867999999999991</v>
      </c>
      <c r="JS52" s="184">
        <v>1.1238999999999999</v>
      </c>
      <c r="JT52" s="184">
        <v>0.42820000000000003</v>
      </c>
      <c r="JU52" s="162">
        <f t="shared" si="81"/>
        <v>0.34944999999999998</v>
      </c>
      <c r="JV52" s="53">
        <f t="shared" si="82"/>
        <v>37.221800000000002</v>
      </c>
      <c r="JW52" s="209">
        <f t="shared" si="118"/>
        <v>2.2100000000000009E-2</v>
      </c>
      <c r="JX52" s="213"/>
      <c r="JY52" s="213"/>
      <c r="JZ52" s="213">
        <v>42</v>
      </c>
      <c r="KA52" s="206">
        <v>9885</v>
      </c>
      <c r="KB52" s="184">
        <v>8.4387000000000008</v>
      </c>
      <c r="KC52" s="184">
        <v>1.1308</v>
      </c>
      <c r="KD52" s="184">
        <v>0.43080000000000002</v>
      </c>
      <c r="KE52" s="162">
        <f t="shared" si="83"/>
        <v>0.35161250000000005</v>
      </c>
      <c r="KF52" s="53">
        <f t="shared" si="84"/>
        <v>37.219200000000001</v>
      </c>
      <c r="KG52" s="213">
        <f t="shared" si="119"/>
        <v>5.1900000000001612E-2</v>
      </c>
      <c r="KI52" s="219"/>
      <c r="KJ52" s="219">
        <v>42</v>
      </c>
      <c r="KK52" s="214">
        <v>9885</v>
      </c>
      <c r="KL52" s="161">
        <v>8.4559999999999995</v>
      </c>
      <c r="KM52" s="161">
        <v>1.1331</v>
      </c>
      <c r="KN52" s="161">
        <v>0.43169999999999997</v>
      </c>
      <c r="KO52" s="162">
        <f t="shared" si="24"/>
        <v>0.35233333333333333</v>
      </c>
      <c r="KP52" s="53">
        <f t="shared" si="85"/>
        <v>37.218299999999999</v>
      </c>
      <c r="KQ52" s="219">
        <f t="shared" si="120"/>
        <v>1.7299999999998761E-2</v>
      </c>
      <c r="KT52" s="223">
        <v>42</v>
      </c>
      <c r="KU52" s="216">
        <v>9885</v>
      </c>
      <c r="KV52" s="161">
        <v>8.4741999999999997</v>
      </c>
      <c r="KW52" s="161">
        <v>1.1355999999999999</v>
      </c>
      <c r="KX52" s="161">
        <v>0.43269999999999997</v>
      </c>
      <c r="KY52" s="162">
        <f t="shared" si="86"/>
        <v>0.35309166666666664</v>
      </c>
      <c r="KZ52" s="53">
        <f t="shared" si="87"/>
        <v>37.217300000000002</v>
      </c>
      <c r="LA52" s="223">
        <f t="shared" si="121"/>
        <v>1.8200000000000216E-2</v>
      </c>
      <c r="LD52" s="228">
        <v>42</v>
      </c>
      <c r="LE52" s="221">
        <v>9885</v>
      </c>
      <c r="LF52" s="161">
        <v>8.4894999999999996</v>
      </c>
      <c r="LG52" s="161">
        <v>1.1375999999999999</v>
      </c>
      <c r="LH52" s="161">
        <v>0.43340000000000001</v>
      </c>
      <c r="LI52" s="162">
        <f t="shared" si="88"/>
        <v>0.35372916666666665</v>
      </c>
      <c r="LJ52" s="53">
        <f t="shared" si="89"/>
        <v>37.2166</v>
      </c>
      <c r="LK52" s="228">
        <f t="shared" si="122"/>
        <v>1.5299999999999869E-2</v>
      </c>
      <c r="LL52" s="231"/>
      <c r="LM52" s="231"/>
      <c r="LN52" s="231">
        <v>42</v>
      </c>
      <c r="LO52" s="226">
        <v>9885</v>
      </c>
      <c r="LP52" s="184">
        <v>8.5108999999999995</v>
      </c>
      <c r="LQ52" s="184">
        <v>1.1405000000000001</v>
      </c>
      <c r="LR52" s="184">
        <v>0.4345</v>
      </c>
      <c r="LS52" s="162">
        <f t="shared" si="90"/>
        <v>0.35462083333333333</v>
      </c>
      <c r="LT52" s="53">
        <f t="shared" si="91"/>
        <v>37.215499999999999</v>
      </c>
      <c r="LU52" s="231">
        <f t="shared" si="123"/>
        <v>2.1399999999999864E-2</v>
      </c>
      <c r="LW52" s="231"/>
      <c r="LX52" s="231">
        <v>42</v>
      </c>
      <c r="LY52" s="234">
        <v>9885</v>
      </c>
      <c r="LZ52" s="184">
        <v>8.5349000000000004</v>
      </c>
      <c r="MA52" s="184">
        <v>1.1436999999999999</v>
      </c>
      <c r="MB52" s="184">
        <v>0.43580000000000002</v>
      </c>
      <c r="MC52" s="162">
        <f t="shared" si="92"/>
        <v>0.35562083333333333</v>
      </c>
      <c r="MD52" s="53">
        <f t="shared" si="93"/>
        <v>37.214199999999998</v>
      </c>
      <c r="ME52" s="231">
        <f t="shared" si="124"/>
        <v>2.4000000000000909E-2</v>
      </c>
      <c r="MF52" s="231"/>
      <c r="MG52" s="231"/>
      <c r="MH52" s="231">
        <v>42</v>
      </c>
      <c r="MI52" s="236">
        <v>9885</v>
      </c>
      <c r="MJ52" s="184">
        <v>8.5586000000000002</v>
      </c>
      <c r="MK52" s="184">
        <v>1.1469</v>
      </c>
      <c r="ML52" s="184">
        <v>0.437</v>
      </c>
      <c r="MM52" s="162">
        <f t="shared" si="94"/>
        <v>0.35660833333333336</v>
      </c>
      <c r="MN52" s="53">
        <f t="shared" si="95"/>
        <v>37.213000000000001</v>
      </c>
      <c r="MO52" s="231">
        <f t="shared" si="125"/>
        <v>2.3699999999999832E-2</v>
      </c>
      <c r="MP52" s="231"/>
      <c r="MQ52" s="231"/>
      <c r="MR52" s="231">
        <v>42</v>
      </c>
      <c r="MS52" s="34">
        <v>9885</v>
      </c>
      <c r="MT52" s="184">
        <v>8.6037999999999997</v>
      </c>
      <c r="MU52" s="184">
        <v>1.1529</v>
      </c>
      <c r="MV52" s="184">
        <v>0.43930000000000002</v>
      </c>
      <c r="MW52" s="162">
        <f t="shared" si="96"/>
        <v>0.35849166666666665</v>
      </c>
      <c r="MX52" s="53">
        <f t="shared" si="97"/>
        <v>37.210699999999996</v>
      </c>
      <c r="MY52" s="231">
        <f t="shared" si="126"/>
        <v>4.5199999999999463E-2</v>
      </c>
      <c r="MZ52" s="246"/>
      <c r="NA52" s="246"/>
      <c r="NB52" s="246">
        <v>42</v>
      </c>
      <c r="NC52" s="34">
        <v>9885</v>
      </c>
      <c r="ND52" s="184">
        <v>8.65</v>
      </c>
      <c r="NE52" s="184">
        <v>1.1591</v>
      </c>
      <c r="NF52" s="184">
        <v>0.44159999999999999</v>
      </c>
      <c r="NG52" s="162">
        <f t="shared" si="98"/>
        <v>0.36041666666666666</v>
      </c>
      <c r="NH52" s="53">
        <f t="shared" si="99"/>
        <v>37.208399999999997</v>
      </c>
      <c r="NI52" s="232">
        <f t="shared" si="127"/>
        <v>4.6200000000000685E-2</v>
      </c>
      <c r="NK52" s="250"/>
      <c r="NL52" s="250">
        <v>42</v>
      </c>
      <c r="NM52" s="34">
        <v>9885</v>
      </c>
      <c r="NN52" s="184">
        <v>8.6636000000000006</v>
      </c>
      <c r="NO52" s="184">
        <v>1.161</v>
      </c>
      <c r="NP52" s="184">
        <v>0.44230000000000003</v>
      </c>
      <c r="NQ52" s="162">
        <f t="shared" si="133"/>
        <v>0.36098333333333338</v>
      </c>
      <c r="NR52" s="53">
        <f t="shared" si="101"/>
        <v>37.207699999999996</v>
      </c>
      <c r="NS52" s="232">
        <f t="shared" si="128"/>
        <v>1.3600000000000279E-2</v>
      </c>
      <c r="NU52" s="250"/>
      <c r="NV52" s="250">
        <v>42</v>
      </c>
      <c r="NW52" s="34">
        <v>9885</v>
      </c>
      <c r="NX52" s="184">
        <v>8.6852</v>
      </c>
      <c r="NY52" s="184">
        <v>1.1638999999999999</v>
      </c>
      <c r="NZ52" s="184">
        <v>0.44340000000000002</v>
      </c>
      <c r="OA52" s="162">
        <f t="shared" si="134"/>
        <v>0.36188333333333333</v>
      </c>
      <c r="OB52" s="53">
        <f t="shared" si="103"/>
        <v>37.206600000000002</v>
      </c>
      <c r="OC52" s="232">
        <f t="shared" si="129"/>
        <v>2.1599999999999397E-2</v>
      </c>
      <c r="OE52" s="250"/>
      <c r="OF52" s="250">
        <v>42</v>
      </c>
      <c r="OG52" s="34">
        <v>9885</v>
      </c>
      <c r="OH52" s="184">
        <v>8.6959999999999997</v>
      </c>
      <c r="OI52" s="184">
        <v>1.1653</v>
      </c>
      <c r="OJ52" s="184">
        <v>0.44400000000000001</v>
      </c>
      <c r="OK52" s="162">
        <f t="shared" si="135"/>
        <v>0.36233333333333334</v>
      </c>
      <c r="OL52" s="53">
        <f t="shared" si="105"/>
        <v>37.205999999999996</v>
      </c>
      <c r="OM52" s="232">
        <f t="shared" si="130"/>
        <v>1.0799999999999699E-2</v>
      </c>
      <c r="OP52" s="250">
        <v>42</v>
      </c>
      <c r="OQ52" s="34">
        <v>9885</v>
      </c>
      <c r="OR52" s="184">
        <f>VLOOKUP(OQ52,Sheet4!A13:F89,3,0)</f>
        <v>8.7208000000000006</v>
      </c>
      <c r="OS52" s="184">
        <f>VLOOKUP(OQ52,Sheet4!A13:F89,4,0)</f>
        <v>1.1686000000000001</v>
      </c>
      <c r="OT52" s="184">
        <f>VLOOKUP(OQ52,Sheet4!A13:F89,5,0)</f>
        <v>0.44519999999999998</v>
      </c>
      <c r="OU52" s="162">
        <f t="shared" si="106"/>
        <v>0.36336666666666667</v>
      </c>
      <c r="OV52" s="53">
        <f t="shared" si="107"/>
        <v>37.204799999999999</v>
      </c>
      <c r="OW52" s="232">
        <f t="shared" si="131"/>
        <v>2.4800000000000821E-2</v>
      </c>
    </row>
    <row r="53" spans="1:413" ht="15.75" x14ac:dyDescent="0.25">
      <c r="A53">
        <v>45</v>
      </c>
      <c r="B53" s="1">
        <v>9640</v>
      </c>
      <c r="C53" s="1" t="s">
        <v>1</v>
      </c>
      <c r="D53" s="2">
        <v>37.619999999999997</v>
      </c>
      <c r="E53" s="8"/>
      <c r="F53" s="8"/>
      <c r="G53" s="8"/>
      <c r="H53" s="8"/>
      <c r="J53" s="15">
        <v>9640</v>
      </c>
      <c r="K53" s="15">
        <v>6.3135000000000003</v>
      </c>
      <c r="L53" s="15">
        <v>0.84599999999999997</v>
      </c>
      <c r="M53" s="15">
        <v>0.32229999999999998</v>
      </c>
      <c r="N53" s="24">
        <f t="shared" si="42"/>
        <v>0.26306250000000003</v>
      </c>
      <c r="O53" s="10">
        <f t="shared" si="139"/>
        <v>37.297699999999999</v>
      </c>
      <c r="P53" s="18"/>
      <c r="R53" s="20">
        <v>9640</v>
      </c>
      <c r="S53" s="9">
        <v>6.3684000000000003</v>
      </c>
      <c r="T53" s="9">
        <v>0.85340000000000005</v>
      </c>
      <c r="U53" s="9">
        <v>0.3251</v>
      </c>
      <c r="V53" s="24">
        <f t="shared" si="43"/>
        <v>0.26535000000000003</v>
      </c>
      <c r="W53" s="10">
        <f t="shared" si="140"/>
        <v>37.294899999999998</v>
      </c>
      <c r="X53" s="18"/>
      <c r="Z53" s="27">
        <v>9640</v>
      </c>
      <c r="AA53" s="9">
        <v>6.5033000000000003</v>
      </c>
      <c r="AB53" s="9">
        <v>0.87150000000000005</v>
      </c>
      <c r="AC53" s="9">
        <v>0.33200000000000002</v>
      </c>
      <c r="AD53" s="24">
        <f t="shared" si="45"/>
        <v>0.27097083333333333</v>
      </c>
      <c r="AE53" s="10">
        <f t="shared" si="46"/>
        <v>37.287999999999997</v>
      </c>
      <c r="AF53" s="79"/>
      <c r="AG53">
        <v>45</v>
      </c>
      <c r="AH53" s="1">
        <v>9640</v>
      </c>
      <c r="AI53" s="1" t="s">
        <v>1</v>
      </c>
      <c r="AJ53" s="2">
        <v>37.619999999999997</v>
      </c>
      <c r="AL53" s="35">
        <v>9640</v>
      </c>
      <c r="AM53" s="36">
        <v>6.6506999999999996</v>
      </c>
      <c r="AN53" s="36">
        <v>0.89119999999999999</v>
      </c>
      <c r="AO53" s="36">
        <v>0.33960000000000001</v>
      </c>
      <c r="AP53" s="37">
        <f t="shared" si="0"/>
        <v>0.27711249999999998</v>
      </c>
      <c r="AQ53" s="53">
        <f t="shared" si="108"/>
        <v>37.2804</v>
      </c>
      <c r="AT53" s="39"/>
      <c r="AU53" s="35">
        <v>9640</v>
      </c>
      <c r="AV53" s="9">
        <v>6.7134</v>
      </c>
      <c r="AW53" s="43">
        <v>0.89959999999999996</v>
      </c>
      <c r="AX53" s="43">
        <v>0.34279999999999999</v>
      </c>
      <c r="AY53" s="47">
        <f t="shared" si="47"/>
        <v>0.279725</v>
      </c>
      <c r="AZ53" s="56">
        <f t="shared" si="109"/>
        <v>37.277200000000001</v>
      </c>
      <c r="BD53" s="35">
        <v>9640</v>
      </c>
      <c r="BE53" s="53">
        <v>6.7205000000000004</v>
      </c>
      <c r="BF53" s="58">
        <v>0.90059999999999996</v>
      </c>
      <c r="BG53" s="58">
        <v>0.34310000000000002</v>
      </c>
      <c r="BH53" s="47">
        <f t="shared" si="48"/>
        <v>0.28002083333333333</v>
      </c>
      <c r="BI53" s="56">
        <f t="shared" si="49"/>
        <v>37.276899999999998</v>
      </c>
      <c r="BJ53" s="88"/>
      <c r="BK53" s="88"/>
      <c r="BL53" s="88"/>
      <c r="BN53" s="9">
        <v>9640</v>
      </c>
      <c r="BO53" s="53">
        <v>6.7469999999999999</v>
      </c>
      <c r="BP53" s="53">
        <v>0.90410000000000001</v>
      </c>
      <c r="BQ53" s="53">
        <v>0.34449999999999997</v>
      </c>
      <c r="BR53" s="53">
        <f t="shared" si="50"/>
        <v>0.28112500000000001</v>
      </c>
      <c r="BS53" s="53">
        <f t="shared" si="51"/>
        <v>37.275500000000001</v>
      </c>
      <c r="BV53" s="88"/>
      <c r="BX53" s="93">
        <v>9640</v>
      </c>
      <c r="BY53" s="9">
        <v>6.7991000000000001</v>
      </c>
      <c r="BZ53" s="9">
        <v>0.91110000000000002</v>
      </c>
      <c r="CA53" s="9">
        <v>0.34710000000000002</v>
      </c>
      <c r="CB53" s="58">
        <f t="shared" si="52"/>
        <v>0.28329583333333336</v>
      </c>
      <c r="CC53" s="53">
        <f t="shared" si="110"/>
        <v>37.2729</v>
      </c>
      <c r="CF53" s="88"/>
      <c r="CG53">
        <v>43</v>
      </c>
      <c r="CH53" s="93">
        <v>9640</v>
      </c>
      <c r="CI53" s="93">
        <v>6.8438999999999997</v>
      </c>
      <c r="CJ53" s="9">
        <v>0.91710000000000003</v>
      </c>
      <c r="CK53" s="9">
        <v>0.34939999999999999</v>
      </c>
      <c r="CL53" s="47">
        <f t="shared" si="5"/>
        <v>0.28516249999999999</v>
      </c>
      <c r="CM53" s="53">
        <f t="shared" si="53"/>
        <v>37.270599999999995</v>
      </c>
      <c r="CQ53">
        <v>43</v>
      </c>
      <c r="CR53" s="98">
        <v>9640</v>
      </c>
      <c r="CS53" s="101">
        <v>6.9001999999999999</v>
      </c>
      <c r="CT53" s="101">
        <v>0.92469999999999997</v>
      </c>
      <c r="CU53" s="101">
        <v>0.3523</v>
      </c>
      <c r="CV53" s="47">
        <f t="shared" si="6"/>
        <v>0.28750833333333331</v>
      </c>
      <c r="CW53" s="53">
        <f t="shared" si="141"/>
        <v>37.267699999999998</v>
      </c>
      <c r="DA53">
        <v>43</v>
      </c>
      <c r="DB53" s="106">
        <v>9640</v>
      </c>
      <c r="DC53" s="107">
        <v>6.9057000000000004</v>
      </c>
      <c r="DD53" s="107">
        <v>0.9254</v>
      </c>
      <c r="DE53" s="107">
        <v>0.35260000000000002</v>
      </c>
      <c r="DF53" s="47">
        <f t="shared" si="136"/>
        <v>0.28773750000000003</v>
      </c>
      <c r="DG53" s="53">
        <f t="shared" si="111"/>
        <v>37.267399999999995</v>
      </c>
      <c r="DK53">
        <v>43</v>
      </c>
      <c r="DL53" s="110">
        <v>9640</v>
      </c>
      <c r="DM53" s="53">
        <v>6.97</v>
      </c>
      <c r="DN53" s="53">
        <v>0.93400000000000005</v>
      </c>
      <c r="DO53" s="53">
        <v>0.35589999999999999</v>
      </c>
      <c r="DP53" s="47">
        <f t="shared" si="137"/>
        <v>0.29041666666666666</v>
      </c>
      <c r="DQ53" s="53">
        <f t="shared" si="54"/>
        <v>37.264099999999999</v>
      </c>
      <c r="DS53" s="3">
        <f t="shared" si="55"/>
        <v>6.4299999999999358E-2</v>
      </c>
      <c r="DU53">
        <v>43</v>
      </c>
      <c r="DV53" s="115">
        <v>9640</v>
      </c>
      <c r="DW53" s="53">
        <f>Sheet3!B$38</f>
        <v>7.0101000000000004</v>
      </c>
      <c r="DX53" s="53">
        <f>Sheet3!C$38</f>
        <v>0.93940000000000001</v>
      </c>
      <c r="DY53" s="53">
        <f>Sheet3!D$38</f>
        <v>0.3579</v>
      </c>
      <c r="DZ53" s="47">
        <f t="shared" si="138"/>
        <v>0.2920875</v>
      </c>
      <c r="EA53" s="53">
        <f t="shared" si="112"/>
        <v>37.262099999999997</v>
      </c>
      <c r="EB53" s="3"/>
      <c r="EE53">
        <v>43</v>
      </c>
      <c r="EF53" s="118">
        <v>9640</v>
      </c>
      <c r="EG53" s="9">
        <v>7.0727000000000002</v>
      </c>
      <c r="EH53" s="9">
        <v>0.94779999999999998</v>
      </c>
      <c r="EI53" s="9">
        <v>0.36109999999999998</v>
      </c>
      <c r="EJ53" s="47">
        <f t="shared" si="10"/>
        <v>0.29469583333333332</v>
      </c>
      <c r="EK53" s="53">
        <f t="shared" si="56"/>
        <v>37.258899999999997</v>
      </c>
      <c r="EM53" s="3">
        <f t="shared" si="57"/>
        <v>-3.1999999999996476E-3</v>
      </c>
      <c r="EN53" s="3"/>
      <c r="EO53">
        <v>43</v>
      </c>
      <c r="EP53" s="121">
        <v>9640</v>
      </c>
      <c r="EQ53" s="122">
        <v>7.1970999999999998</v>
      </c>
      <c r="ER53" s="122">
        <v>0.96440000000000003</v>
      </c>
      <c r="ES53" s="129">
        <v>0.36749999999999999</v>
      </c>
      <c r="ET53" s="130">
        <f t="shared" si="11"/>
        <v>0.29987916666666664</v>
      </c>
      <c r="EU53" s="131">
        <f t="shared" si="58"/>
        <v>37.252499999999998</v>
      </c>
      <c r="EX53" s="3"/>
      <c r="EY53">
        <v>43</v>
      </c>
      <c r="EZ53" s="135">
        <v>9640</v>
      </c>
      <c r="FA53" s="135">
        <v>7.2557999999999998</v>
      </c>
      <c r="FB53" s="135">
        <v>0.97230000000000005</v>
      </c>
      <c r="FC53" s="135">
        <v>0.37040000000000001</v>
      </c>
      <c r="FD53" s="136">
        <f t="shared" si="12"/>
        <v>0.30232500000000001</v>
      </c>
      <c r="FE53" s="131">
        <f t="shared" si="59"/>
        <v>37.249600000000001</v>
      </c>
      <c r="FG53" s="123">
        <f t="shared" si="60"/>
        <v>-2.899999999996794E-3</v>
      </c>
      <c r="FH53" s="3"/>
      <c r="FI53">
        <v>43</v>
      </c>
      <c r="FJ53" s="145">
        <v>9640</v>
      </c>
      <c r="FK53" s="9">
        <v>7.3339999999999996</v>
      </c>
      <c r="FL53" s="9">
        <v>0.98280000000000001</v>
      </c>
      <c r="FM53" s="9">
        <v>0.37440000000000001</v>
      </c>
      <c r="FN53" s="146">
        <f t="shared" si="113"/>
        <v>0.30558333333333332</v>
      </c>
      <c r="FO53" s="131">
        <f t="shared" si="61"/>
        <v>37.245599999999996</v>
      </c>
      <c r="FP53" s="123">
        <f t="shared" si="62"/>
        <v>-4.0000000000048885E-3</v>
      </c>
      <c r="FS53">
        <v>43</v>
      </c>
      <c r="FT53" s="147">
        <v>9640</v>
      </c>
      <c r="FU53" s="148">
        <v>7.3501000000000003</v>
      </c>
      <c r="FV53" s="148">
        <v>0.9849</v>
      </c>
      <c r="FW53" s="148">
        <v>0.37530000000000002</v>
      </c>
      <c r="FX53" s="150">
        <f t="shared" si="114"/>
        <v>0.30625416666666666</v>
      </c>
      <c r="FY53" s="131">
        <f t="shared" si="115"/>
        <v>37.244699999999995</v>
      </c>
      <c r="FZ53">
        <f t="shared" si="63"/>
        <v>1.6100000000000669E-2</v>
      </c>
      <c r="GC53">
        <v>43</v>
      </c>
      <c r="GD53" s="151">
        <v>9640</v>
      </c>
      <c r="GE53" s="151">
        <v>7.3898999999999999</v>
      </c>
      <c r="GF53" s="151">
        <v>0.99029999999999996</v>
      </c>
      <c r="GG53" s="151">
        <v>0.37730000000000002</v>
      </c>
      <c r="GH53" s="153">
        <f t="shared" si="132"/>
        <v>0.30791249999999998</v>
      </c>
      <c r="GI53" s="131">
        <f t="shared" si="64"/>
        <v>37.242699999999999</v>
      </c>
      <c r="GJ53">
        <f t="shared" si="142"/>
        <v>3.9799999999999613E-2</v>
      </c>
      <c r="GM53">
        <v>43</v>
      </c>
      <c r="GN53" s="155">
        <v>9640</v>
      </c>
      <c r="GO53" s="155">
        <v>7.4741999999999997</v>
      </c>
      <c r="GP53" s="155">
        <v>1.0016</v>
      </c>
      <c r="GQ53" s="155">
        <v>0.38159999999999999</v>
      </c>
      <c r="GR53" s="58">
        <f t="shared" si="65"/>
        <v>0.31142500000000001</v>
      </c>
      <c r="GS53" s="131">
        <f t="shared" si="66"/>
        <v>37.238399999999999</v>
      </c>
      <c r="GT53">
        <f t="shared" si="143"/>
        <v>8.429999999999982E-2</v>
      </c>
      <c r="GW53">
        <v>43</v>
      </c>
      <c r="GX53" s="157">
        <v>9640</v>
      </c>
      <c r="GY53" s="161">
        <f>VLOOKUP(GX53,Sheet3!$AJ$7:$AN$83,2,0)</f>
        <v>7.5811999999999999</v>
      </c>
      <c r="GZ53" s="161">
        <f>VLOOKUP(GX53,Sheet3!$AJ$7:$AN$83,3,0)</f>
        <v>1.0159</v>
      </c>
      <c r="HA53" s="161">
        <f>VLOOKUP(GX53,Sheet3!$AJ$7:$AN$83,4,0)</f>
        <v>0.3871</v>
      </c>
      <c r="HB53" s="162">
        <f t="shared" si="17"/>
        <v>0.31588333333333335</v>
      </c>
      <c r="HC53" s="131">
        <f t="shared" si="116"/>
        <v>37.232900000000001</v>
      </c>
      <c r="HD53" s="159">
        <f t="shared" si="144"/>
        <v>0.10700000000000021</v>
      </c>
      <c r="HE53" s="159">
        <f t="shared" si="145"/>
        <v>5.5000000000000049E-3</v>
      </c>
      <c r="HG53" s="159"/>
      <c r="HH53" s="159">
        <v>43</v>
      </c>
      <c r="HI53" s="158">
        <v>9640</v>
      </c>
      <c r="HJ53" s="161">
        <v>7.6243999999999996</v>
      </c>
      <c r="HK53" s="161">
        <v>1.0217000000000001</v>
      </c>
      <c r="HL53" s="161">
        <v>0.38929999999999998</v>
      </c>
      <c r="HM53" s="162">
        <f t="shared" si="18"/>
        <v>0.31768333333333332</v>
      </c>
      <c r="HN53" s="131">
        <f t="shared" si="67"/>
        <v>37.230699999999999</v>
      </c>
      <c r="HO53" s="159">
        <f t="shared" si="68"/>
        <v>4.3199999999999683E-2</v>
      </c>
      <c r="HQ53" s="183"/>
      <c r="HR53" s="183">
        <v>43</v>
      </c>
      <c r="HS53" s="178">
        <v>9640</v>
      </c>
      <c r="HT53" s="184">
        <v>7.6524999999999999</v>
      </c>
      <c r="HU53" s="184">
        <v>1.0255000000000001</v>
      </c>
      <c r="HV53" s="184">
        <v>0.39069999999999999</v>
      </c>
      <c r="HW53" s="171">
        <f t="shared" si="19"/>
        <v>0.31885416666666666</v>
      </c>
      <c r="HX53" s="53">
        <f t="shared" si="69"/>
        <v>37.229299999999995</v>
      </c>
      <c r="HY53" s="183">
        <f t="shared" si="70"/>
        <v>2.8100000000000236E-2</v>
      </c>
      <c r="IA53" s="194"/>
      <c r="IB53" s="194">
        <v>43</v>
      </c>
      <c r="IC53" s="193">
        <v>9640</v>
      </c>
      <c r="ID53" s="161">
        <v>7.6646999999999998</v>
      </c>
      <c r="IE53" s="184">
        <v>1.0270999999999999</v>
      </c>
      <c r="IF53" s="184">
        <v>0.39129999999999998</v>
      </c>
      <c r="IG53" s="171">
        <f t="shared" si="71"/>
        <v>0.31936249999999999</v>
      </c>
      <c r="IH53" s="53">
        <f t="shared" si="72"/>
        <v>37.228699999999996</v>
      </c>
      <c r="II53" s="194">
        <f t="shared" si="73"/>
        <v>1.2199999999999989E-2</v>
      </c>
      <c r="IL53" s="199">
        <v>43</v>
      </c>
      <c r="IM53" s="197">
        <v>9640</v>
      </c>
      <c r="IN53" s="161">
        <v>7.7289000000000003</v>
      </c>
      <c r="IO53" s="184">
        <v>1.0357000000000001</v>
      </c>
      <c r="IP53" s="184">
        <v>0.39460000000000001</v>
      </c>
      <c r="IQ53" s="171">
        <f t="shared" si="74"/>
        <v>0.32203750000000003</v>
      </c>
      <c r="IR53" s="53">
        <f t="shared" si="75"/>
        <v>37.2254</v>
      </c>
      <c r="IS53" s="199">
        <f t="shared" si="76"/>
        <v>6.4200000000000479E-2</v>
      </c>
      <c r="IU53" s="202"/>
      <c r="IV53" s="202">
        <v>43</v>
      </c>
      <c r="IW53" s="201">
        <v>9640</v>
      </c>
      <c r="IX53" s="184">
        <v>7.8155000000000001</v>
      </c>
      <c r="IY53" s="184">
        <v>1.0472999999999999</v>
      </c>
      <c r="IZ53" s="184">
        <v>0.39900000000000002</v>
      </c>
      <c r="JA53" s="162">
        <f t="shared" si="22"/>
        <v>0.32564583333333336</v>
      </c>
      <c r="JB53" s="53">
        <f t="shared" si="77"/>
        <v>37.220999999999997</v>
      </c>
      <c r="JC53" s="202">
        <f t="shared" si="78"/>
        <v>8.6599999999999788E-2</v>
      </c>
      <c r="JE53" s="204"/>
      <c r="JF53" s="204">
        <v>43</v>
      </c>
      <c r="JG53" s="203">
        <v>9640</v>
      </c>
      <c r="JH53" s="161">
        <v>7.843</v>
      </c>
      <c r="JI53" s="184">
        <v>1.0509999999999999</v>
      </c>
      <c r="JJ53" s="184">
        <v>0.40039999999999998</v>
      </c>
      <c r="JK53" s="162">
        <f t="shared" si="79"/>
        <v>0.32679166666666665</v>
      </c>
      <c r="JL53" s="53">
        <f t="shared" si="80"/>
        <v>37.2196</v>
      </c>
      <c r="JM53" s="204">
        <f t="shared" si="117"/>
        <v>2.7499999999999858E-2</v>
      </c>
      <c r="JN53" s="204"/>
      <c r="JP53" s="209">
        <v>43</v>
      </c>
      <c r="JQ53" s="205">
        <v>9640</v>
      </c>
      <c r="JR53" s="161">
        <v>7.8651</v>
      </c>
      <c r="JS53" s="184">
        <v>1.054</v>
      </c>
      <c r="JT53" s="184">
        <v>0.40160000000000001</v>
      </c>
      <c r="JU53" s="162">
        <f t="shared" si="81"/>
        <v>0.32771250000000002</v>
      </c>
      <c r="JV53" s="53">
        <f t="shared" si="82"/>
        <v>37.218399999999995</v>
      </c>
      <c r="JW53" s="209">
        <f t="shared" si="118"/>
        <v>2.2100000000000009E-2</v>
      </c>
      <c r="JX53" s="213"/>
      <c r="JY53" s="213"/>
      <c r="JZ53" s="213">
        <v>43</v>
      </c>
      <c r="KA53" s="206">
        <v>9640</v>
      </c>
      <c r="KB53" s="184">
        <v>7.9169999999999998</v>
      </c>
      <c r="KC53" s="184">
        <v>1.0609</v>
      </c>
      <c r="KD53" s="184">
        <v>0.4042</v>
      </c>
      <c r="KE53" s="162">
        <f t="shared" si="83"/>
        <v>0.32987499999999997</v>
      </c>
      <c r="KF53" s="53">
        <f t="shared" si="84"/>
        <v>37.215799999999994</v>
      </c>
      <c r="KG53" s="213">
        <f t="shared" si="119"/>
        <v>5.1899999999999835E-2</v>
      </c>
      <c r="KI53" s="219"/>
      <c r="KJ53" s="219">
        <v>43</v>
      </c>
      <c r="KK53" s="214">
        <v>9640</v>
      </c>
      <c r="KL53" s="161">
        <v>7.9343000000000004</v>
      </c>
      <c r="KM53" s="161">
        <v>1.0631999999999999</v>
      </c>
      <c r="KN53" s="161">
        <v>0.40510000000000002</v>
      </c>
      <c r="KO53" s="162">
        <f t="shared" si="24"/>
        <v>0.33059583333333337</v>
      </c>
      <c r="KP53" s="53">
        <f t="shared" si="85"/>
        <v>37.2149</v>
      </c>
      <c r="KQ53" s="219">
        <f t="shared" si="120"/>
        <v>1.7300000000000537E-2</v>
      </c>
      <c r="KT53" s="223">
        <v>43</v>
      </c>
      <c r="KU53" s="216">
        <v>9640</v>
      </c>
      <c r="KV53" s="161">
        <v>7.9525000000000006</v>
      </c>
      <c r="KW53" s="161">
        <v>1.0657000000000001</v>
      </c>
      <c r="KX53" s="161">
        <v>0.40600000000000003</v>
      </c>
      <c r="KY53" s="162">
        <f t="shared" si="86"/>
        <v>0.33135416666666667</v>
      </c>
      <c r="KZ53" s="53">
        <f t="shared" si="87"/>
        <v>37.213999999999999</v>
      </c>
      <c r="LA53" s="223">
        <f t="shared" si="121"/>
        <v>1.8200000000000216E-2</v>
      </c>
      <c r="LD53" s="228">
        <v>43</v>
      </c>
      <c r="LE53" s="221">
        <v>9640</v>
      </c>
      <c r="LF53" s="161">
        <v>7.9678000000000004</v>
      </c>
      <c r="LG53" s="161">
        <v>1.0677000000000001</v>
      </c>
      <c r="LH53" s="161">
        <v>0.40679999999999999</v>
      </c>
      <c r="LI53" s="162">
        <f t="shared" si="88"/>
        <v>0.33199166666666668</v>
      </c>
      <c r="LJ53" s="53">
        <f t="shared" si="89"/>
        <v>37.213200000000001</v>
      </c>
      <c r="LK53" s="228">
        <f t="shared" si="122"/>
        <v>1.5299999999999869E-2</v>
      </c>
      <c r="LL53" s="231"/>
      <c r="LM53" s="231"/>
      <c r="LN53" s="231">
        <v>43</v>
      </c>
      <c r="LO53" s="226">
        <v>9640</v>
      </c>
      <c r="LP53" s="184">
        <v>7.9892000000000003</v>
      </c>
      <c r="LQ53" s="184">
        <v>1.0706</v>
      </c>
      <c r="LR53" s="184">
        <v>0.40789999999999998</v>
      </c>
      <c r="LS53" s="162">
        <f t="shared" si="90"/>
        <v>0.33288333333333336</v>
      </c>
      <c r="LT53" s="53">
        <f t="shared" si="91"/>
        <v>37.2121</v>
      </c>
      <c r="LU53" s="231">
        <f t="shared" si="123"/>
        <v>2.1399999999999864E-2</v>
      </c>
      <c r="LW53" s="231"/>
      <c r="LX53" s="231">
        <v>43</v>
      </c>
      <c r="LY53" s="234">
        <v>9640</v>
      </c>
      <c r="LZ53" s="184">
        <v>8.0131999999999994</v>
      </c>
      <c r="MA53" s="184">
        <v>1.0738000000000001</v>
      </c>
      <c r="MB53" s="184">
        <v>0.40910000000000002</v>
      </c>
      <c r="MC53" s="162">
        <f t="shared" si="92"/>
        <v>0.33388333333333331</v>
      </c>
      <c r="MD53" s="53">
        <f t="shared" si="93"/>
        <v>37.210899999999995</v>
      </c>
      <c r="ME53" s="231">
        <f t="shared" si="124"/>
        <v>2.3999999999999133E-2</v>
      </c>
      <c r="MF53" s="231"/>
      <c r="MG53" s="231"/>
      <c r="MH53" s="231">
        <v>43</v>
      </c>
      <c r="MI53" s="236">
        <v>9640</v>
      </c>
      <c r="MJ53" s="184">
        <v>8.0368999999999993</v>
      </c>
      <c r="MK53" s="184">
        <v>1.077</v>
      </c>
      <c r="ML53" s="184">
        <v>0.4103</v>
      </c>
      <c r="MM53" s="162">
        <f t="shared" si="94"/>
        <v>0.33487083333333328</v>
      </c>
      <c r="MN53" s="53">
        <f t="shared" si="95"/>
        <v>37.209699999999998</v>
      </c>
      <c r="MO53" s="231">
        <f t="shared" si="125"/>
        <v>2.3699999999999832E-2</v>
      </c>
      <c r="MP53" s="231"/>
      <c r="MQ53" s="231"/>
      <c r="MR53" s="231">
        <v>43</v>
      </c>
      <c r="MS53" s="34">
        <v>9640</v>
      </c>
      <c r="MT53" s="184">
        <v>8.0821000000000005</v>
      </c>
      <c r="MU53" s="184">
        <v>1.083</v>
      </c>
      <c r="MV53" s="184">
        <v>0.41260000000000002</v>
      </c>
      <c r="MW53" s="162">
        <f t="shared" si="96"/>
        <v>0.33675416666666669</v>
      </c>
      <c r="MX53" s="53">
        <f t="shared" si="97"/>
        <v>37.2074</v>
      </c>
      <c r="MY53" s="231">
        <f t="shared" si="126"/>
        <v>4.5200000000001239E-2</v>
      </c>
      <c r="MZ53" s="246"/>
      <c r="NA53" s="246"/>
      <c r="NB53" s="246">
        <v>43</v>
      </c>
      <c r="NC53" s="34">
        <v>9640</v>
      </c>
      <c r="ND53" s="184">
        <v>8.1282999999999994</v>
      </c>
      <c r="NE53" s="184">
        <v>1.0891999999999999</v>
      </c>
      <c r="NF53" s="184">
        <v>0.41499999999999998</v>
      </c>
      <c r="NG53" s="162">
        <f t="shared" si="98"/>
        <v>0.33867916666666664</v>
      </c>
      <c r="NH53" s="53">
        <f t="shared" si="99"/>
        <v>37.204999999999998</v>
      </c>
      <c r="NI53" s="232">
        <f t="shared" si="127"/>
        <v>4.6199999999998909E-2</v>
      </c>
      <c r="NK53" s="250"/>
      <c r="NL53" s="250">
        <v>43</v>
      </c>
      <c r="NM53" s="34">
        <v>9640</v>
      </c>
      <c r="NN53" s="184">
        <v>8.1418999999999997</v>
      </c>
      <c r="NO53" s="184">
        <v>1.091</v>
      </c>
      <c r="NP53" s="184">
        <v>0.41570000000000001</v>
      </c>
      <c r="NQ53" s="162">
        <f t="shared" si="133"/>
        <v>0.3392458333333333</v>
      </c>
      <c r="NR53" s="53">
        <f t="shared" si="101"/>
        <v>37.204299999999996</v>
      </c>
      <c r="NS53" s="232">
        <f t="shared" si="128"/>
        <v>1.3600000000000279E-2</v>
      </c>
      <c r="NU53" s="250"/>
      <c r="NV53" s="250">
        <v>43</v>
      </c>
      <c r="NW53" s="34">
        <v>9640</v>
      </c>
      <c r="NX53" s="184">
        <v>8.1635000000000009</v>
      </c>
      <c r="NY53" s="184">
        <v>1.0939000000000001</v>
      </c>
      <c r="NZ53" s="184">
        <v>0.4168</v>
      </c>
      <c r="OA53" s="162">
        <f t="shared" si="134"/>
        <v>0.34014583333333337</v>
      </c>
      <c r="OB53" s="53">
        <f t="shared" si="103"/>
        <v>37.203199999999995</v>
      </c>
      <c r="OC53" s="232">
        <f t="shared" si="129"/>
        <v>2.1600000000001174E-2</v>
      </c>
      <c r="OE53" s="250"/>
      <c r="OF53" s="250">
        <v>43</v>
      </c>
      <c r="OG53" s="34">
        <v>9640</v>
      </c>
      <c r="OH53" s="184">
        <v>8.1743000000000006</v>
      </c>
      <c r="OI53" s="184">
        <v>1.0953999999999999</v>
      </c>
      <c r="OJ53" s="184">
        <v>0.4173</v>
      </c>
      <c r="OK53" s="162">
        <f t="shared" si="135"/>
        <v>0.34059583333333338</v>
      </c>
      <c r="OL53" s="53">
        <f t="shared" si="105"/>
        <v>37.2027</v>
      </c>
      <c r="OM53" s="232">
        <f t="shared" si="130"/>
        <v>1.0799999999999699E-2</v>
      </c>
      <c r="OP53" s="250">
        <v>43</v>
      </c>
      <c r="OQ53" s="34">
        <v>9640</v>
      </c>
      <c r="OR53" s="184">
        <f>VLOOKUP(OQ53,Sheet4!A14:F90,3,0)</f>
        <v>8.1990999999999996</v>
      </c>
      <c r="OS53" s="184">
        <f>VLOOKUP(OQ53,Sheet4!A14:F90,4,0)</f>
        <v>1.0987</v>
      </c>
      <c r="OT53" s="184">
        <f>VLOOKUP(OQ53,Sheet4!A14:F90,5,0)</f>
        <v>0.41860000000000003</v>
      </c>
      <c r="OU53" s="162">
        <f t="shared" si="106"/>
        <v>0.34162916666666665</v>
      </c>
      <c r="OV53" s="53">
        <f t="shared" si="107"/>
        <v>37.2014</v>
      </c>
      <c r="OW53" s="232">
        <f t="shared" si="131"/>
        <v>2.4799999999999045E-2</v>
      </c>
    </row>
    <row r="54" spans="1:413" ht="15.75" x14ac:dyDescent="0.25">
      <c r="A54">
        <v>46</v>
      </c>
      <c r="B54" s="1">
        <v>9871</v>
      </c>
      <c r="C54" s="1" t="s">
        <v>1</v>
      </c>
      <c r="D54" s="2">
        <v>37.68</v>
      </c>
      <c r="E54" s="8"/>
      <c r="F54" s="8"/>
      <c r="G54" s="8"/>
      <c r="H54" s="8"/>
      <c r="J54" s="15">
        <v>9871</v>
      </c>
      <c r="K54" s="15">
        <v>7.08</v>
      </c>
      <c r="L54" s="15">
        <v>0.94869999999999999</v>
      </c>
      <c r="M54" s="15">
        <v>0.36149999999999999</v>
      </c>
      <c r="N54" s="24">
        <f t="shared" si="42"/>
        <v>0.29499999999999998</v>
      </c>
      <c r="O54" s="10">
        <f t="shared" si="139"/>
        <v>37.3185</v>
      </c>
      <c r="P54" s="18"/>
      <c r="R54" s="20">
        <v>9871</v>
      </c>
      <c r="S54" s="9">
        <v>7.1349</v>
      </c>
      <c r="T54" s="9">
        <v>0.95609999999999995</v>
      </c>
      <c r="U54" s="9">
        <v>0.36430000000000001</v>
      </c>
      <c r="V54" s="24">
        <f t="shared" si="43"/>
        <v>0.29728749999999998</v>
      </c>
      <c r="W54" s="10">
        <f t="shared" si="140"/>
        <v>37.3157</v>
      </c>
      <c r="X54" s="18"/>
      <c r="Z54" s="27">
        <v>9871</v>
      </c>
      <c r="AA54" s="9">
        <v>7.2698</v>
      </c>
      <c r="AB54" s="9">
        <v>0.97419999999999995</v>
      </c>
      <c r="AC54" s="9">
        <v>0.37119999999999997</v>
      </c>
      <c r="AD54" s="24">
        <f t="shared" si="45"/>
        <v>0.30290833333333333</v>
      </c>
      <c r="AE54" s="10">
        <f t="shared" si="46"/>
        <v>37.308799999999998</v>
      </c>
      <c r="AF54" s="79"/>
      <c r="AG54">
        <v>46</v>
      </c>
      <c r="AH54" s="1">
        <v>9871</v>
      </c>
      <c r="AI54" s="1" t="s">
        <v>1</v>
      </c>
      <c r="AJ54" s="2">
        <v>37.68</v>
      </c>
      <c r="AL54" s="35">
        <v>9871</v>
      </c>
      <c r="AM54" s="36">
        <v>7.4172000000000002</v>
      </c>
      <c r="AN54" s="36">
        <v>0.99390000000000001</v>
      </c>
      <c r="AO54" s="36">
        <v>0.37869999999999998</v>
      </c>
      <c r="AP54" s="37">
        <f t="shared" si="0"/>
        <v>0.30904999999999999</v>
      </c>
      <c r="AQ54" s="53">
        <f t="shared" si="108"/>
        <v>37.301299999999998</v>
      </c>
      <c r="AT54" s="39"/>
      <c r="AU54" s="35">
        <v>9871</v>
      </c>
      <c r="AV54" s="9">
        <v>7.4798999999999998</v>
      </c>
      <c r="AW54" s="43">
        <v>1.0023</v>
      </c>
      <c r="AX54" s="43">
        <v>0.38190000000000002</v>
      </c>
      <c r="AY54" s="47">
        <f t="shared" si="47"/>
        <v>0.31166250000000001</v>
      </c>
      <c r="AZ54" s="56">
        <f t="shared" si="109"/>
        <v>37.298099999999998</v>
      </c>
      <c r="BD54" s="35">
        <v>9871</v>
      </c>
      <c r="BE54" s="53">
        <v>7.4870000000000001</v>
      </c>
      <c r="BF54" s="58">
        <v>1.0033000000000001</v>
      </c>
      <c r="BG54" s="58">
        <v>0.38229999999999997</v>
      </c>
      <c r="BH54" s="47">
        <f t="shared" si="48"/>
        <v>0.31195833333333334</v>
      </c>
      <c r="BI54" s="56">
        <f t="shared" si="49"/>
        <v>37.297699999999999</v>
      </c>
      <c r="BJ54" s="88"/>
      <c r="BK54" s="88"/>
      <c r="BL54" s="88"/>
      <c r="BN54" s="9">
        <v>9871</v>
      </c>
      <c r="BO54" s="53">
        <v>7.5134999999999996</v>
      </c>
      <c r="BP54" s="53">
        <v>1.0067999999999999</v>
      </c>
      <c r="BQ54" s="53">
        <v>0.3836</v>
      </c>
      <c r="BR54" s="53">
        <f t="shared" si="50"/>
        <v>0.31306249999999997</v>
      </c>
      <c r="BS54" s="53">
        <f t="shared" si="51"/>
        <v>37.296399999999998</v>
      </c>
      <c r="BV54" s="88"/>
      <c r="BX54" s="93">
        <v>9871</v>
      </c>
      <c r="BY54" s="9">
        <v>7.5655999999999999</v>
      </c>
      <c r="BZ54" s="9">
        <v>1.0138</v>
      </c>
      <c r="CA54" s="9">
        <v>0.38629999999999998</v>
      </c>
      <c r="CB54" s="58">
        <f t="shared" si="52"/>
        <v>0.31523333333333331</v>
      </c>
      <c r="CC54" s="53">
        <f t="shared" si="110"/>
        <v>37.293700000000001</v>
      </c>
      <c r="CF54" s="88"/>
      <c r="CG54">
        <v>44</v>
      </c>
      <c r="CH54" s="93">
        <v>9871</v>
      </c>
      <c r="CI54" s="93">
        <v>7.6104000000000003</v>
      </c>
      <c r="CJ54" s="9">
        <v>1.0198</v>
      </c>
      <c r="CK54" s="9">
        <v>0.3886</v>
      </c>
      <c r="CL54" s="47">
        <f t="shared" si="5"/>
        <v>0.31709999999999999</v>
      </c>
      <c r="CM54" s="53">
        <f t="shared" si="53"/>
        <v>37.291400000000003</v>
      </c>
      <c r="CQ54">
        <v>44</v>
      </c>
      <c r="CR54" s="98">
        <v>9871</v>
      </c>
      <c r="CS54" s="101">
        <v>7.6666999999999996</v>
      </c>
      <c r="CT54" s="101">
        <v>1.0274000000000001</v>
      </c>
      <c r="CU54" s="101">
        <v>0.39140000000000003</v>
      </c>
      <c r="CV54" s="47">
        <f t="shared" si="6"/>
        <v>0.31944583333333332</v>
      </c>
      <c r="CW54" s="53">
        <f t="shared" si="141"/>
        <v>37.288600000000002</v>
      </c>
      <c r="DA54">
        <v>44</v>
      </c>
      <c r="DB54" s="106">
        <v>9871</v>
      </c>
      <c r="DC54" s="107">
        <v>7.6722000000000001</v>
      </c>
      <c r="DD54" s="107">
        <v>1.0281</v>
      </c>
      <c r="DE54" s="107">
        <v>0.39169999999999999</v>
      </c>
      <c r="DF54" s="47">
        <f t="shared" si="136"/>
        <v>0.31967499999999999</v>
      </c>
      <c r="DG54" s="53">
        <f t="shared" si="111"/>
        <v>37.2883</v>
      </c>
      <c r="DK54">
        <v>44</v>
      </c>
      <c r="DL54" s="110">
        <v>9871</v>
      </c>
      <c r="DM54" s="53">
        <v>7.7365000000000004</v>
      </c>
      <c r="DN54" s="53">
        <v>1.0367</v>
      </c>
      <c r="DO54" s="53">
        <v>0.39500000000000002</v>
      </c>
      <c r="DP54" s="47">
        <f t="shared" si="137"/>
        <v>0.32235416666666666</v>
      </c>
      <c r="DQ54" s="53">
        <f t="shared" si="54"/>
        <v>37.284999999999997</v>
      </c>
      <c r="DS54" s="3">
        <f t="shared" si="55"/>
        <v>6.4300000000000246E-2</v>
      </c>
      <c r="DU54">
        <v>44</v>
      </c>
      <c r="DV54" s="115">
        <v>9871</v>
      </c>
      <c r="DW54" s="53">
        <f>Sheet3!B$42</f>
        <v>7.7766000000000002</v>
      </c>
      <c r="DX54" s="53">
        <f>Sheet3!C$42</f>
        <v>1.0421</v>
      </c>
      <c r="DY54" s="53">
        <f>Sheet3!D$42</f>
        <v>0.39700000000000002</v>
      </c>
      <c r="DZ54" s="47">
        <f t="shared" si="138"/>
        <v>0.32402500000000001</v>
      </c>
      <c r="EA54" s="53">
        <f t="shared" si="112"/>
        <v>37.283000000000001</v>
      </c>
      <c r="EB54" s="3"/>
      <c r="EE54">
        <v>44</v>
      </c>
      <c r="EF54" s="118">
        <v>9871</v>
      </c>
      <c r="EG54" s="9">
        <v>7.8391999999999999</v>
      </c>
      <c r="EH54" s="9">
        <v>1.0505</v>
      </c>
      <c r="EI54" s="9">
        <v>0.4002</v>
      </c>
      <c r="EJ54" s="47">
        <f t="shared" si="10"/>
        <v>0.32663333333333333</v>
      </c>
      <c r="EK54" s="53">
        <f t="shared" si="56"/>
        <v>37.279800000000002</v>
      </c>
      <c r="EM54" s="3">
        <f t="shared" si="57"/>
        <v>-3.1999999999996476E-3</v>
      </c>
      <c r="EN54" s="3"/>
      <c r="EO54">
        <v>44</v>
      </c>
      <c r="EP54" s="121">
        <v>9871</v>
      </c>
      <c r="EQ54" s="122">
        <v>7.9635999999999996</v>
      </c>
      <c r="ER54" s="122">
        <v>1.0671999999999999</v>
      </c>
      <c r="ES54" s="129">
        <v>0.40660000000000002</v>
      </c>
      <c r="ET54" s="130">
        <f t="shared" si="11"/>
        <v>0.33181666666666665</v>
      </c>
      <c r="EU54" s="131">
        <f t="shared" si="58"/>
        <v>37.273400000000002</v>
      </c>
      <c r="EX54" s="3"/>
      <c r="EY54">
        <v>44</v>
      </c>
      <c r="EZ54" s="135">
        <v>9871</v>
      </c>
      <c r="FA54" s="135">
        <v>8.0222999999999995</v>
      </c>
      <c r="FB54" s="135">
        <v>1.075</v>
      </c>
      <c r="FC54" s="135">
        <v>0.40960000000000002</v>
      </c>
      <c r="FD54" s="136">
        <f t="shared" si="12"/>
        <v>0.33426249999999996</v>
      </c>
      <c r="FE54" s="131">
        <f t="shared" si="59"/>
        <v>37.270400000000002</v>
      </c>
      <c r="FG54" s="123">
        <f t="shared" si="60"/>
        <v>-3.0000000000001137E-3</v>
      </c>
      <c r="FH54" s="3"/>
      <c r="FI54">
        <v>44</v>
      </c>
      <c r="FJ54" s="145">
        <v>9871</v>
      </c>
      <c r="FK54" s="9">
        <v>8.1005000000000003</v>
      </c>
      <c r="FL54" s="9">
        <v>1.0854999999999999</v>
      </c>
      <c r="FM54" s="9">
        <v>0.41360000000000002</v>
      </c>
      <c r="FN54" s="146">
        <f t="shared" si="113"/>
        <v>0.33752083333333333</v>
      </c>
      <c r="FO54" s="131">
        <f t="shared" si="61"/>
        <v>37.266399999999997</v>
      </c>
      <c r="FP54" s="123">
        <f t="shared" si="62"/>
        <v>-4.0000000000048885E-3</v>
      </c>
      <c r="FS54">
        <v>44</v>
      </c>
      <c r="FT54" s="147">
        <v>9871</v>
      </c>
      <c r="FU54" s="148">
        <v>8.1166</v>
      </c>
      <c r="FV54" s="148">
        <v>1.0876999999999999</v>
      </c>
      <c r="FW54" s="148">
        <v>0.41439999999999999</v>
      </c>
      <c r="FX54" s="150">
        <f t="shared" si="114"/>
        <v>0.33819166666666667</v>
      </c>
      <c r="FY54" s="131">
        <f t="shared" si="115"/>
        <v>37.265599999999999</v>
      </c>
      <c r="FZ54">
        <f t="shared" si="63"/>
        <v>1.6099999999999781E-2</v>
      </c>
      <c r="GC54">
        <v>44</v>
      </c>
      <c r="GD54" s="151">
        <v>9871</v>
      </c>
      <c r="GE54" s="151">
        <v>8.1563999999999997</v>
      </c>
      <c r="GF54" s="151">
        <v>1.093</v>
      </c>
      <c r="GG54" s="151">
        <v>0.41639999999999999</v>
      </c>
      <c r="GH54" s="153">
        <f t="shared" si="132"/>
        <v>0.33984999999999999</v>
      </c>
      <c r="GI54" s="131">
        <f t="shared" si="64"/>
        <v>37.263599999999997</v>
      </c>
      <c r="GJ54">
        <f t="shared" si="142"/>
        <v>3.9799999999999613E-2</v>
      </c>
      <c r="GM54">
        <v>44</v>
      </c>
      <c r="GN54" s="155">
        <v>9871</v>
      </c>
      <c r="GO54" s="155">
        <v>8.2407000000000004</v>
      </c>
      <c r="GP54" s="155">
        <v>1.1043000000000001</v>
      </c>
      <c r="GQ54" s="155">
        <v>0.42070000000000002</v>
      </c>
      <c r="GR54" s="58">
        <f t="shared" si="65"/>
        <v>0.34336250000000001</v>
      </c>
      <c r="GS54" s="131">
        <f t="shared" si="66"/>
        <v>37.259300000000003</v>
      </c>
      <c r="GT54">
        <f t="shared" si="143"/>
        <v>8.4300000000000708E-2</v>
      </c>
      <c r="GW54">
        <v>44</v>
      </c>
      <c r="GX54" s="157">
        <v>9871</v>
      </c>
      <c r="GY54" s="161">
        <f>VLOOKUP(GX54,Sheet3!$AJ$7:$AN$83,2,0)</f>
        <v>8.3476999999999997</v>
      </c>
      <c r="GZ54" s="161">
        <f>VLOOKUP(GX54,Sheet3!$AJ$7:$AN$83,3,0)</f>
        <v>1.1186</v>
      </c>
      <c r="HA54" s="161">
        <f>VLOOKUP(GX54,Sheet3!$AJ$7:$AN$83,4,0)</f>
        <v>0.42620000000000002</v>
      </c>
      <c r="HB54" s="162">
        <f t="shared" si="17"/>
        <v>0.3478208333333333</v>
      </c>
      <c r="HC54" s="131">
        <f t="shared" si="116"/>
        <v>37.253799999999998</v>
      </c>
      <c r="HD54" s="159">
        <f t="shared" si="144"/>
        <v>0.10699999999999932</v>
      </c>
      <c r="HE54" s="159">
        <f t="shared" si="145"/>
        <v>5.5000000000000049E-3</v>
      </c>
      <c r="HG54" s="159"/>
      <c r="HH54" s="159">
        <v>44</v>
      </c>
      <c r="HI54" s="158">
        <v>9871</v>
      </c>
      <c r="HJ54" s="161">
        <v>8.3909000000000002</v>
      </c>
      <c r="HK54" s="161">
        <v>1.1244000000000001</v>
      </c>
      <c r="HL54" s="161">
        <v>0.4284</v>
      </c>
      <c r="HM54" s="162">
        <f t="shared" si="18"/>
        <v>0.34962083333333333</v>
      </c>
      <c r="HN54" s="131">
        <f t="shared" si="67"/>
        <v>37.251599999999996</v>
      </c>
      <c r="HO54" s="159">
        <f t="shared" si="68"/>
        <v>4.3200000000000571E-2</v>
      </c>
      <c r="HQ54" s="183"/>
      <c r="HR54" s="183">
        <v>44</v>
      </c>
      <c r="HS54" s="178">
        <v>9871</v>
      </c>
      <c r="HT54" s="184">
        <v>8.4190000000000005</v>
      </c>
      <c r="HU54" s="184">
        <v>1.1282000000000001</v>
      </c>
      <c r="HV54" s="184">
        <v>0.42980000000000002</v>
      </c>
      <c r="HW54" s="171">
        <f t="shared" si="19"/>
        <v>0.35079166666666667</v>
      </c>
      <c r="HX54" s="53">
        <f t="shared" si="69"/>
        <v>37.2502</v>
      </c>
      <c r="HY54" s="183">
        <f t="shared" si="70"/>
        <v>2.8100000000000236E-2</v>
      </c>
      <c r="IA54" s="194"/>
      <c r="IB54" s="194">
        <v>44</v>
      </c>
      <c r="IC54" s="193">
        <v>9871</v>
      </c>
      <c r="ID54" s="161">
        <v>8.4312000000000005</v>
      </c>
      <c r="IE54" s="184">
        <v>1.1297999999999999</v>
      </c>
      <c r="IF54" s="184">
        <v>0.43049999999999999</v>
      </c>
      <c r="IG54" s="171">
        <f t="shared" si="71"/>
        <v>0.3513</v>
      </c>
      <c r="IH54" s="53">
        <f t="shared" si="72"/>
        <v>37.249499999999998</v>
      </c>
      <c r="II54" s="194">
        <f t="shared" si="73"/>
        <v>1.2199999999999989E-2</v>
      </c>
      <c r="IL54" s="199">
        <v>44</v>
      </c>
      <c r="IM54" s="197">
        <v>9871</v>
      </c>
      <c r="IN54" s="161">
        <v>8.4954000000000001</v>
      </c>
      <c r="IO54" s="184">
        <v>1.1384000000000001</v>
      </c>
      <c r="IP54" s="184">
        <v>0.43369999999999997</v>
      </c>
      <c r="IQ54" s="171">
        <f t="shared" si="74"/>
        <v>0.35397499999999998</v>
      </c>
      <c r="IR54" s="53">
        <f t="shared" si="75"/>
        <v>37.246299999999998</v>
      </c>
      <c r="IS54" s="199">
        <f t="shared" si="76"/>
        <v>6.4199999999999591E-2</v>
      </c>
      <c r="IU54" s="202"/>
      <c r="IV54" s="202">
        <v>44</v>
      </c>
      <c r="IW54" s="201">
        <v>9871</v>
      </c>
      <c r="IX54" s="184">
        <v>8.5820000000000007</v>
      </c>
      <c r="IY54" s="184">
        <v>1.1499999999999999</v>
      </c>
      <c r="IZ54" s="184">
        <v>0.43819999999999998</v>
      </c>
      <c r="JA54" s="162">
        <f t="shared" si="22"/>
        <v>0.35758333333333336</v>
      </c>
      <c r="JB54" s="53">
        <f t="shared" si="77"/>
        <v>37.241799999999998</v>
      </c>
      <c r="JC54" s="202">
        <f t="shared" si="78"/>
        <v>8.6600000000000676E-2</v>
      </c>
      <c r="JE54" s="204"/>
      <c r="JF54" s="204">
        <v>44</v>
      </c>
      <c r="JG54" s="203">
        <v>9871</v>
      </c>
      <c r="JH54" s="161">
        <v>8.6095000000000006</v>
      </c>
      <c r="JI54" s="184">
        <v>1.1536999999999999</v>
      </c>
      <c r="JJ54" s="184">
        <v>0.43959999999999999</v>
      </c>
      <c r="JK54" s="162">
        <f t="shared" si="79"/>
        <v>0.35872916666666671</v>
      </c>
      <c r="JL54" s="53">
        <f t="shared" si="80"/>
        <v>37.240400000000001</v>
      </c>
      <c r="JM54" s="204">
        <f t="shared" si="117"/>
        <v>2.7499999999999858E-2</v>
      </c>
      <c r="JN54" s="204"/>
      <c r="JP54" s="209">
        <v>44</v>
      </c>
      <c r="JQ54" s="205">
        <v>9871</v>
      </c>
      <c r="JR54" s="161">
        <v>8.6316000000000006</v>
      </c>
      <c r="JS54" s="184">
        <v>1.1567000000000001</v>
      </c>
      <c r="JT54" s="184">
        <v>0.44069999999999998</v>
      </c>
      <c r="JU54" s="162">
        <f t="shared" si="81"/>
        <v>0.35965000000000003</v>
      </c>
      <c r="JV54" s="53">
        <f t="shared" si="82"/>
        <v>37.2393</v>
      </c>
      <c r="JW54" s="209">
        <f t="shared" si="118"/>
        <v>2.2100000000000009E-2</v>
      </c>
      <c r="JX54" s="213"/>
      <c r="JY54" s="213"/>
      <c r="JZ54" s="213">
        <v>44</v>
      </c>
      <c r="KA54" s="206">
        <v>9871</v>
      </c>
      <c r="KB54" s="184">
        <v>8.6835000000000004</v>
      </c>
      <c r="KC54" s="184">
        <v>1.1636</v>
      </c>
      <c r="KD54" s="184">
        <v>0.44330000000000003</v>
      </c>
      <c r="KE54" s="162">
        <f t="shared" si="83"/>
        <v>0.36181250000000004</v>
      </c>
      <c r="KF54" s="53">
        <f t="shared" si="84"/>
        <v>37.236699999999999</v>
      </c>
      <c r="KG54" s="213">
        <f t="shared" si="119"/>
        <v>5.1899999999999835E-2</v>
      </c>
      <c r="KI54" s="219"/>
      <c r="KJ54" s="219">
        <v>44</v>
      </c>
      <c r="KK54" s="214">
        <v>9871</v>
      </c>
      <c r="KL54" s="161">
        <v>8.7007999999999992</v>
      </c>
      <c r="KM54" s="161">
        <v>1.1658999999999999</v>
      </c>
      <c r="KN54" s="161">
        <v>0.44419999999999998</v>
      </c>
      <c r="KO54" s="162">
        <f t="shared" si="24"/>
        <v>0.36253333333333332</v>
      </c>
      <c r="KP54" s="53">
        <f t="shared" si="85"/>
        <v>37.235799999999998</v>
      </c>
      <c r="KQ54" s="219">
        <f t="shared" si="120"/>
        <v>1.7299999999998761E-2</v>
      </c>
      <c r="KT54" s="223">
        <v>44</v>
      </c>
      <c r="KU54" s="216">
        <v>9871</v>
      </c>
      <c r="KV54" s="161">
        <v>8.7189999999999994</v>
      </c>
      <c r="KW54" s="161">
        <v>1.1683999999999999</v>
      </c>
      <c r="KX54" s="161">
        <v>0.44519999999999998</v>
      </c>
      <c r="KY54" s="162">
        <f t="shared" si="86"/>
        <v>0.36329166666666662</v>
      </c>
      <c r="KZ54" s="53">
        <f t="shared" si="87"/>
        <v>37.2348</v>
      </c>
      <c r="LA54" s="223">
        <f t="shared" si="121"/>
        <v>1.8200000000000216E-2</v>
      </c>
      <c r="LD54" s="228">
        <v>44</v>
      </c>
      <c r="LE54" s="221">
        <v>9871</v>
      </c>
      <c r="LF54" s="161">
        <v>8.7342999999999993</v>
      </c>
      <c r="LG54" s="161">
        <v>1.1704000000000001</v>
      </c>
      <c r="LH54" s="161">
        <v>0.44590000000000002</v>
      </c>
      <c r="LI54" s="162">
        <f t="shared" si="88"/>
        <v>0.36392916666666664</v>
      </c>
      <c r="LJ54" s="53">
        <f t="shared" si="89"/>
        <v>37.234099999999998</v>
      </c>
      <c r="LK54" s="228">
        <f t="shared" si="122"/>
        <v>1.5299999999999869E-2</v>
      </c>
      <c r="LL54" s="231"/>
      <c r="LM54" s="231"/>
      <c r="LN54" s="231">
        <v>44</v>
      </c>
      <c r="LO54" s="226">
        <v>9871</v>
      </c>
      <c r="LP54" s="184">
        <v>8.7556999999999992</v>
      </c>
      <c r="LQ54" s="184">
        <v>1.1733</v>
      </c>
      <c r="LR54" s="184">
        <v>0.44700000000000001</v>
      </c>
      <c r="LS54" s="162">
        <f t="shared" si="90"/>
        <v>0.36482083333333332</v>
      </c>
      <c r="LT54" s="53">
        <f t="shared" si="91"/>
        <v>37.232999999999997</v>
      </c>
      <c r="LU54" s="231">
        <f t="shared" si="123"/>
        <v>2.1399999999999864E-2</v>
      </c>
      <c r="LW54" s="231"/>
      <c r="LX54" s="231">
        <v>44</v>
      </c>
      <c r="LY54" s="234">
        <v>9871</v>
      </c>
      <c r="LZ54" s="184">
        <v>8.7797000000000001</v>
      </c>
      <c r="MA54" s="184">
        <v>1.1765000000000001</v>
      </c>
      <c r="MB54" s="184">
        <v>0.44829999999999998</v>
      </c>
      <c r="MC54" s="162">
        <f t="shared" si="92"/>
        <v>0.36582083333333332</v>
      </c>
      <c r="MD54" s="53">
        <f t="shared" si="93"/>
        <v>37.231699999999996</v>
      </c>
      <c r="ME54" s="231">
        <f t="shared" si="124"/>
        <v>2.4000000000000909E-2</v>
      </c>
      <c r="MF54" s="231"/>
      <c r="MG54" s="231"/>
      <c r="MH54" s="231">
        <v>44</v>
      </c>
      <c r="MI54" s="236">
        <v>9871</v>
      </c>
      <c r="MJ54" s="184">
        <v>8.8033999999999999</v>
      </c>
      <c r="MK54" s="184">
        <v>1.1797</v>
      </c>
      <c r="ML54" s="184">
        <v>0.44950000000000001</v>
      </c>
      <c r="MM54" s="162">
        <f t="shared" si="94"/>
        <v>0.36680833333333335</v>
      </c>
      <c r="MN54" s="53">
        <f t="shared" si="95"/>
        <v>37.230499999999999</v>
      </c>
      <c r="MO54" s="231">
        <f t="shared" si="125"/>
        <v>2.3699999999999832E-2</v>
      </c>
      <c r="MP54" s="231"/>
      <c r="MQ54" s="231"/>
      <c r="MR54" s="231">
        <v>44</v>
      </c>
      <c r="MS54" s="34">
        <v>9871</v>
      </c>
      <c r="MT54" s="184">
        <v>8.8485999999999994</v>
      </c>
      <c r="MU54" s="184">
        <v>1.1857</v>
      </c>
      <c r="MV54" s="184">
        <v>0.45179999999999998</v>
      </c>
      <c r="MW54" s="162">
        <f t="shared" si="96"/>
        <v>0.36869166666666664</v>
      </c>
      <c r="MX54" s="53">
        <f t="shared" si="97"/>
        <v>37.228200000000001</v>
      </c>
      <c r="MY54" s="231">
        <f t="shared" si="126"/>
        <v>4.5199999999999463E-2</v>
      </c>
      <c r="MZ54" s="246"/>
      <c r="NA54" s="246"/>
      <c r="NB54" s="246">
        <v>44</v>
      </c>
      <c r="NC54" s="34">
        <v>9871</v>
      </c>
      <c r="ND54" s="184">
        <v>8.8948</v>
      </c>
      <c r="NE54" s="184">
        <v>1.1919</v>
      </c>
      <c r="NF54" s="184">
        <v>0.4541</v>
      </c>
      <c r="NG54" s="162">
        <f t="shared" si="98"/>
        <v>0.37061666666666665</v>
      </c>
      <c r="NH54" s="53">
        <f t="shared" si="99"/>
        <v>37.225900000000003</v>
      </c>
      <c r="NI54" s="232">
        <f t="shared" si="127"/>
        <v>4.6200000000000685E-2</v>
      </c>
      <c r="NK54" s="250"/>
      <c r="NL54" s="250">
        <v>44</v>
      </c>
      <c r="NM54" s="34">
        <v>9871</v>
      </c>
      <c r="NN54" s="184">
        <v>8.9084000000000003</v>
      </c>
      <c r="NO54" s="184">
        <v>1.1938</v>
      </c>
      <c r="NP54" s="184">
        <v>0.45479999999999998</v>
      </c>
      <c r="NQ54" s="162">
        <f t="shared" si="133"/>
        <v>0.37118333333333337</v>
      </c>
      <c r="NR54" s="53">
        <f t="shared" si="101"/>
        <v>37.225200000000001</v>
      </c>
      <c r="NS54" s="232">
        <f t="shared" si="128"/>
        <v>1.3600000000000279E-2</v>
      </c>
      <c r="NU54" s="250"/>
      <c r="NV54" s="250">
        <v>44</v>
      </c>
      <c r="NW54" s="34">
        <v>9871</v>
      </c>
      <c r="NX54" s="184">
        <v>8.93</v>
      </c>
      <c r="NY54" s="184">
        <v>1.1967000000000001</v>
      </c>
      <c r="NZ54" s="184">
        <v>0.45590000000000003</v>
      </c>
      <c r="OA54" s="162">
        <f t="shared" si="134"/>
        <v>0.37208333333333332</v>
      </c>
      <c r="OB54" s="53">
        <f t="shared" si="103"/>
        <v>37.2241</v>
      </c>
      <c r="OC54" s="232">
        <f t="shared" si="129"/>
        <v>2.1599999999999397E-2</v>
      </c>
      <c r="OE54" s="250"/>
      <c r="OF54" s="250">
        <v>44</v>
      </c>
      <c r="OG54" s="34">
        <v>9871</v>
      </c>
      <c r="OH54" s="184">
        <v>8.9407999999999994</v>
      </c>
      <c r="OI54" s="184">
        <v>1.1980999999999999</v>
      </c>
      <c r="OJ54" s="184">
        <v>0.45650000000000002</v>
      </c>
      <c r="OK54" s="162">
        <f t="shared" si="135"/>
        <v>0.37253333333333333</v>
      </c>
      <c r="OL54" s="53">
        <f t="shared" si="105"/>
        <v>37.223500000000001</v>
      </c>
      <c r="OM54" s="232">
        <f t="shared" si="130"/>
        <v>1.0799999999999699E-2</v>
      </c>
      <c r="OP54" s="250">
        <v>44</v>
      </c>
      <c r="OQ54" s="34">
        <v>9871</v>
      </c>
      <c r="OR54" s="184">
        <f>VLOOKUP(OQ54,Sheet4!A15:F91,3,0)</f>
        <v>8.9656000000000002</v>
      </c>
      <c r="OS54" s="184">
        <f>VLOOKUP(OQ54,Sheet4!A15:F91,4,0)</f>
        <v>1.2014</v>
      </c>
      <c r="OT54" s="184">
        <f>VLOOKUP(OQ54,Sheet4!A15:F91,5,0)</f>
        <v>0.4577</v>
      </c>
      <c r="OU54" s="162">
        <f t="shared" si="106"/>
        <v>0.37356666666666666</v>
      </c>
      <c r="OV54" s="53">
        <f t="shared" si="107"/>
        <v>37.222299999999997</v>
      </c>
      <c r="OW54" s="232">
        <f t="shared" si="131"/>
        <v>2.4800000000000821E-2</v>
      </c>
    </row>
    <row r="55" spans="1:413" ht="15.75" x14ac:dyDescent="0.25">
      <c r="A55">
        <v>47</v>
      </c>
      <c r="B55" s="1">
        <v>9890</v>
      </c>
      <c r="C55" s="1" t="s">
        <v>1</v>
      </c>
      <c r="D55" s="2">
        <v>37.200000000000003</v>
      </c>
      <c r="E55" s="8"/>
      <c r="F55" s="8"/>
      <c r="G55" s="8"/>
      <c r="H55" s="8"/>
      <c r="J55" s="15">
        <v>9890</v>
      </c>
      <c r="K55" s="15">
        <v>6.8352000000000004</v>
      </c>
      <c r="L55" s="15">
        <v>0.91590000000000005</v>
      </c>
      <c r="M55" s="15">
        <v>0.34899999999999998</v>
      </c>
      <c r="N55" s="24">
        <f t="shared" si="42"/>
        <v>0.2848</v>
      </c>
      <c r="O55" s="10">
        <f t="shared" si="139"/>
        <v>36.851000000000006</v>
      </c>
      <c r="P55" s="18"/>
      <c r="R55" s="20">
        <v>9890</v>
      </c>
      <c r="S55" s="9">
        <v>6.8901000000000003</v>
      </c>
      <c r="T55" s="9">
        <v>0.92330000000000001</v>
      </c>
      <c r="U55" s="9">
        <v>0.3518</v>
      </c>
      <c r="V55" s="24">
        <f t="shared" si="43"/>
        <v>0.2870875</v>
      </c>
      <c r="W55" s="10">
        <f t="shared" si="140"/>
        <v>36.848200000000006</v>
      </c>
      <c r="X55" s="18"/>
      <c r="Z55" s="27">
        <v>9890</v>
      </c>
      <c r="AA55" s="9">
        <v>7.0250000000000004</v>
      </c>
      <c r="AB55" s="9">
        <v>0.94140000000000001</v>
      </c>
      <c r="AC55" s="9">
        <v>0.35870000000000002</v>
      </c>
      <c r="AD55" s="24">
        <f t="shared" si="45"/>
        <v>0.29270833333333335</v>
      </c>
      <c r="AE55" s="10">
        <f t="shared" si="46"/>
        <v>36.841300000000004</v>
      </c>
      <c r="AF55" s="79"/>
      <c r="AG55">
        <v>47</v>
      </c>
      <c r="AH55" s="1">
        <v>9890</v>
      </c>
      <c r="AI55" s="1" t="s">
        <v>1</v>
      </c>
      <c r="AJ55" s="2">
        <v>37.200000000000003</v>
      </c>
      <c r="AL55" s="35">
        <v>9890</v>
      </c>
      <c r="AM55" s="36">
        <v>7.1723999999999997</v>
      </c>
      <c r="AN55" s="36">
        <v>0.96109999999999995</v>
      </c>
      <c r="AO55" s="36">
        <v>0.36620000000000003</v>
      </c>
      <c r="AP55" s="37">
        <f t="shared" si="0"/>
        <v>0.29885</v>
      </c>
      <c r="AQ55" s="53">
        <f t="shared" si="108"/>
        <v>36.833800000000004</v>
      </c>
      <c r="AT55" s="39"/>
      <c r="AU55" s="35">
        <v>9890</v>
      </c>
      <c r="AV55" s="9">
        <v>7.2351000000000001</v>
      </c>
      <c r="AW55" s="43">
        <v>0.96950000000000003</v>
      </c>
      <c r="AX55" s="43">
        <v>0.36940000000000001</v>
      </c>
      <c r="AY55" s="47">
        <f t="shared" si="47"/>
        <v>0.30146250000000002</v>
      </c>
      <c r="AZ55" s="56">
        <f t="shared" si="109"/>
        <v>36.830600000000004</v>
      </c>
      <c r="BD55" s="35">
        <v>9890</v>
      </c>
      <c r="BE55" s="53">
        <v>7.2422000000000004</v>
      </c>
      <c r="BF55" s="58">
        <v>0.97050000000000003</v>
      </c>
      <c r="BG55" s="58">
        <v>0.36980000000000002</v>
      </c>
      <c r="BH55" s="47">
        <f t="shared" si="48"/>
        <v>0.30175833333333335</v>
      </c>
      <c r="BI55" s="56">
        <f t="shared" si="49"/>
        <v>36.830200000000005</v>
      </c>
      <c r="BJ55" s="88"/>
      <c r="BK55" s="88"/>
      <c r="BL55" s="88"/>
      <c r="BN55" s="9">
        <v>9890</v>
      </c>
      <c r="BO55" s="53">
        <v>7.2686999999999999</v>
      </c>
      <c r="BP55" s="53">
        <v>0.97399999999999998</v>
      </c>
      <c r="BQ55" s="53">
        <v>0.37109999999999999</v>
      </c>
      <c r="BR55" s="53">
        <f t="shared" si="50"/>
        <v>0.30286249999999998</v>
      </c>
      <c r="BS55" s="53">
        <f t="shared" si="51"/>
        <v>36.828900000000004</v>
      </c>
      <c r="BV55" s="88"/>
      <c r="BX55" s="93">
        <v>9890</v>
      </c>
      <c r="BY55" s="9">
        <v>7.3208000000000002</v>
      </c>
      <c r="BZ55" s="9">
        <v>0.98099999999999998</v>
      </c>
      <c r="CA55" s="9">
        <v>0.37380000000000002</v>
      </c>
      <c r="CB55" s="58">
        <f t="shared" si="52"/>
        <v>0.30503333333333332</v>
      </c>
      <c r="CC55" s="53">
        <f t="shared" si="110"/>
        <v>36.8262</v>
      </c>
      <c r="CF55" s="88"/>
      <c r="CG55">
        <v>45</v>
      </c>
      <c r="CH55" s="93">
        <v>9890</v>
      </c>
      <c r="CI55" s="93">
        <v>7.3655999999999997</v>
      </c>
      <c r="CJ55" s="9">
        <v>0.98699999999999999</v>
      </c>
      <c r="CK55" s="9">
        <v>0.37609999999999999</v>
      </c>
      <c r="CL55" s="47">
        <f t="shared" si="5"/>
        <v>0.30690000000000001</v>
      </c>
      <c r="CM55" s="53">
        <f t="shared" si="53"/>
        <v>36.823900000000002</v>
      </c>
      <c r="CQ55">
        <v>45</v>
      </c>
      <c r="CR55" s="98">
        <v>9890</v>
      </c>
      <c r="CS55" s="101">
        <v>7.4218999999999999</v>
      </c>
      <c r="CT55" s="101">
        <v>0.99460000000000004</v>
      </c>
      <c r="CU55" s="101">
        <v>0.37890000000000001</v>
      </c>
      <c r="CV55" s="47">
        <f t="shared" si="6"/>
        <v>0.30924583333333333</v>
      </c>
      <c r="CW55" s="53">
        <f t="shared" si="141"/>
        <v>36.821100000000001</v>
      </c>
      <c r="DA55">
        <v>45</v>
      </c>
      <c r="DB55" s="106">
        <v>9890</v>
      </c>
      <c r="DC55" s="107">
        <v>7.4273999999999996</v>
      </c>
      <c r="DD55" s="107">
        <v>0.99529999999999996</v>
      </c>
      <c r="DE55" s="107">
        <v>0.37919999999999998</v>
      </c>
      <c r="DF55" s="47">
        <f t="shared" si="136"/>
        <v>0.309475</v>
      </c>
      <c r="DG55" s="53">
        <f t="shared" si="111"/>
        <v>36.820800000000006</v>
      </c>
      <c r="DK55">
        <v>45</v>
      </c>
      <c r="DL55" s="110">
        <v>9890</v>
      </c>
      <c r="DM55" s="53">
        <v>7.4916999999999998</v>
      </c>
      <c r="DN55" s="53">
        <v>1.0039</v>
      </c>
      <c r="DO55" s="53">
        <v>0.38250000000000001</v>
      </c>
      <c r="DP55" s="47">
        <f t="shared" si="137"/>
        <v>0.31215416666666668</v>
      </c>
      <c r="DQ55" s="53">
        <f t="shared" si="54"/>
        <v>36.817500000000003</v>
      </c>
      <c r="DS55" s="3">
        <f t="shared" si="55"/>
        <v>6.4300000000000246E-2</v>
      </c>
      <c r="DU55">
        <v>45</v>
      </c>
      <c r="DV55" s="115">
        <v>9890</v>
      </c>
      <c r="DW55" s="53">
        <f>Sheet3!B$61</f>
        <v>7.5317999999999996</v>
      </c>
      <c r="DX55" s="53">
        <f>Sheet3!C$61</f>
        <v>1.0093000000000001</v>
      </c>
      <c r="DY55" s="53">
        <f>Sheet3!D$61</f>
        <v>0.38450000000000001</v>
      </c>
      <c r="DZ55" s="47">
        <f t="shared" si="138"/>
        <v>0.31382499999999997</v>
      </c>
      <c r="EA55" s="53">
        <f t="shared" si="112"/>
        <v>36.8155</v>
      </c>
      <c r="EB55" s="3"/>
      <c r="EE55">
        <v>45</v>
      </c>
      <c r="EF55" s="118">
        <v>9890</v>
      </c>
      <c r="EG55" s="9">
        <v>7.5944000000000003</v>
      </c>
      <c r="EH55" s="9">
        <v>1.0177</v>
      </c>
      <c r="EI55" s="9">
        <v>0.38769999999999999</v>
      </c>
      <c r="EJ55" s="47">
        <f t="shared" si="10"/>
        <v>0.31643333333333334</v>
      </c>
      <c r="EK55" s="53">
        <f t="shared" si="56"/>
        <v>36.8123</v>
      </c>
      <c r="EM55" s="3">
        <f t="shared" si="57"/>
        <v>-3.1999999999996476E-3</v>
      </c>
      <c r="EN55" s="3"/>
      <c r="EO55">
        <v>45</v>
      </c>
      <c r="EP55" s="121">
        <v>9890</v>
      </c>
      <c r="EQ55" s="122">
        <v>7.7187999999999999</v>
      </c>
      <c r="ER55" s="122">
        <v>1.0343</v>
      </c>
      <c r="ES55" s="129">
        <v>0.39410000000000001</v>
      </c>
      <c r="ET55" s="130">
        <f t="shared" si="11"/>
        <v>0.32161666666666666</v>
      </c>
      <c r="EU55" s="131">
        <f t="shared" si="58"/>
        <v>36.805900000000001</v>
      </c>
      <c r="EX55" s="3"/>
      <c r="EY55">
        <v>45</v>
      </c>
      <c r="EZ55" s="135">
        <v>9890</v>
      </c>
      <c r="FA55" s="135">
        <v>7.7774999999999999</v>
      </c>
      <c r="FB55" s="135">
        <v>1.0422</v>
      </c>
      <c r="FC55" s="135">
        <v>0.39710000000000001</v>
      </c>
      <c r="FD55" s="136">
        <f t="shared" si="12"/>
        <v>0.32406249999999998</v>
      </c>
      <c r="FE55" s="131">
        <f t="shared" si="59"/>
        <v>36.802900000000001</v>
      </c>
      <c r="FG55" s="123">
        <f t="shared" si="60"/>
        <v>-3.0000000000001137E-3</v>
      </c>
      <c r="FH55" s="3"/>
      <c r="FI55">
        <v>45</v>
      </c>
      <c r="FJ55" s="145">
        <v>9890</v>
      </c>
      <c r="FK55" s="9">
        <v>7.8556999999999997</v>
      </c>
      <c r="FL55" s="9">
        <v>1.0527</v>
      </c>
      <c r="FM55" s="9">
        <v>0.40110000000000001</v>
      </c>
      <c r="FN55" s="146">
        <f t="shared" si="113"/>
        <v>0.32732083333333334</v>
      </c>
      <c r="FO55" s="131">
        <f t="shared" si="61"/>
        <v>36.798900000000003</v>
      </c>
      <c r="FP55" s="123">
        <f t="shared" si="62"/>
        <v>-3.9999999999977831E-3</v>
      </c>
      <c r="FS55">
        <v>45</v>
      </c>
      <c r="FT55" s="147">
        <v>9890</v>
      </c>
      <c r="FU55" s="148">
        <v>7.8718000000000004</v>
      </c>
      <c r="FV55" s="148">
        <v>1.0548999999999999</v>
      </c>
      <c r="FW55" s="148">
        <v>0.40189999999999998</v>
      </c>
      <c r="FX55" s="150">
        <f t="shared" si="114"/>
        <v>0.32799166666666668</v>
      </c>
      <c r="FY55" s="131">
        <f t="shared" si="115"/>
        <v>36.798100000000005</v>
      </c>
      <c r="FZ55">
        <f t="shared" si="63"/>
        <v>1.6100000000000669E-2</v>
      </c>
      <c r="GC55">
        <v>45</v>
      </c>
      <c r="GD55" s="151">
        <v>9890</v>
      </c>
      <c r="GE55" s="151">
        <v>7.9116</v>
      </c>
      <c r="GF55" s="151">
        <v>1.0602</v>
      </c>
      <c r="GG55" s="151">
        <v>0.40389999999999998</v>
      </c>
      <c r="GH55" s="153">
        <f t="shared" si="132"/>
        <v>0.32965</v>
      </c>
      <c r="GI55" s="131">
        <f t="shared" si="64"/>
        <v>36.796100000000003</v>
      </c>
      <c r="GJ55">
        <f t="shared" si="142"/>
        <v>3.9799999999999613E-2</v>
      </c>
      <c r="GM55">
        <v>45</v>
      </c>
      <c r="GN55" s="155">
        <v>9890</v>
      </c>
      <c r="GO55" s="155">
        <v>7.9958999999999998</v>
      </c>
      <c r="GP55" s="155">
        <v>1.0714999999999999</v>
      </c>
      <c r="GQ55" s="155">
        <v>0.40820000000000001</v>
      </c>
      <c r="GR55" s="58">
        <f t="shared" si="65"/>
        <v>0.33316249999999997</v>
      </c>
      <c r="GS55" s="131">
        <f t="shared" si="66"/>
        <v>36.791800000000002</v>
      </c>
      <c r="GT55">
        <f t="shared" si="143"/>
        <v>8.429999999999982E-2</v>
      </c>
      <c r="GW55">
        <v>45</v>
      </c>
      <c r="GX55" s="157">
        <v>9890</v>
      </c>
      <c r="GY55" s="161">
        <f>VLOOKUP(GX55,Sheet3!$AJ$7:$AN$83,2,0)</f>
        <v>8.1029</v>
      </c>
      <c r="GZ55" s="161">
        <f>VLOOKUP(GX55,Sheet3!$AJ$7:$AN$83,3,0)</f>
        <v>1.0858000000000001</v>
      </c>
      <c r="HA55" s="161">
        <f>VLOOKUP(GX55,Sheet3!$AJ$7:$AN$83,4,0)</f>
        <v>0.41370000000000001</v>
      </c>
      <c r="HB55" s="162">
        <f t="shared" si="17"/>
        <v>0.33762083333333331</v>
      </c>
      <c r="HC55" s="131">
        <f t="shared" si="116"/>
        <v>36.786300000000004</v>
      </c>
      <c r="HD55" s="159">
        <f t="shared" si="144"/>
        <v>0.10700000000000021</v>
      </c>
      <c r="HE55" s="159">
        <f t="shared" si="145"/>
        <v>5.5000000000000049E-3</v>
      </c>
      <c r="HG55" s="159"/>
      <c r="HH55" s="159">
        <v>45</v>
      </c>
      <c r="HI55" s="158">
        <v>9890</v>
      </c>
      <c r="HJ55" s="161">
        <v>8.1461000000000006</v>
      </c>
      <c r="HK55" s="161">
        <v>1.0915999999999999</v>
      </c>
      <c r="HL55" s="161">
        <v>0.41589999999999999</v>
      </c>
      <c r="HM55" s="162">
        <f t="shared" si="18"/>
        <v>0.33942083333333334</v>
      </c>
      <c r="HN55" s="131">
        <f t="shared" si="67"/>
        <v>36.784100000000002</v>
      </c>
      <c r="HO55" s="159">
        <f t="shared" si="68"/>
        <v>4.3200000000000571E-2</v>
      </c>
      <c r="HQ55" s="183"/>
      <c r="HR55" s="183">
        <v>45</v>
      </c>
      <c r="HS55" s="178">
        <v>9890</v>
      </c>
      <c r="HT55" s="184">
        <v>8.1742000000000008</v>
      </c>
      <c r="HU55" s="184">
        <v>1.0953999999999999</v>
      </c>
      <c r="HV55" s="184">
        <v>0.4173</v>
      </c>
      <c r="HW55" s="171">
        <f t="shared" si="19"/>
        <v>0.34059166666666668</v>
      </c>
      <c r="HX55" s="53">
        <f t="shared" si="69"/>
        <v>36.782700000000006</v>
      </c>
      <c r="HY55" s="183">
        <f t="shared" si="70"/>
        <v>2.8100000000000236E-2</v>
      </c>
      <c r="IA55" s="194"/>
      <c r="IB55" s="194">
        <v>45</v>
      </c>
      <c r="IC55" s="193">
        <v>9890</v>
      </c>
      <c r="ID55" s="161">
        <v>8.1864000000000008</v>
      </c>
      <c r="IE55" s="184">
        <v>1.097</v>
      </c>
      <c r="IF55" s="184">
        <v>0.41799999999999998</v>
      </c>
      <c r="IG55" s="171">
        <f t="shared" si="71"/>
        <v>0.34110000000000001</v>
      </c>
      <c r="IH55" s="53">
        <f t="shared" si="72"/>
        <v>36.782000000000004</v>
      </c>
      <c r="II55" s="194">
        <f t="shared" si="73"/>
        <v>1.2199999999999989E-2</v>
      </c>
      <c r="IL55" s="199">
        <v>45</v>
      </c>
      <c r="IM55" s="197">
        <v>9890</v>
      </c>
      <c r="IN55" s="161">
        <v>8.2506000000000004</v>
      </c>
      <c r="IO55" s="184">
        <v>1.1055999999999999</v>
      </c>
      <c r="IP55" s="184">
        <v>0.42120000000000002</v>
      </c>
      <c r="IQ55" s="171">
        <f t="shared" si="74"/>
        <v>0.343775</v>
      </c>
      <c r="IR55" s="53">
        <f t="shared" si="75"/>
        <v>36.778800000000004</v>
      </c>
      <c r="IS55" s="199">
        <f t="shared" si="76"/>
        <v>6.4199999999999591E-2</v>
      </c>
      <c r="IU55" s="202"/>
      <c r="IV55" s="202">
        <v>45</v>
      </c>
      <c r="IW55" s="201">
        <v>9890</v>
      </c>
      <c r="IX55" s="184">
        <v>8.3371999999999993</v>
      </c>
      <c r="IY55" s="184">
        <v>1.1172</v>
      </c>
      <c r="IZ55" s="184">
        <v>0.42570000000000002</v>
      </c>
      <c r="JA55" s="162">
        <f t="shared" si="22"/>
        <v>0.34738333333333332</v>
      </c>
      <c r="JB55" s="53">
        <f t="shared" si="77"/>
        <v>36.774300000000004</v>
      </c>
      <c r="JC55" s="202">
        <f t="shared" si="78"/>
        <v>8.65999999999989E-2</v>
      </c>
      <c r="JE55" s="204"/>
      <c r="JF55" s="204">
        <v>45</v>
      </c>
      <c r="JG55" s="203">
        <v>9890</v>
      </c>
      <c r="JH55" s="161">
        <v>8.3646999999999991</v>
      </c>
      <c r="JI55" s="184">
        <v>1.1209</v>
      </c>
      <c r="JJ55" s="184">
        <v>0.42709999999999998</v>
      </c>
      <c r="JK55" s="162">
        <f t="shared" si="79"/>
        <v>0.34852916666666661</v>
      </c>
      <c r="JL55" s="53">
        <f t="shared" si="80"/>
        <v>36.7729</v>
      </c>
      <c r="JM55" s="204">
        <f t="shared" si="117"/>
        <v>2.7499999999999858E-2</v>
      </c>
      <c r="JN55" s="204"/>
      <c r="JP55" s="209">
        <v>45</v>
      </c>
      <c r="JQ55" s="205">
        <v>9890</v>
      </c>
      <c r="JR55" s="161">
        <v>8.3867999999999991</v>
      </c>
      <c r="JS55" s="184">
        <v>1.1238999999999999</v>
      </c>
      <c r="JT55" s="184">
        <v>0.42820000000000003</v>
      </c>
      <c r="JU55" s="162">
        <f t="shared" si="81"/>
        <v>0.34944999999999998</v>
      </c>
      <c r="JV55" s="53">
        <f t="shared" si="82"/>
        <v>36.771800000000006</v>
      </c>
      <c r="JW55" s="209">
        <f t="shared" si="118"/>
        <v>2.2100000000000009E-2</v>
      </c>
      <c r="JX55" s="213"/>
      <c r="JY55" s="213"/>
      <c r="JZ55" s="213">
        <v>45</v>
      </c>
      <c r="KA55" s="206">
        <v>9890</v>
      </c>
      <c r="KB55" s="184">
        <v>8.4387000000000008</v>
      </c>
      <c r="KC55" s="184">
        <v>1.1308</v>
      </c>
      <c r="KD55" s="184">
        <v>0.43080000000000002</v>
      </c>
      <c r="KE55" s="162">
        <f t="shared" si="83"/>
        <v>0.35161250000000005</v>
      </c>
      <c r="KF55" s="53">
        <f t="shared" si="84"/>
        <v>36.769200000000005</v>
      </c>
      <c r="KG55" s="213">
        <f t="shared" si="119"/>
        <v>5.1900000000001612E-2</v>
      </c>
      <c r="KI55" s="219"/>
      <c r="KJ55" s="219">
        <v>45</v>
      </c>
      <c r="KK55" s="214">
        <v>9890</v>
      </c>
      <c r="KL55" s="161">
        <v>8.4559999999999995</v>
      </c>
      <c r="KM55" s="161">
        <v>1.1331</v>
      </c>
      <c r="KN55" s="161">
        <v>0.43169999999999997</v>
      </c>
      <c r="KO55" s="162">
        <f t="shared" si="24"/>
        <v>0.35233333333333333</v>
      </c>
      <c r="KP55" s="53">
        <f t="shared" si="85"/>
        <v>36.768300000000004</v>
      </c>
      <c r="KQ55" s="219">
        <f t="shared" si="120"/>
        <v>1.7299999999998761E-2</v>
      </c>
      <c r="KT55" s="223">
        <v>45</v>
      </c>
      <c r="KU55" s="216">
        <v>9890</v>
      </c>
      <c r="KV55" s="161">
        <v>8.4741999999999997</v>
      </c>
      <c r="KW55" s="161">
        <v>1.1355999999999999</v>
      </c>
      <c r="KX55" s="161">
        <v>0.43269999999999997</v>
      </c>
      <c r="KY55" s="162">
        <f t="shared" si="86"/>
        <v>0.35309166666666664</v>
      </c>
      <c r="KZ55" s="53">
        <f t="shared" si="87"/>
        <v>36.767300000000006</v>
      </c>
      <c r="LA55" s="223">
        <f t="shared" si="121"/>
        <v>1.8200000000000216E-2</v>
      </c>
      <c r="LD55" s="228">
        <v>45</v>
      </c>
      <c r="LE55" s="221">
        <v>9890</v>
      </c>
      <c r="LF55" s="161">
        <v>8.4894999999999996</v>
      </c>
      <c r="LG55" s="161">
        <v>1.1375999999999999</v>
      </c>
      <c r="LH55" s="161">
        <v>0.43340000000000001</v>
      </c>
      <c r="LI55" s="162">
        <f t="shared" si="88"/>
        <v>0.35372916666666665</v>
      </c>
      <c r="LJ55" s="53">
        <f t="shared" si="89"/>
        <v>36.766600000000004</v>
      </c>
      <c r="LK55" s="228">
        <f t="shared" si="122"/>
        <v>1.5299999999999869E-2</v>
      </c>
      <c r="LL55" s="231"/>
      <c r="LM55" s="231"/>
      <c r="LN55" s="231">
        <v>45</v>
      </c>
      <c r="LO55" s="226">
        <v>9890</v>
      </c>
      <c r="LP55" s="184">
        <v>8.5108999999999995</v>
      </c>
      <c r="LQ55" s="184">
        <v>1.1405000000000001</v>
      </c>
      <c r="LR55" s="184">
        <v>0.4345</v>
      </c>
      <c r="LS55" s="162">
        <f t="shared" si="90"/>
        <v>0.35462083333333333</v>
      </c>
      <c r="LT55" s="53">
        <f t="shared" si="91"/>
        <v>36.765500000000003</v>
      </c>
      <c r="LU55" s="231">
        <f t="shared" si="123"/>
        <v>2.1399999999999864E-2</v>
      </c>
      <c r="LW55" s="231"/>
      <c r="LX55" s="231">
        <v>45</v>
      </c>
      <c r="LY55" s="234">
        <v>9890</v>
      </c>
      <c r="LZ55" s="184">
        <v>8.5349000000000004</v>
      </c>
      <c r="MA55" s="184">
        <v>1.1436999999999999</v>
      </c>
      <c r="MB55" s="184">
        <v>0.43580000000000002</v>
      </c>
      <c r="MC55" s="162">
        <f t="shared" si="92"/>
        <v>0.35562083333333333</v>
      </c>
      <c r="MD55" s="53">
        <f t="shared" si="93"/>
        <v>36.764200000000002</v>
      </c>
      <c r="ME55" s="231">
        <f t="shared" si="124"/>
        <v>2.4000000000000909E-2</v>
      </c>
      <c r="MF55" s="231"/>
      <c r="MG55" s="231"/>
      <c r="MH55" s="231">
        <v>45</v>
      </c>
      <c r="MI55" s="236">
        <v>9890</v>
      </c>
      <c r="MJ55" s="184">
        <v>8.5586000000000002</v>
      </c>
      <c r="MK55" s="184">
        <v>1.1469</v>
      </c>
      <c r="ML55" s="184">
        <v>0.437</v>
      </c>
      <c r="MM55" s="162">
        <f t="shared" si="94"/>
        <v>0.35660833333333336</v>
      </c>
      <c r="MN55" s="53">
        <f t="shared" si="95"/>
        <v>36.763000000000005</v>
      </c>
      <c r="MO55" s="231">
        <f t="shared" si="125"/>
        <v>2.3699999999999832E-2</v>
      </c>
      <c r="MP55" s="231"/>
      <c r="MQ55" s="231"/>
      <c r="MR55" s="231">
        <v>45</v>
      </c>
      <c r="MS55" s="34">
        <v>9890</v>
      </c>
      <c r="MT55" s="184">
        <v>8.6037999999999997</v>
      </c>
      <c r="MU55" s="184">
        <v>1.1529</v>
      </c>
      <c r="MV55" s="184">
        <v>0.43930000000000002</v>
      </c>
      <c r="MW55" s="162">
        <f t="shared" si="96"/>
        <v>0.35849166666666665</v>
      </c>
      <c r="MX55" s="53">
        <f t="shared" si="97"/>
        <v>36.7607</v>
      </c>
      <c r="MY55" s="231">
        <f t="shared" si="126"/>
        <v>4.5199999999999463E-2</v>
      </c>
      <c r="MZ55" s="246"/>
      <c r="NA55" s="246"/>
      <c r="NB55" s="246">
        <v>45</v>
      </c>
      <c r="NC55" s="34">
        <v>9890</v>
      </c>
      <c r="ND55" s="184">
        <v>8.65</v>
      </c>
      <c r="NE55" s="184">
        <v>1.1591</v>
      </c>
      <c r="NF55" s="184">
        <v>0.44159999999999999</v>
      </c>
      <c r="NG55" s="162">
        <f t="shared" si="98"/>
        <v>0.36041666666666666</v>
      </c>
      <c r="NH55" s="53">
        <f t="shared" si="99"/>
        <v>36.758400000000002</v>
      </c>
      <c r="NI55" s="232">
        <f t="shared" si="127"/>
        <v>4.6200000000000685E-2</v>
      </c>
      <c r="NK55" s="250"/>
      <c r="NL55" s="250">
        <v>45</v>
      </c>
      <c r="NM55" s="34">
        <v>9890</v>
      </c>
      <c r="NN55" s="184">
        <v>8.6636000000000006</v>
      </c>
      <c r="NO55" s="184">
        <v>1.161</v>
      </c>
      <c r="NP55" s="184">
        <v>0.44230000000000003</v>
      </c>
      <c r="NQ55" s="162">
        <f t="shared" si="133"/>
        <v>0.36098333333333338</v>
      </c>
      <c r="NR55" s="53">
        <f t="shared" si="101"/>
        <v>36.7577</v>
      </c>
      <c r="NS55" s="232">
        <f t="shared" si="128"/>
        <v>1.3600000000000279E-2</v>
      </c>
      <c r="NU55" s="250"/>
      <c r="NV55" s="250">
        <v>45</v>
      </c>
      <c r="NW55" s="34">
        <v>9890</v>
      </c>
      <c r="NX55" s="184">
        <v>8.6852</v>
      </c>
      <c r="NY55" s="184">
        <v>1.1638999999999999</v>
      </c>
      <c r="NZ55" s="184">
        <v>0.44340000000000002</v>
      </c>
      <c r="OA55" s="162">
        <f t="shared" si="134"/>
        <v>0.36188333333333333</v>
      </c>
      <c r="OB55" s="53">
        <f t="shared" si="103"/>
        <v>36.756600000000006</v>
      </c>
      <c r="OC55" s="232">
        <f t="shared" si="129"/>
        <v>2.1599999999999397E-2</v>
      </c>
      <c r="OE55" s="250"/>
      <c r="OF55" s="250">
        <v>45</v>
      </c>
      <c r="OG55" s="34">
        <v>9890</v>
      </c>
      <c r="OH55" s="184">
        <v>8.6959999999999997</v>
      </c>
      <c r="OI55" s="184">
        <v>1.1653</v>
      </c>
      <c r="OJ55" s="184">
        <v>0.44400000000000001</v>
      </c>
      <c r="OK55" s="162">
        <f t="shared" si="135"/>
        <v>0.36233333333333334</v>
      </c>
      <c r="OL55" s="53">
        <f t="shared" si="105"/>
        <v>36.756</v>
      </c>
      <c r="OM55" s="232">
        <f t="shared" si="130"/>
        <v>1.0799999999999699E-2</v>
      </c>
      <c r="OP55" s="250">
        <v>45</v>
      </c>
      <c r="OQ55" s="34">
        <v>9890</v>
      </c>
      <c r="OR55" s="184">
        <f>VLOOKUP(OQ55,Sheet4!A16:F92,3,0)</f>
        <v>8.7208000000000006</v>
      </c>
      <c r="OS55" s="184">
        <f>VLOOKUP(OQ55,Sheet4!A16:F92,4,0)</f>
        <v>1.1686000000000001</v>
      </c>
      <c r="OT55" s="184">
        <f>VLOOKUP(OQ55,Sheet4!A16:F92,5,0)</f>
        <v>0.44519999999999998</v>
      </c>
      <c r="OU55" s="162">
        <f t="shared" si="106"/>
        <v>0.36336666666666667</v>
      </c>
      <c r="OV55" s="53">
        <f t="shared" si="107"/>
        <v>36.754800000000003</v>
      </c>
      <c r="OW55" s="232">
        <f t="shared" si="131"/>
        <v>2.4800000000000821E-2</v>
      </c>
    </row>
    <row r="56" spans="1:413" ht="15.75" x14ac:dyDescent="0.25">
      <c r="A56">
        <v>48</v>
      </c>
      <c r="B56" s="1">
        <v>9353</v>
      </c>
      <c r="C56" s="1" t="s">
        <v>1</v>
      </c>
      <c r="D56" s="2">
        <v>37.82</v>
      </c>
      <c r="E56" s="8"/>
      <c r="F56" s="8"/>
      <c r="G56" s="8"/>
      <c r="H56" s="8"/>
      <c r="J56" s="15">
        <v>9353</v>
      </c>
      <c r="K56" s="15">
        <v>14.201499999999999</v>
      </c>
      <c r="L56" s="15">
        <v>1.9031</v>
      </c>
      <c r="M56" s="15">
        <v>0.72509999999999997</v>
      </c>
      <c r="N56" s="24">
        <f t="shared" si="42"/>
        <v>0.59172916666666664</v>
      </c>
      <c r="O56" s="10">
        <f t="shared" si="139"/>
        <v>37.094900000000003</v>
      </c>
      <c r="P56" s="18"/>
      <c r="R56" s="20">
        <v>9353</v>
      </c>
      <c r="S56" s="9">
        <v>14.256399999999999</v>
      </c>
      <c r="T56" s="9">
        <v>1.9104000000000001</v>
      </c>
      <c r="U56" s="9">
        <v>0.72789999999999999</v>
      </c>
      <c r="V56" s="24">
        <f t="shared" si="43"/>
        <v>0.59401666666666664</v>
      </c>
      <c r="W56" s="10">
        <f t="shared" si="140"/>
        <v>37.092100000000002</v>
      </c>
      <c r="X56" s="18"/>
      <c r="Z56" s="27">
        <v>9353</v>
      </c>
      <c r="AA56" s="9">
        <v>14.391299999999999</v>
      </c>
      <c r="AB56" s="9">
        <v>1.9285000000000001</v>
      </c>
      <c r="AC56" s="9">
        <v>0.73480000000000001</v>
      </c>
      <c r="AD56" s="24">
        <f t="shared" si="45"/>
        <v>0.59963749999999993</v>
      </c>
      <c r="AE56" s="10">
        <f t="shared" si="46"/>
        <v>37.0852</v>
      </c>
      <c r="AF56" s="79"/>
      <c r="AG56">
        <v>48</v>
      </c>
      <c r="AH56" s="1">
        <v>9353</v>
      </c>
      <c r="AI56" s="1" t="s">
        <v>1</v>
      </c>
      <c r="AJ56" s="2">
        <v>37.82</v>
      </c>
      <c r="AL56" s="32">
        <v>9353</v>
      </c>
      <c r="AM56" s="9">
        <v>14.5387</v>
      </c>
      <c r="AN56" s="9">
        <v>1.9481999999999999</v>
      </c>
      <c r="AO56" s="9">
        <v>0.74229999999999996</v>
      </c>
      <c r="AP56" s="37">
        <f t="shared" si="0"/>
        <v>0.60577916666666665</v>
      </c>
      <c r="AQ56" s="53">
        <f t="shared" si="108"/>
        <v>37.0777</v>
      </c>
      <c r="AT56" s="39"/>
      <c r="AU56" s="38">
        <v>9353</v>
      </c>
      <c r="AV56" s="9">
        <v>14.6014</v>
      </c>
      <c r="AW56" s="43">
        <v>1.9565999999999999</v>
      </c>
      <c r="AX56" s="43">
        <v>0.74550000000000005</v>
      </c>
      <c r="AY56" s="47">
        <f t="shared" si="47"/>
        <v>0.60839166666666666</v>
      </c>
      <c r="AZ56" s="56">
        <f t="shared" si="109"/>
        <v>37.0745</v>
      </c>
      <c r="BD56" s="54">
        <v>9353</v>
      </c>
      <c r="BE56" s="53">
        <v>14.608499999999999</v>
      </c>
      <c r="BF56" s="58">
        <v>1.9576</v>
      </c>
      <c r="BG56" s="58">
        <v>0.74580000000000002</v>
      </c>
      <c r="BH56" s="47">
        <f t="shared" si="48"/>
        <v>0.60868749999999994</v>
      </c>
      <c r="BI56" s="56">
        <f t="shared" si="49"/>
        <v>37.074199999999998</v>
      </c>
      <c r="BJ56" s="88"/>
      <c r="BK56" s="88"/>
      <c r="BL56" s="88"/>
      <c r="BN56" s="9">
        <v>9353</v>
      </c>
      <c r="BO56" s="53">
        <v>14.635</v>
      </c>
      <c r="BP56" s="53">
        <v>1.9611000000000001</v>
      </c>
      <c r="BQ56" s="53">
        <v>0.74719999999999998</v>
      </c>
      <c r="BR56" s="53">
        <f t="shared" si="50"/>
        <v>0.60979166666666662</v>
      </c>
      <c r="BS56" s="53">
        <f t="shared" si="51"/>
        <v>37.072800000000001</v>
      </c>
      <c r="BV56" s="88"/>
      <c r="BX56" s="93">
        <v>9353</v>
      </c>
      <c r="BY56" s="9">
        <v>14.687099999999999</v>
      </c>
      <c r="BZ56" s="9">
        <v>1.9681</v>
      </c>
      <c r="CA56" s="9">
        <v>0.74990000000000001</v>
      </c>
      <c r="CB56" s="58">
        <f t="shared" si="52"/>
        <v>0.61196249999999996</v>
      </c>
      <c r="CC56" s="53">
        <f t="shared" si="110"/>
        <v>37.070100000000004</v>
      </c>
      <c r="CF56" s="88"/>
      <c r="CG56">
        <v>46</v>
      </c>
      <c r="CH56" s="93">
        <v>9353</v>
      </c>
      <c r="CI56" s="93">
        <v>14.7319</v>
      </c>
      <c r="CJ56" s="9">
        <v>1.9741</v>
      </c>
      <c r="CK56" s="9">
        <v>0.75209999999999999</v>
      </c>
      <c r="CL56" s="47">
        <f t="shared" si="5"/>
        <v>0.61382916666666665</v>
      </c>
      <c r="CM56" s="53">
        <f t="shared" si="53"/>
        <v>37.067900000000002</v>
      </c>
      <c r="CQ56">
        <v>46</v>
      </c>
      <c r="CR56" s="98">
        <v>9353</v>
      </c>
      <c r="CS56" s="101">
        <v>14.7882</v>
      </c>
      <c r="CT56" s="101">
        <v>1.9817</v>
      </c>
      <c r="CU56" s="101">
        <v>0.755</v>
      </c>
      <c r="CV56" s="47">
        <f t="shared" si="6"/>
        <v>0.61617500000000003</v>
      </c>
      <c r="CW56" s="53">
        <f t="shared" si="141"/>
        <v>37.064999999999998</v>
      </c>
      <c r="DA56">
        <v>46</v>
      </c>
      <c r="DB56" s="106">
        <v>9353</v>
      </c>
      <c r="DC56" s="107">
        <v>14.793699999999999</v>
      </c>
      <c r="DD56" s="107">
        <v>1.9823999999999999</v>
      </c>
      <c r="DE56" s="107">
        <v>0.75529999999999997</v>
      </c>
      <c r="DF56" s="47">
        <f t="shared" si="136"/>
        <v>0.61640416666666664</v>
      </c>
      <c r="DG56" s="53">
        <f t="shared" si="111"/>
        <v>37.064700000000002</v>
      </c>
      <c r="DK56">
        <v>46</v>
      </c>
      <c r="DL56" s="110">
        <v>9353</v>
      </c>
      <c r="DM56" s="53">
        <v>14.858000000000001</v>
      </c>
      <c r="DN56" s="53">
        <v>1.9910000000000001</v>
      </c>
      <c r="DO56" s="53">
        <v>0.75860000000000005</v>
      </c>
      <c r="DP56" s="47">
        <f t="shared" si="137"/>
        <v>0.61908333333333332</v>
      </c>
      <c r="DQ56" s="53">
        <f t="shared" si="54"/>
        <v>37.061399999999999</v>
      </c>
      <c r="DS56" s="3">
        <f t="shared" si="55"/>
        <v>6.4300000000001134E-2</v>
      </c>
      <c r="DU56">
        <v>46</v>
      </c>
      <c r="DV56" s="115">
        <v>9353</v>
      </c>
      <c r="DW56" s="53">
        <f>Sheet3!B$15</f>
        <v>14.898099999999999</v>
      </c>
      <c r="DX56" s="53">
        <f>Sheet3!C$15</f>
        <v>1.9964</v>
      </c>
      <c r="DY56" s="53">
        <f>Sheet3!D$15</f>
        <v>0.76060000000000005</v>
      </c>
      <c r="DZ56" s="47">
        <f t="shared" si="138"/>
        <v>0.62075416666666661</v>
      </c>
      <c r="EA56" s="53">
        <f t="shared" si="112"/>
        <v>37.059400000000004</v>
      </c>
      <c r="EB56" s="3"/>
      <c r="EE56">
        <v>46</v>
      </c>
      <c r="EF56" s="118">
        <v>9353</v>
      </c>
      <c r="EG56" s="9">
        <v>14.960699999999999</v>
      </c>
      <c r="EH56" s="9">
        <v>2.0047999999999999</v>
      </c>
      <c r="EI56" s="9">
        <v>0.76380000000000003</v>
      </c>
      <c r="EJ56" s="47">
        <f t="shared" si="10"/>
        <v>0.62336249999999993</v>
      </c>
      <c r="EK56" s="53">
        <f t="shared" si="56"/>
        <v>37.056199999999997</v>
      </c>
      <c r="EM56" s="3">
        <f t="shared" si="57"/>
        <v>-3.200000000006753E-3</v>
      </c>
      <c r="EN56" s="3"/>
      <c r="EO56">
        <v>46</v>
      </c>
      <c r="EP56" s="121">
        <v>9353</v>
      </c>
      <c r="EQ56" s="122">
        <v>15.085100000000001</v>
      </c>
      <c r="ER56" s="122">
        <v>2.0215000000000001</v>
      </c>
      <c r="ES56" s="129">
        <v>0.7702</v>
      </c>
      <c r="ET56" s="130">
        <f t="shared" si="11"/>
        <v>0.62854583333333336</v>
      </c>
      <c r="EU56" s="131">
        <f t="shared" si="58"/>
        <v>37.049799999999998</v>
      </c>
      <c r="EX56" s="3"/>
      <c r="EY56">
        <v>46</v>
      </c>
      <c r="EZ56" s="135">
        <v>9353</v>
      </c>
      <c r="FA56" s="135">
        <v>15.143800000000001</v>
      </c>
      <c r="FB56" s="135">
        <v>2.0293000000000001</v>
      </c>
      <c r="FC56" s="135">
        <v>0.7732</v>
      </c>
      <c r="FD56" s="136">
        <f t="shared" si="12"/>
        <v>0.63099166666666673</v>
      </c>
      <c r="FE56" s="131">
        <f t="shared" si="59"/>
        <v>37.046799999999998</v>
      </c>
      <c r="FG56" s="123">
        <f t="shared" si="60"/>
        <v>-3.0000000000001137E-3</v>
      </c>
      <c r="FH56" s="3"/>
      <c r="FI56">
        <v>46</v>
      </c>
      <c r="FJ56" s="145">
        <v>9353</v>
      </c>
      <c r="FK56" s="9">
        <v>15.222</v>
      </c>
      <c r="FL56" s="9">
        <v>2.0398000000000001</v>
      </c>
      <c r="FM56" s="9">
        <v>0.7772</v>
      </c>
      <c r="FN56" s="146">
        <f t="shared" si="113"/>
        <v>0.63424999999999998</v>
      </c>
      <c r="FO56" s="131">
        <f t="shared" si="61"/>
        <v>37.0428</v>
      </c>
      <c r="FP56" s="123">
        <f t="shared" si="62"/>
        <v>-3.9999999999977831E-3</v>
      </c>
      <c r="FS56">
        <v>46</v>
      </c>
      <c r="FT56" s="147">
        <v>9353</v>
      </c>
      <c r="FU56" s="148">
        <v>15.238099999999999</v>
      </c>
      <c r="FV56" s="148">
        <v>2.0419999999999998</v>
      </c>
      <c r="FW56" s="148">
        <v>0.77800000000000002</v>
      </c>
      <c r="FX56" s="150">
        <f t="shared" si="114"/>
        <v>0.63492083333333327</v>
      </c>
      <c r="FY56" s="131">
        <f t="shared" si="115"/>
        <v>37.042000000000002</v>
      </c>
      <c r="FZ56">
        <f t="shared" si="63"/>
        <v>1.6099999999999781E-2</v>
      </c>
      <c r="GC56">
        <v>46</v>
      </c>
      <c r="GD56" s="151">
        <v>9353</v>
      </c>
      <c r="GE56" s="151">
        <v>15.277900000000001</v>
      </c>
      <c r="GF56" s="151">
        <v>2.0472999999999999</v>
      </c>
      <c r="GG56" s="151">
        <v>0.78</v>
      </c>
      <c r="GH56" s="153">
        <f t="shared" si="132"/>
        <v>0.6365791666666667</v>
      </c>
      <c r="GI56" s="131">
        <f t="shared" si="64"/>
        <v>37.04</v>
      </c>
      <c r="GJ56">
        <f t="shared" si="142"/>
        <v>3.980000000000139E-2</v>
      </c>
      <c r="GM56">
        <v>46</v>
      </c>
      <c r="GN56" s="155">
        <v>9353</v>
      </c>
      <c r="GO56" s="155">
        <v>15.3622</v>
      </c>
      <c r="GP56" s="155">
        <v>2.0586000000000002</v>
      </c>
      <c r="GQ56" s="155">
        <v>0.7843</v>
      </c>
      <c r="GR56" s="58">
        <f t="shared" si="65"/>
        <v>0.64009166666666661</v>
      </c>
      <c r="GS56" s="131">
        <f t="shared" si="66"/>
        <v>37.035699999999999</v>
      </c>
      <c r="GT56">
        <f t="shared" si="143"/>
        <v>8.4299999999998931E-2</v>
      </c>
      <c r="GW56">
        <v>46</v>
      </c>
      <c r="GX56" s="157">
        <v>9353</v>
      </c>
      <c r="GY56" s="161">
        <f>VLOOKUP(GX56,Sheet3!$AJ$7:$AN$83,2,0)</f>
        <v>15.469200000000001</v>
      </c>
      <c r="GZ56" s="161">
        <f>VLOOKUP(GX56,Sheet3!$AJ$7:$AN$83,3,0)</f>
        <v>2.0729000000000002</v>
      </c>
      <c r="HA56" s="161">
        <f>VLOOKUP(GX56,Sheet3!$AJ$7:$AN$83,4,0)</f>
        <v>0.78979999999999995</v>
      </c>
      <c r="HB56" s="162">
        <f t="shared" si="17"/>
        <v>0.64455000000000007</v>
      </c>
      <c r="HC56" s="131">
        <f t="shared" si="116"/>
        <v>37.030200000000001</v>
      </c>
      <c r="HD56" s="159">
        <f t="shared" si="144"/>
        <v>0.10700000000000109</v>
      </c>
      <c r="HE56" s="159">
        <f t="shared" si="145"/>
        <v>5.4999999999999494E-3</v>
      </c>
      <c r="HG56" s="159"/>
      <c r="HH56" s="159">
        <v>46</v>
      </c>
      <c r="HI56" s="158">
        <v>9353</v>
      </c>
      <c r="HJ56" s="161">
        <v>15.5124</v>
      </c>
      <c r="HK56" s="161">
        <v>2.0787</v>
      </c>
      <c r="HL56" s="161">
        <v>0.79200000000000004</v>
      </c>
      <c r="HM56" s="162">
        <f t="shared" si="18"/>
        <v>0.64634999999999998</v>
      </c>
      <c r="HN56" s="131">
        <f t="shared" si="67"/>
        <v>37.027999999999999</v>
      </c>
      <c r="HO56" s="159">
        <f t="shared" si="68"/>
        <v>4.3199999999998795E-2</v>
      </c>
      <c r="HQ56" s="183"/>
      <c r="HR56" s="183">
        <v>46</v>
      </c>
      <c r="HS56" s="178">
        <v>9353</v>
      </c>
      <c r="HT56" s="184">
        <v>15.5405</v>
      </c>
      <c r="HU56" s="184">
        <v>2.0825</v>
      </c>
      <c r="HV56" s="184">
        <v>0.79339999999999999</v>
      </c>
      <c r="HW56" s="171">
        <f t="shared" si="19"/>
        <v>0.64752083333333332</v>
      </c>
      <c r="HX56" s="53">
        <f t="shared" si="69"/>
        <v>37.026600000000002</v>
      </c>
      <c r="HY56" s="183">
        <f t="shared" si="70"/>
        <v>2.8100000000000236E-2</v>
      </c>
      <c r="IA56" s="194"/>
      <c r="IB56" s="194">
        <v>46</v>
      </c>
      <c r="IC56" s="193">
        <v>9353</v>
      </c>
      <c r="ID56" s="161">
        <v>15.5527</v>
      </c>
      <c r="IE56" s="184">
        <v>2.0840999999999998</v>
      </c>
      <c r="IF56" s="184">
        <v>0.79410000000000003</v>
      </c>
      <c r="IG56" s="171">
        <f t="shared" si="71"/>
        <v>0.64802916666666666</v>
      </c>
      <c r="IH56" s="53">
        <f t="shared" si="72"/>
        <v>37.0259</v>
      </c>
      <c r="II56" s="194">
        <f t="shared" si="73"/>
        <v>1.2199999999999989E-2</v>
      </c>
      <c r="IL56" s="199">
        <v>46</v>
      </c>
      <c r="IM56" s="197">
        <v>9353</v>
      </c>
      <c r="IN56" s="161">
        <v>15.616899999999999</v>
      </c>
      <c r="IO56" s="184">
        <v>2.0926999999999998</v>
      </c>
      <c r="IP56" s="184">
        <v>0.79730000000000001</v>
      </c>
      <c r="IQ56" s="171">
        <f t="shared" si="74"/>
        <v>0.65070416666666664</v>
      </c>
      <c r="IR56" s="53">
        <f t="shared" si="75"/>
        <v>37.0227</v>
      </c>
      <c r="IS56" s="199">
        <f t="shared" si="76"/>
        <v>6.4199999999999591E-2</v>
      </c>
      <c r="IU56" s="202"/>
      <c r="IV56" s="202">
        <v>46</v>
      </c>
      <c r="IW56" s="201">
        <v>9353</v>
      </c>
      <c r="IX56" s="184">
        <v>15.7035</v>
      </c>
      <c r="IY56" s="184">
        <v>2.1042999999999998</v>
      </c>
      <c r="IZ56" s="184">
        <v>0.80169999999999997</v>
      </c>
      <c r="JA56" s="162">
        <f t="shared" si="22"/>
        <v>0.65431249999999996</v>
      </c>
      <c r="JB56" s="53">
        <f t="shared" si="77"/>
        <v>37.018300000000004</v>
      </c>
      <c r="JC56" s="202">
        <f t="shared" si="78"/>
        <v>8.6600000000000676E-2</v>
      </c>
      <c r="JE56" s="204"/>
      <c r="JF56" s="204">
        <v>46</v>
      </c>
      <c r="JG56" s="203">
        <v>9353</v>
      </c>
      <c r="JH56" s="161">
        <v>15.731</v>
      </c>
      <c r="JI56" s="184">
        <v>2.1080000000000001</v>
      </c>
      <c r="JJ56" s="184">
        <v>0.80320000000000003</v>
      </c>
      <c r="JK56" s="162">
        <f t="shared" si="79"/>
        <v>0.65545833333333337</v>
      </c>
      <c r="JL56" s="53">
        <f t="shared" si="80"/>
        <v>37.016800000000003</v>
      </c>
      <c r="JM56" s="204">
        <f t="shared" si="117"/>
        <v>2.7499999999999858E-2</v>
      </c>
      <c r="JN56" s="204"/>
      <c r="JP56" s="209">
        <v>46</v>
      </c>
      <c r="JQ56" s="205">
        <v>9353</v>
      </c>
      <c r="JR56" s="161">
        <v>15.7531</v>
      </c>
      <c r="JS56" s="184">
        <v>2.1110000000000002</v>
      </c>
      <c r="JT56" s="184">
        <v>0.80430000000000001</v>
      </c>
      <c r="JU56" s="162">
        <f t="shared" si="81"/>
        <v>0.65637916666666662</v>
      </c>
      <c r="JV56" s="53">
        <f t="shared" si="82"/>
        <v>37.015700000000002</v>
      </c>
      <c r="JW56" s="209">
        <f t="shared" si="118"/>
        <v>2.2100000000000009E-2</v>
      </c>
      <c r="JX56" s="213"/>
      <c r="JY56" s="213"/>
      <c r="JZ56" s="213">
        <v>46</v>
      </c>
      <c r="KA56" s="206">
        <v>9353</v>
      </c>
      <c r="KB56" s="184">
        <v>15.805</v>
      </c>
      <c r="KC56" s="184">
        <v>2.1179000000000001</v>
      </c>
      <c r="KD56" s="184">
        <v>0.80689999999999995</v>
      </c>
      <c r="KE56" s="162">
        <f t="shared" si="83"/>
        <v>0.65854166666666669</v>
      </c>
      <c r="KF56" s="53">
        <f t="shared" si="84"/>
        <v>37.013100000000001</v>
      </c>
      <c r="KG56" s="213">
        <f t="shared" si="119"/>
        <v>5.1899999999999835E-2</v>
      </c>
      <c r="KI56" s="219"/>
      <c r="KJ56" s="219">
        <v>46</v>
      </c>
      <c r="KK56" s="214">
        <v>9353</v>
      </c>
      <c r="KL56" s="161">
        <v>15.8223</v>
      </c>
      <c r="KM56" s="161">
        <v>2.1202000000000001</v>
      </c>
      <c r="KN56" s="161">
        <v>0.80779999999999996</v>
      </c>
      <c r="KO56" s="162">
        <f t="shared" si="24"/>
        <v>0.65926249999999997</v>
      </c>
      <c r="KP56" s="53">
        <f t="shared" si="85"/>
        <v>37.0122</v>
      </c>
      <c r="KQ56" s="219">
        <f t="shared" si="120"/>
        <v>1.7300000000000537E-2</v>
      </c>
      <c r="KT56" s="223">
        <v>46</v>
      </c>
      <c r="KU56" s="216">
        <v>9353</v>
      </c>
      <c r="KV56" s="161">
        <v>15.8405</v>
      </c>
      <c r="KW56" s="161">
        <v>2.1227</v>
      </c>
      <c r="KX56" s="161">
        <v>0.80869999999999997</v>
      </c>
      <c r="KY56" s="162">
        <f t="shared" si="86"/>
        <v>0.66002083333333339</v>
      </c>
      <c r="KZ56" s="53">
        <f t="shared" si="87"/>
        <v>37.011299999999999</v>
      </c>
      <c r="LA56" s="223">
        <f t="shared" si="121"/>
        <v>1.8200000000000216E-2</v>
      </c>
      <c r="LD56" s="228">
        <v>46</v>
      </c>
      <c r="LE56" s="221">
        <v>9353</v>
      </c>
      <c r="LF56" s="161">
        <v>15.8558</v>
      </c>
      <c r="LG56" s="161">
        <v>2.1246999999999998</v>
      </c>
      <c r="LH56" s="161">
        <v>0.8095</v>
      </c>
      <c r="LI56" s="162">
        <f t="shared" si="88"/>
        <v>0.66065833333333335</v>
      </c>
      <c r="LJ56" s="53">
        <f t="shared" si="89"/>
        <v>37.0105</v>
      </c>
      <c r="LK56" s="228">
        <f t="shared" si="122"/>
        <v>1.5299999999999869E-2</v>
      </c>
      <c r="LL56" s="231"/>
      <c r="LM56" s="231"/>
      <c r="LN56" s="231">
        <v>46</v>
      </c>
      <c r="LO56" s="226">
        <v>9353</v>
      </c>
      <c r="LP56" s="184">
        <v>15.8772</v>
      </c>
      <c r="LQ56" s="184">
        <v>2.1276000000000002</v>
      </c>
      <c r="LR56" s="184">
        <v>0.81059999999999999</v>
      </c>
      <c r="LS56" s="162">
        <f t="shared" si="90"/>
        <v>0.66154999999999997</v>
      </c>
      <c r="LT56" s="53">
        <f t="shared" si="91"/>
        <v>37.009399999999999</v>
      </c>
      <c r="LU56" s="231">
        <f t="shared" si="123"/>
        <v>2.1399999999999864E-2</v>
      </c>
      <c r="LW56" s="231"/>
      <c r="LX56" s="231">
        <v>46</v>
      </c>
      <c r="LY56" s="234">
        <v>9353</v>
      </c>
      <c r="LZ56" s="184">
        <v>15.901199999999999</v>
      </c>
      <c r="MA56" s="184">
        <v>2.1307999999999998</v>
      </c>
      <c r="MB56" s="184">
        <v>0.81179999999999997</v>
      </c>
      <c r="MC56" s="162">
        <f t="shared" si="92"/>
        <v>0.66254999999999997</v>
      </c>
      <c r="MD56" s="53">
        <f t="shared" si="93"/>
        <v>37.008200000000002</v>
      </c>
      <c r="ME56" s="231">
        <f t="shared" si="124"/>
        <v>2.3999999999999133E-2</v>
      </c>
      <c r="MF56" s="231"/>
      <c r="MG56" s="231"/>
      <c r="MH56" s="231">
        <v>46</v>
      </c>
      <c r="MI56" s="236">
        <v>9353</v>
      </c>
      <c r="MJ56" s="184">
        <v>15.924899999999999</v>
      </c>
      <c r="MK56" s="184">
        <v>2.1339999999999999</v>
      </c>
      <c r="ML56" s="184">
        <v>0.81310000000000004</v>
      </c>
      <c r="MM56" s="162">
        <f t="shared" si="94"/>
        <v>0.6635375</v>
      </c>
      <c r="MN56" s="53">
        <f t="shared" si="95"/>
        <v>37.006900000000002</v>
      </c>
      <c r="MO56" s="231">
        <f t="shared" si="125"/>
        <v>2.3699999999999832E-2</v>
      </c>
      <c r="MP56" s="231"/>
      <c r="MQ56" s="231"/>
      <c r="MR56" s="231">
        <v>46</v>
      </c>
      <c r="MS56" s="34">
        <v>9353</v>
      </c>
      <c r="MT56" s="184">
        <v>15.9701</v>
      </c>
      <c r="MU56" s="184">
        <v>2.1400999999999999</v>
      </c>
      <c r="MV56" s="184">
        <v>0.81540000000000001</v>
      </c>
      <c r="MW56" s="162">
        <f t="shared" si="96"/>
        <v>0.66542083333333335</v>
      </c>
      <c r="MX56" s="53">
        <f t="shared" si="97"/>
        <v>37.004600000000003</v>
      </c>
      <c r="MY56" s="231">
        <f t="shared" si="126"/>
        <v>4.5200000000001239E-2</v>
      </c>
      <c r="MZ56" s="246"/>
      <c r="NA56" s="246"/>
      <c r="NB56" s="246">
        <v>46</v>
      </c>
      <c r="NC56" s="34">
        <v>9353</v>
      </c>
      <c r="ND56" s="184">
        <v>16.016300000000001</v>
      </c>
      <c r="NE56" s="184">
        <v>2.1461999999999999</v>
      </c>
      <c r="NF56" s="184">
        <v>0.81769999999999998</v>
      </c>
      <c r="NG56" s="162">
        <f t="shared" si="98"/>
        <v>0.66734583333333342</v>
      </c>
      <c r="NH56" s="53">
        <f t="shared" si="99"/>
        <v>37.002299999999998</v>
      </c>
      <c r="NI56" s="232">
        <f t="shared" si="127"/>
        <v>4.6200000000000685E-2</v>
      </c>
      <c r="NK56" s="250"/>
      <c r="NL56" s="250">
        <v>46</v>
      </c>
      <c r="NM56" s="34">
        <v>9353</v>
      </c>
      <c r="NN56" s="184">
        <v>16.029900000000001</v>
      </c>
      <c r="NO56" s="184">
        <v>2.1480999999999999</v>
      </c>
      <c r="NP56" s="184">
        <v>0.81840000000000002</v>
      </c>
      <c r="NQ56" s="162">
        <f t="shared" si="133"/>
        <v>0.66791250000000002</v>
      </c>
      <c r="NR56" s="53">
        <f t="shared" si="101"/>
        <v>37.001600000000003</v>
      </c>
      <c r="NS56" s="232">
        <f t="shared" si="128"/>
        <v>1.3600000000000279E-2</v>
      </c>
      <c r="NU56" s="250"/>
      <c r="NV56" s="250">
        <v>46</v>
      </c>
      <c r="NW56" s="34">
        <v>9353</v>
      </c>
      <c r="NX56" s="184">
        <v>16.051500000000001</v>
      </c>
      <c r="NY56" s="184">
        <v>2.1509999999999998</v>
      </c>
      <c r="NZ56" s="184">
        <v>0.81950000000000001</v>
      </c>
      <c r="OA56" s="162">
        <f t="shared" si="134"/>
        <v>0.66881250000000003</v>
      </c>
      <c r="OB56" s="53">
        <f t="shared" si="103"/>
        <v>37.000500000000002</v>
      </c>
      <c r="OC56" s="232">
        <f t="shared" si="129"/>
        <v>2.1599999999999397E-2</v>
      </c>
      <c r="OE56" s="250"/>
      <c r="OF56" s="250">
        <v>46</v>
      </c>
      <c r="OG56" s="34">
        <v>9353</v>
      </c>
      <c r="OH56" s="184">
        <v>16.0623</v>
      </c>
      <c r="OI56" s="184">
        <v>2.1524000000000001</v>
      </c>
      <c r="OJ56" s="184">
        <v>0.82010000000000005</v>
      </c>
      <c r="OK56" s="162">
        <f t="shared" si="135"/>
        <v>0.66926249999999998</v>
      </c>
      <c r="OL56" s="53">
        <f t="shared" si="105"/>
        <v>36.999899999999997</v>
      </c>
      <c r="OM56" s="232">
        <f t="shared" si="130"/>
        <v>1.0799999999999699E-2</v>
      </c>
      <c r="OP56" s="250">
        <v>46</v>
      </c>
      <c r="OQ56" s="34">
        <v>9353</v>
      </c>
      <c r="OR56" s="184">
        <f>VLOOKUP(OQ56,Sheet4!A17:F93,3,0)</f>
        <v>16.0871</v>
      </c>
      <c r="OS56" s="184">
        <f>VLOOKUP(OQ56,Sheet4!A17:F93,4,0)</f>
        <v>2.1556999999999999</v>
      </c>
      <c r="OT56" s="184">
        <f>VLOOKUP(OQ56,Sheet4!A17:F93,5,0)</f>
        <v>0.82130000000000003</v>
      </c>
      <c r="OU56" s="162">
        <f t="shared" si="106"/>
        <v>0.67029583333333331</v>
      </c>
      <c r="OV56" s="53">
        <f t="shared" si="107"/>
        <v>36.998699999999999</v>
      </c>
      <c r="OW56" s="232">
        <f t="shared" si="131"/>
        <v>2.4799999999999045E-2</v>
      </c>
    </row>
    <row r="57" spans="1:413" ht="15.75" x14ac:dyDescent="0.25">
      <c r="A57">
        <v>49</v>
      </c>
      <c r="B57" s="1">
        <v>9888</v>
      </c>
      <c r="C57" s="1" t="s">
        <v>1</v>
      </c>
      <c r="D57" s="2">
        <v>37.4</v>
      </c>
      <c r="E57" s="8"/>
      <c r="F57" s="8"/>
      <c r="G57" s="8"/>
      <c r="H57" s="8"/>
      <c r="J57" s="15">
        <v>9888</v>
      </c>
      <c r="K57" s="15">
        <v>6.8352000000000004</v>
      </c>
      <c r="L57" s="15">
        <v>0.91590000000000005</v>
      </c>
      <c r="M57" s="15">
        <v>0.34899999999999998</v>
      </c>
      <c r="N57" s="24">
        <f t="shared" si="42"/>
        <v>0.2848</v>
      </c>
      <c r="O57" s="10">
        <f t="shared" si="139"/>
        <v>37.051000000000002</v>
      </c>
      <c r="P57" s="18"/>
      <c r="R57" s="20">
        <v>9888</v>
      </c>
      <c r="S57" s="9">
        <v>6.8901000000000003</v>
      </c>
      <c r="T57" s="9">
        <v>0.92330000000000001</v>
      </c>
      <c r="U57" s="9">
        <v>0.3518</v>
      </c>
      <c r="V57" s="24">
        <f t="shared" si="43"/>
        <v>0.2870875</v>
      </c>
      <c r="W57" s="10">
        <f t="shared" si="140"/>
        <v>37.048200000000001</v>
      </c>
      <c r="X57" s="18"/>
      <c r="Z57" s="27">
        <v>9888</v>
      </c>
      <c r="AA57" s="9">
        <v>7.0250000000000004</v>
      </c>
      <c r="AB57" s="9">
        <v>0.94140000000000001</v>
      </c>
      <c r="AC57" s="9">
        <v>0.35870000000000002</v>
      </c>
      <c r="AD57" s="24">
        <f t="shared" si="45"/>
        <v>0.29270833333333335</v>
      </c>
      <c r="AE57" s="10">
        <f t="shared" si="46"/>
        <v>37.0413</v>
      </c>
      <c r="AF57" s="79"/>
      <c r="AG57">
        <v>49</v>
      </c>
      <c r="AH57" s="1">
        <v>9888</v>
      </c>
      <c r="AI57" s="1" t="s">
        <v>1</v>
      </c>
      <c r="AJ57" s="2">
        <v>37.4</v>
      </c>
      <c r="AL57" s="32">
        <v>9888</v>
      </c>
      <c r="AM57" s="9">
        <v>7.1723999999999997</v>
      </c>
      <c r="AN57" s="9">
        <v>0.96109999999999995</v>
      </c>
      <c r="AO57" s="9">
        <v>0.36620000000000003</v>
      </c>
      <c r="AP57" s="37">
        <f t="shared" si="0"/>
        <v>0.29885</v>
      </c>
      <c r="AQ57" s="53">
        <f t="shared" si="108"/>
        <v>37.033799999999999</v>
      </c>
      <c r="AT57" s="39"/>
      <c r="AU57" s="38">
        <v>9888</v>
      </c>
      <c r="AV57" s="9">
        <v>7.2351000000000001</v>
      </c>
      <c r="AW57" s="43">
        <v>0.96950000000000003</v>
      </c>
      <c r="AX57" s="43">
        <v>0.36940000000000001</v>
      </c>
      <c r="AY57" s="47">
        <f t="shared" si="47"/>
        <v>0.30146250000000002</v>
      </c>
      <c r="AZ57" s="56">
        <f t="shared" si="109"/>
        <v>37.0306</v>
      </c>
      <c r="BD57" s="54">
        <v>9888</v>
      </c>
      <c r="BE57" s="53">
        <v>7.2422000000000004</v>
      </c>
      <c r="BF57" s="58">
        <v>0.97050000000000003</v>
      </c>
      <c r="BG57" s="58">
        <v>0.36980000000000002</v>
      </c>
      <c r="BH57" s="47">
        <f t="shared" si="48"/>
        <v>0.30175833333333335</v>
      </c>
      <c r="BI57" s="56">
        <f t="shared" si="49"/>
        <v>37.030200000000001</v>
      </c>
      <c r="BJ57" s="88"/>
      <c r="BK57" s="88"/>
      <c r="BL57" s="88"/>
      <c r="BN57" s="9">
        <v>9888</v>
      </c>
      <c r="BO57" s="53">
        <v>7.2686999999999999</v>
      </c>
      <c r="BP57" s="53">
        <v>0.97399999999999998</v>
      </c>
      <c r="BQ57" s="53">
        <v>0.37109999999999999</v>
      </c>
      <c r="BR57" s="53">
        <f t="shared" si="50"/>
        <v>0.30286249999999998</v>
      </c>
      <c r="BS57" s="53">
        <f t="shared" si="51"/>
        <v>37.0289</v>
      </c>
      <c r="BV57" s="88"/>
      <c r="BX57" s="93">
        <v>9888</v>
      </c>
      <c r="BY57" s="9">
        <v>7.3208000000000002</v>
      </c>
      <c r="BZ57" s="9">
        <v>0.98099999999999998</v>
      </c>
      <c r="CA57" s="9">
        <v>0.37380000000000002</v>
      </c>
      <c r="CB57" s="58">
        <f t="shared" si="52"/>
        <v>0.30503333333333332</v>
      </c>
      <c r="CC57" s="53">
        <f t="shared" si="110"/>
        <v>37.026199999999996</v>
      </c>
      <c r="CF57" s="88"/>
      <c r="CG57">
        <v>47</v>
      </c>
      <c r="CH57" s="93">
        <v>9888</v>
      </c>
      <c r="CI57" s="93">
        <v>7.3655999999999997</v>
      </c>
      <c r="CJ57" s="9">
        <v>0.98699999999999999</v>
      </c>
      <c r="CK57" s="9">
        <v>0.37609999999999999</v>
      </c>
      <c r="CL57" s="47">
        <f t="shared" si="5"/>
        <v>0.30690000000000001</v>
      </c>
      <c r="CM57" s="53">
        <f t="shared" si="53"/>
        <v>37.023899999999998</v>
      </c>
      <c r="CQ57">
        <v>47</v>
      </c>
      <c r="CR57" s="98">
        <v>9888</v>
      </c>
      <c r="CS57" s="101">
        <v>7.4218999999999999</v>
      </c>
      <c r="CT57" s="101">
        <v>0.99460000000000004</v>
      </c>
      <c r="CU57" s="101">
        <v>0.37890000000000001</v>
      </c>
      <c r="CV57" s="47">
        <f t="shared" si="6"/>
        <v>0.30924583333333333</v>
      </c>
      <c r="CW57" s="53">
        <f t="shared" si="141"/>
        <v>37.021099999999997</v>
      </c>
      <c r="DA57">
        <v>47</v>
      </c>
      <c r="DB57" s="106">
        <v>9888</v>
      </c>
      <c r="DC57" s="107">
        <v>7.4273999999999996</v>
      </c>
      <c r="DD57" s="107">
        <v>0.99529999999999996</v>
      </c>
      <c r="DE57" s="107">
        <v>0.37919999999999998</v>
      </c>
      <c r="DF57" s="47">
        <f t="shared" si="136"/>
        <v>0.309475</v>
      </c>
      <c r="DG57" s="53">
        <f t="shared" si="111"/>
        <v>37.020800000000001</v>
      </c>
      <c r="DK57">
        <v>47</v>
      </c>
      <c r="DL57" s="110">
        <v>9888</v>
      </c>
      <c r="DM57" s="53">
        <v>7.4916999999999998</v>
      </c>
      <c r="DN57" s="53">
        <v>1.0039</v>
      </c>
      <c r="DO57" s="53">
        <v>0.38250000000000001</v>
      </c>
      <c r="DP57" s="47">
        <f t="shared" si="137"/>
        <v>0.31215416666666668</v>
      </c>
      <c r="DQ57" s="53">
        <f t="shared" si="54"/>
        <v>37.017499999999998</v>
      </c>
      <c r="DS57" s="3">
        <f t="shared" si="55"/>
        <v>6.4300000000000246E-2</v>
      </c>
      <c r="DU57">
        <v>47</v>
      </c>
      <c r="DV57" s="115">
        <v>9888</v>
      </c>
      <c r="DW57" s="53">
        <f>Sheet3!B$59</f>
        <v>7.5317999999999996</v>
      </c>
      <c r="DX57" s="53">
        <f>Sheet3!C$59</f>
        <v>1.0093000000000001</v>
      </c>
      <c r="DY57" s="53">
        <f>Sheet3!D$59</f>
        <v>0.38450000000000001</v>
      </c>
      <c r="DZ57" s="47">
        <f t="shared" si="138"/>
        <v>0.31382499999999997</v>
      </c>
      <c r="EA57" s="53">
        <f t="shared" si="112"/>
        <v>37.015499999999996</v>
      </c>
      <c r="EB57" s="3"/>
      <c r="EE57">
        <v>47</v>
      </c>
      <c r="EF57" s="118">
        <v>9888</v>
      </c>
      <c r="EG57" s="9">
        <v>7.5944000000000003</v>
      </c>
      <c r="EH57" s="9">
        <v>1.0177</v>
      </c>
      <c r="EI57" s="9">
        <v>0.38769999999999999</v>
      </c>
      <c r="EJ57" s="47">
        <f t="shared" si="10"/>
        <v>0.31643333333333334</v>
      </c>
      <c r="EK57" s="53">
        <f t="shared" si="56"/>
        <v>37.012299999999996</v>
      </c>
      <c r="EM57" s="3">
        <f t="shared" si="57"/>
        <v>-3.1999999999996476E-3</v>
      </c>
      <c r="EN57" s="3"/>
      <c r="EO57">
        <v>47</v>
      </c>
      <c r="EP57" s="121">
        <v>9888</v>
      </c>
      <c r="EQ57" s="122">
        <v>7.7187999999999999</v>
      </c>
      <c r="ER57" s="122">
        <v>1.0343</v>
      </c>
      <c r="ES57" s="129">
        <v>0.39410000000000001</v>
      </c>
      <c r="ET57" s="130">
        <f t="shared" si="11"/>
        <v>0.32161666666666666</v>
      </c>
      <c r="EU57" s="131">
        <f t="shared" si="58"/>
        <v>37.005899999999997</v>
      </c>
      <c r="EX57" s="3"/>
      <c r="EY57">
        <v>47</v>
      </c>
      <c r="EZ57" s="135">
        <v>9888</v>
      </c>
      <c r="FA57" s="135">
        <v>7.7774999999999999</v>
      </c>
      <c r="FB57" s="135">
        <v>1.0422</v>
      </c>
      <c r="FC57" s="135">
        <v>0.39710000000000001</v>
      </c>
      <c r="FD57" s="136">
        <f t="shared" si="12"/>
        <v>0.32406249999999998</v>
      </c>
      <c r="FE57" s="131">
        <f t="shared" si="59"/>
        <v>37.002899999999997</v>
      </c>
      <c r="FG57" s="123">
        <f t="shared" si="60"/>
        <v>-3.0000000000001137E-3</v>
      </c>
      <c r="FH57" s="3"/>
      <c r="FI57">
        <v>47</v>
      </c>
      <c r="FJ57" s="145">
        <v>9888</v>
      </c>
      <c r="FK57" s="9">
        <v>7.8556999999999997</v>
      </c>
      <c r="FL57" s="9">
        <v>1.0527</v>
      </c>
      <c r="FM57" s="9">
        <v>0.40110000000000001</v>
      </c>
      <c r="FN57" s="146">
        <f t="shared" si="113"/>
        <v>0.32732083333333334</v>
      </c>
      <c r="FO57" s="131">
        <f t="shared" si="61"/>
        <v>36.998899999999999</v>
      </c>
      <c r="FP57" s="123">
        <f t="shared" si="62"/>
        <v>-3.9999999999977831E-3</v>
      </c>
      <c r="FS57">
        <v>47</v>
      </c>
      <c r="FT57" s="147">
        <v>9888</v>
      </c>
      <c r="FU57" s="148">
        <v>7.8718000000000004</v>
      </c>
      <c r="FV57" s="148">
        <v>1.0548999999999999</v>
      </c>
      <c r="FW57" s="148">
        <v>0.40189999999999998</v>
      </c>
      <c r="FX57" s="150">
        <f t="shared" si="114"/>
        <v>0.32799166666666668</v>
      </c>
      <c r="FY57" s="131">
        <f t="shared" si="115"/>
        <v>36.998100000000001</v>
      </c>
      <c r="FZ57">
        <f t="shared" si="63"/>
        <v>1.6100000000000669E-2</v>
      </c>
      <c r="GC57">
        <v>47</v>
      </c>
      <c r="GD57" s="151">
        <v>9888</v>
      </c>
      <c r="GE57" s="151">
        <v>7.9116</v>
      </c>
      <c r="GF57" s="151">
        <v>1.0602</v>
      </c>
      <c r="GG57" s="151">
        <v>0.40389999999999998</v>
      </c>
      <c r="GH57" s="153">
        <f t="shared" si="132"/>
        <v>0.32965</v>
      </c>
      <c r="GI57" s="131">
        <f t="shared" si="64"/>
        <v>36.996099999999998</v>
      </c>
      <c r="GJ57">
        <f t="shared" si="142"/>
        <v>3.9799999999999613E-2</v>
      </c>
      <c r="GM57">
        <v>47</v>
      </c>
      <c r="GN57" s="155">
        <v>9888</v>
      </c>
      <c r="GO57" s="155">
        <v>7.9958999999999998</v>
      </c>
      <c r="GP57" s="155">
        <v>1.0714999999999999</v>
      </c>
      <c r="GQ57" s="155">
        <v>0.40820000000000001</v>
      </c>
      <c r="GR57" s="58">
        <f t="shared" si="65"/>
        <v>0.33316249999999997</v>
      </c>
      <c r="GS57" s="131">
        <f t="shared" si="66"/>
        <v>36.991799999999998</v>
      </c>
      <c r="GT57">
        <f t="shared" si="143"/>
        <v>8.429999999999982E-2</v>
      </c>
      <c r="GW57">
        <v>47</v>
      </c>
      <c r="GX57" s="157">
        <v>9888</v>
      </c>
      <c r="GY57" s="161">
        <f>VLOOKUP(GX57,Sheet3!$AJ$7:$AN$83,2,0)</f>
        <v>8.1029</v>
      </c>
      <c r="GZ57" s="161">
        <f>VLOOKUP(GX57,Sheet3!$AJ$7:$AN$83,3,0)</f>
        <v>1.0858000000000001</v>
      </c>
      <c r="HA57" s="161">
        <f>VLOOKUP(GX57,Sheet3!$AJ$7:$AN$83,4,0)</f>
        <v>0.41370000000000001</v>
      </c>
      <c r="HB57" s="162">
        <f t="shared" si="17"/>
        <v>0.33762083333333331</v>
      </c>
      <c r="HC57" s="131">
        <f t="shared" si="116"/>
        <v>36.9863</v>
      </c>
      <c r="HD57" s="159">
        <f t="shared" si="144"/>
        <v>0.10700000000000021</v>
      </c>
      <c r="HE57" s="159">
        <f t="shared" si="145"/>
        <v>5.5000000000000049E-3</v>
      </c>
      <c r="HG57" s="159"/>
      <c r="HH57" s="159">
        <v>47</v>
      </c>
      <c r="HI57" s="158">
        <v>9888</v>
      </c>
      <c r="HJ57" s="161">
        <v>8.1461000000000006</v>
      </c>
      <c r="HK57" s="161">
        <v>1.0915999999999999</v>
      </c>
      <c r="HL57" s="161">
        <v>0.41589999999999999</v>
      </c>
      <c r="HM57" s="162">
        <f t="shared" si="18"/>
        <v>0.33942083333333334</v>
      </c>
      <c r="HN57" s="131">
        <f t="shared" si="67"/>
        <v>36.984099999999998</v>
      </c>
      <c r="HO57" s="159">
        <f t="shared" si="68"/>
        <v>4.3200000000000571E-2</v>
      </c>
      <c r="HQ57" s="183"/>
      <c r="HR57" s="183">
        <v>47</v>
      </c>
      <c r="HS57" s="178">
        <v>9888</v>
      </c>
      <c r="HT57" s="184">
        <v>8.1742000000000008</v>
      </c>
      <c r="HU57" s="184">
        <v>1.0953999999999999</v>
      </c>
      <c r="HV57" s="184">
        <v>0.4173</v>
      </c>
      <c r="HW57" s="171">
        <f t="shared" si="19"/>
        <v>0.34059166666666668</v>
      </c>
      <c r="HX57" s="53">
        <f t="shared" si="69"/>
        <v>36.982700000000001</v>
      </c>
      <c r="HY57" s="183">
        <f t="shared" si="70"/>
        <v>2.8100000000000236E-2</v>
      </c>
      <c r="IA57" s="194"/>
      <c r="IB57" s="194">
        <v>47</v>
      </c>
      <c r="IC57" s="193">
        <v>9888</v>
      </c>
      <c r="ID57" s="161">
        <v>8.1864000000000008</v>
      </c>
      <c r="IE57" s="184">
        <v>1.097</v>
      </c>
      <c r="IF57" s="184">
        <v>0.41799999999999998</v>
      </c>
      <c r="IG57" s="171">
        <f t="shared" si="71"/>
        <v>0.34110000000000001</v>
      </c>
      <c r="IH57" s="53">
        <f t="shared" si="72"/>
        <v>36.981999999999999</v>
      </c>
      <c r="II57" s="194">
        <f t="shared" si="73"/>
        <v>1.2199999999999989E-2</v>
      </c>
      <c r="IL57" s="199">
        <v>47</v>
      </c>
      <c r="IM57" s="197">
        <v>9888</v>
      </c>
      <c r="IN57" s="161">
        <v>8.2506000000000004</v>
      </c>
      <c r="IO57" s="184">
        <v>1.1055999999999999</v>
      </c>
      <c r="IP57" s="184">
        <v>0.42120000000000002</v>
      </c>
      <c r="IQ57" s="171">
        <f t="shared" si="74"/>
        <v>0.343775</v>
      </c>
      <c r="IR57" s="53">
        <f t="shared" si="75"/>
        <v>36.9788</v>
      </c>
      <c r="IS57" s="199">
        <f t="shared" si="76"/>
        <v>6.4199999999999591E-2</v>
      </c>
      <c r="IU57" s="202"/>
      <c r="IV57" s="202">
        <v>47</v>
      </c>
      <c r="IW57" s="201">
        <v>9888</v>
      </c>
      <c r="IX57" s="184">
        <v>8.3371999999999993</v>
      </c>
      <c r="IY57" s="184">
        <v>1.1172</v>
      </c>
      <c r="IZ57" s="184">
        <v>0.42570000000000002</v>
      </c>
      <c r="JA57" s="162">
        <f t="shared" si="22"/>
        <v>0.34738333333333332</v>
      </c>
      <c r="JB57" s="53">
        <f t="shared" si="77"/>
        <v>36.974299999999999</v>
      </c>
      <c r="JC57" s="202">
        <f t="shared" si="78"/>
        <v>8.65999999999989E-2</v>
      </c>
      <c r="JE57" s="204"/>
      <c r="JF57" s="204">
        <v>47</v>
      </c>
      <c r="JG57" s="203">
        <v>9888</v>
      </c>
      <c r="JH57" s="161">
        <v>8.3646999999999991</v>
      </c>
      <c r="JI57" s="184">
        <v>1.1209</v>
      </c>
      <c r="JJ57" s="184">
        <v>0.42709999999999998</v>
      </c>
      <c r="JK57" s="162">
        <f t="shared" si="79"/>
        <v>0.34852916666666661</v>
      </c>
      <c r="JL57" s="53">
        <f t="shared" si="80"/>
        <v>36.972899999999996</v>
      </c>
      <c r="JM57" s="204">
        <f t="shared" si="117"/>
        <v>2.7499999999999858E-2</v>
      </c>
      <c r="JN57" s="204"/>
      <c r="JP57" s="209">
        <v>47</v>
      </c>
      <c r="JQ57" s="205">
        <v>9888</v>
      </c>
      <c r="JR57" s="161">
        <v>8.3867999999999991</v>
      </c>
      <c r="JS57" s="184">
        <v>1.1238999999999999</v>
      </c>
      <c r="JT57" s="184">
        <v>0.42820000000000003</v>
      </c>
      <c r="JU57" s="162">
        <f t="shared" si="81"/>
        <v>0.34944999999999998</v>
      </c>
      <c r="JV57" s="53">
        <f t="shared" si="82"/>
        <v>36.971800000000002</v>
      </c>
      <c r="JW57" s="209">
        <f t="shared" si="118"/>
        <v>2.2100000000000009E-2</v>
      </c>
      <c r="JX57" s="213"/>
      <c r="JY57" s="213"/>
      <c r="JZ57" s="213">
        <v>47</v>
      </c>
      <c r="KA57" s="206">
        <v>9888</v>
      </c>
      <c r="KB57" s="184">
        <v>8.4387000000000008</v>
      </c>
      <c r="KC57" s="184">
        <v>1.1308</v>
      </c>
      <c r="KD57" s="184">
        <v>0.43080000000000002</v>
      </c>
      <c r="KE57" s="162">
        <f t="shared" si="83"/>
        <v>0.35161250000000005</v>
      </c>
      <c r="KF57" s="53">
        <f t="shared" si="84"/>
        <v>36.969200000000001</v>
      </c>
      <c r="KG57" s="213">
        <f t="shared" si="119"/>
        <v>5.1900000000001612E-2</v>
      </c>
      <c r="KI57" s="219"/>
      <c r="KJ57" s="219">
        <v>47</v>
      </c>
      <c r="KK57" s="214">
        <v>9888</v>
      </c>
      <c r="KL57" s="161">
        <v>8.4559999999999995</v>
      </c>
      <c r="KM57" s="161">
        <v>1.1331</v>
      </c>
      <c r="KN57" s="161">
        <v>0.43169999999999997</v>
      </c>
      <c r="KO57" s="162">
        <f t="shared" si="24"/>
        <v>0.35233333333333333</v>
      </c>
      <c r="KP57" s="53">
        <f t="shared" si="85"/>
        <v>36.968299999999999</v>
      </c>
      <c r="KQ57" s="219">
        <f t="shared" si="120"/>
        <v>1.7299999999998761E-2</v>
      </c>
      <c r="KT57" s="223">
        <v>47</v>
      </c>
      <c r="KU57" s="216">
        <v>9888</v>
      </c>
      <c r="KV57" s="161">
        <v>8.4741999999999997</v>
      </c>
      <c r="KW57" s="161">
        <v>1.1355999999999999</v>
      </c>
      <c r="KX57" s="161">
        <v>0.43269999999999997</v>
      </c>
      <c r="KY57" s="162">
        <f t="shared" si="86"/>
        <v>0.35309166666666664</v>
      </c>
      <c r="KZ57" s="53">
        <f t="shared" si="87"/>
        <v>36.967300000000002</v>
      </c>
      <c r="LA57" s="223">
        <f t="shared" si="121"/>
        <v>1.8200000000000216E-2</v>
      </c>
      <c r="LD57" s="228">
        <v>47</v>
      </c>
      <c r="LE57" s="221">
        <v>9888</v>
      </c>
      <c r="LF57" s="161">
        <v>8.4894999999999996</v>
      </c>
      <c r="LG57" s="161">
        <v>1.1375999999999999</v>
      </c>
      <c r="LH57" s="161">
        <v>0.43340000000000001</v>
      </c>
      <c r="LI57" s="162">
        <f t="shared" si="88"/>
        <v>0.35372916666666665</v>
      </c>
      <c r="LJ57" s="53">
        <f t="shared" si="89"/>
        <v>36.9666</v>
      </c>
      <c r="LK57" s="228">
        <f t="shared" si="122"/>
        <v>1.5299999999999869E-2</v>
      </c>
      <c r="LL57" s="231"/>
      <c r="LM57" s="231"/>
      <c r="LN57" s="231">
        <v>47</v>
      </c>
      <c r="LO57" s="226">
        <v>9888</v>
      </c>
      <c r="LP57" s="184">
        <v>8.5108999999999995</v>
      </c>
      <c r="LQ57" s="184">
        <v>1.1405000000000001</v>
      </c>
      <c r="LR57" s="184">
        <v>0.4345</v>
      </c>
      <c r="LS57" s="162">
        <f t="shared" si="90"/>
        <v>0.35462083333333333</v>
      </c>
      <c r="LT57" s="53">
        <f t="shared" si="91"/>
        <v>36.965499999999999</v>
      </c>
      <c r="LU57" s="231">
        <f t="shared" si="123"/>
        <v>2.1399999999999864E-2</v>
      </c>
      <c r="LW57" s="231"/>
      <c r="LX57" s="231">
        <v>47</v>
      </c>
      <c r="LY57" s="234">
        <v>9888</v>
      </c>
      <c r="LZ57" s="184">
        <v>8.5349000000000004</v>
      </c>
      <c r="MA57" s="184">
        <v>1.1436999999999999</v>
      </c>
      <c r="MB57" s="184">
        <v>0.43580000000000002</v>
      </c>
      <c r="MC57" s="162">
        <f t="shared" si="92"/>
        <v>0.35562083333333333</v>
      </c>
      <c r="MD57" s="53">
        <f t="shared" si="93"/>
        <v>36.964199999999998</v>
      </c>
      <c r="ME57" s="231">
        <f t="shared" si="124"/>
        <v>2.4000000000000909E-2</v>
      </c>
      <c r="MF57" s="231"/>
      <c r="MG57" s="231"/>
      <c r="MH57" s="231">
        <v>47</v>
      </c>
      <c r="MI57" s="236">
        <v>9888</v>
      </c>
      <c r="MJ57" s="184">
        <v>8.5586000000000002</v>
      </c>
      <c r="MK57" s="184">
        <v>1.1469</v>
      </c>
      <c r="ML57" s="184">
        <v>0.437</v>
      </c>
      <c r="MM57" s="162">
        <f t="shared" si="94"/>
        <v>0.35660833333333336</v>
      </c>
      <c r="MN57" s="53">
        <f t="shared" si="95"/>
        <v>36.963000000000001</v>
      </c>
      <c r="MO57" s="231">
        <f t="shared" si="125"/>
        <v>2.3699999999999832E-2</v>
      </c>
      <c r="MP57" s="231"/>
      <c r="MQ57" s="231"/>
      <c r="MR57" s="231">
        <v>47</v>
      </c>
      <c r="MS57" s="34">
        <v>9888</v>
      </c>
      <c r="MT57" s="184">
        <v>8.6037999999999997</v>
      </c>
      <c r="MU57" s="184">
        <v>1.1529</v>
      </c>
      <c r="MV57" s="184">
        <v>0.43930000000000002</v>
      </c>
      <c r="MW57" s="162">
        <f t="shared" si="96"/>
        <v>0.35849166666666665</v>
      </c>
      <c r="MX57" s="53">
        <f t="shared" si="97"/>
        <v>36.960699999999996</v>
      </c>
      <c r="MY57" s="231">
        <f t="shared" si="126"/>
        <v>4.5199999999999463E-2</v>
      </c>
      <c r="MZ57" s="246"/>
      <c r="NA57" s="246"/>
      <c r="NB57" s="246">
        <v>47</v>
      </c>
      <c r="NC57" s="34">
        <v>9888</v>
      </c>
      <c r="ND57" s="184">
        <v>8.65</v>
      </c>
      <c r="NE57" s="184">
        <v>1.1591</v>
      </c>
      <c r="NF57" s="184">
        <v>0.44159999999999999</v>
      </c>
      <c r="NG57" s="162">
        <f t="shared" si="98"/>
        <v>0.36041666666666666</v>
      </c>
      <c r="NH57" s="53">
        <f t="shared" si="99"/>
        <v>36.958399999999997</v>
      </c>
      <c r="NI57" s="232">
        <f t="shared" si="127"/>
        <v>4.6200000000000685E-2</v>
      </c>
      <c r="NK57" s="250"/>
      <c r="NL57" s="250">
        <v>47</v>
      </c>
      <c r="NM57" s="34">
        <v>9888</v>
      </c>
      <c r="NN57" s="184">
        <v>8.6636000000000006</v>
      </c>
      <c r="NO57" s="184">
        <v>1.161</v>
      </c>
      <c r="NP57" s="184">
        <v>0.44230000000000003</v>
      </c>
      <c r="NQ57" s="162">
        <f t="shared" si="133"/>
        <v>0.36098333333333338</v>
      </c>
      <c r="NR57" s="53">
        <f t="shared" si="101"/>
        <v>36.957699999999996</v>
      </c>
      <c r="NS57" s="232">
        <f t="shared" si="128"/>
        <v>1.3600000000000279E-2</v>
      </c>
      <c r="NU57" s="250"/>
      <c r="NV57" s="250">
        <v>47</v>
      </c>
      <c r="NW57" s="34">
        <v>9888</v>
      </c>
      <c r="NX57" s="184">
        <v>8.6852</v>
      </c>
      <c r="NY57" s="184">
        <v>1.1638999999999999</v>
      </c>
      <c r="NZ57" s="184">
        <v>0.44340000000000002</v>
      </c>
      <c r="OA57" s="162">
        <f t="shared" si="134"/>
        <v>0.36188333333333333</v>
      </c>
      <c r="OB57" s="53">
        <f t="shared" si="103"/>
        <v>36.956600000000002</v>
      </c>
      <c r="OC57" s="232">
        <f t="shared" si="129"/>
        <v>2.1599999999999397E-2</v>
      </c>
      <c r="OE57" s="250"/>
      <c r="OF57" s="250">
        <v>47</v>
      </c>
      <c r="OG57" s="34">
        <v>9888</v>
      </c>
      <c r="OH57" s="184">
        <v>8.6959999999999997</v>
      </c>
      <c r="OI57" s="184">
        <v>1.1653</v>
      </c>
      <c r="OJ57" s="184">
        <v>0.44400000000000001</v>
      </c>
      <c r="OK57" s="162">
        <f t="shared" si="135"/>
        <v>0.36233333333333334</v>
      </c>
      <c r="OL57" s="53">
        <f t="shared" si="105"/>
        <v>36.955999999999996</v>
      </c>
      <c r="OM57" s="232">
        <f t="shared" si="130"/>
        <v>1.0799999999999699E-2</v>
      </c>
      <c r="OP57" s="250">
        <v>47</v>
      </c>
      <c r="OQ57" s="34">
        <v>9888</v>
      </c>
      <c r="OR57" s="184">
        <f>VLOOKUP(OQ57,Sheet4!A18:F94,3,0)</f>
        <v>8.7208000000000006</v>
      </c>
      <c r="OS57" s="184">
        <f>VLOOKUP(OQ57,Sheet4!A18:F94,4,0)</f>
        <v>1.1686000000000001</v>
      </c>
      <c r="OT57" s="184">
        <f>VLOOKUP(OQ57,Sheet4!A18:F94,5,0)</f>
        <v>0.44519999999999998</v>
      </c>
      <c r="OU57" s="162">
        <f t="shared" si="106"/>
        <v>0.36336666666666667</v>
      </c>
      <c r="OV57" s="53">
        <f t="shared" si="107"/>
        <v>36.954799999999999</v>
      </c>
      <c r="OW57" s="232">
        <f t="shared" si="131"/>
        <v>2.4800000000000821E-2</v>
      </c>
    </row>
    <row r="58" spans="1:413" ht="15.75" x14ac:dyDescent="0.25">
      <c r="A58">
        <v>50</v>
      </c>
      <c r="B58" s="1">
        <v>9595</v>
      </c>
      <c r="C58" s="1" t="s">
        <v>1</v>
      </c>
      <c r="D58" s="2">
        <v>37.6</v>
      </c>
      <c r="E58" s="8"/>
      <c r="F58" s="8"/>
      <c r="G58" s="8"/>
      <c r="H58" s="8"/>
      <c r="J58" s="15">
        <v>9595</v>
      </c>
      <c r="K58" s="15">
        <v>11.023199999999999</v>
      </c>
      <c r="L58" s="15">
        <v>1.4772000000000001</v>
      </c>
      <c r="M58" s="15">
        <v>0.56279999999999997</v>
      </c>
      <c r="N58" s="24">
        <f t="shared" si="42"/>
        <v>0.45929999999999999</v>
      </c>
      <c r="O58" s="10">
        <f t="shared" si="139"/>
        <v>37.037199999999999</v>
      </c>
      <c r="P58" s="18"/>
      <c r="R58" s="20">
        <v>9595</v>
      </c>
      <c r="S58" s="9">
        <v>11.078099999999999</v>
      </c>
      <c r="T58" s="9">
        <v>1.4844999999999999</v>
      </c>
      <c r="U58" s="9">
        <v>0.56559999999999999</v>
      </c>
      <c r="V58" s="24">
        <f t="shared" si="43"/>
        <v>0.46158749999999998</v>
      </c>
      <c r="W58" s="10">
        <f t="shared" si="140"/>
        <v>37.034399999999998</v>
      </c>
      <c r="X58" s="18"/>
      <c r="Z58" s="27">
        <v>9595</v>
      </c>
      <c r="AA58" s="9">
        <v>11.212999999999999</v>
      </c>
      <c r="AB58" s="9">
        <v>1.5025999999999999</v>
      </c>
      <c r="AC58" s="9">
        <v>0.57250000000000001</v>
      </c>
      <c r="AD58" s="24">
        <f t="shared" si="45"/>
        <v>0.46720833333333328</v>
      </c>
      <c r="AE58" s="10">
        <f t="shared" si="46"/>
        <v>37.027500000000003</v>
      </c>
      <c r="AF58" s="79"/>
      <c r="AG58">
        <v>50</v>
      </c>
      <c r="AH58" s="1">
        <v>9595</v>
      </c>
      <c r="AI58" s="1" t="s">
        <v>1</v>
      </c>
      <c r="AJ58" s="2">
        <v>37.6</v>
      </c>
      <c r="AL58" s="32">
        <v>9595</v>
      </c>
      <c r="AM58" s="9">
        <v>11.3604</v>
      </c>
      <c r="AN58" s="9">
        <v>1.5223</v>
      </c>
      <c r="AO58" s="9">
        <v>0.57999999999999996</v>
      </c>
      <c r="AP58" s="37">
        <f t="shared" si="0"/>
        <v>0.47334999999999999</v>
      </c>
      <c r="AQ58" s="53">
        <f t="shared" si="108"/>
        <v>37.020000000000003</v>
      </c>
      <c r="AT58" s="39"/>
      <c r="AU58" s="38">
        <v>9595</v>
      </c>
      <c r="AV58" s="9">
        <v>11.4231</v>
      </c>
      <c r="AW58" s="43">
        <v>1.5306999999999999</v>
      </c>
      <c r="AX58" s="43">
        <v>0.58320000000000005</v>
      </c>
      <c r="AY58" s="47">
        <f t="shared" si="47"/>
        <v>0.47596250000000001</v>
      </c>
      <c r="AZ58" s="56">
        <f t="shared" si="109"/>
        <v>37.016800000000003</v>
      </c>
      <c r="BD58" s="54">
        <v>9595</v>
      </c>
      <c r="BE58" s="53">
        <v>11.430199999999999</v>
      </c>
      <c r="BF58" s="58">
        <v>1.5317000000000001</v>
      </c>
      <c r="BG58" s="58">
        <v>0.58360000000000001</v>
      </c>
      <c r="BH58" s="47">
        <f t="shared" si="48"/>
        <v>0.47625833333333328</v>
      </c>
      <c r="BI58" s="56">
        <f t="shared" si="49"/>
        <v>37.016400000000004</v>
      </c>
      <c r="BJ58" s="88"/>
      <c r="BK58" s="88"/>
      <c r="BL58" s="88"/>
      <c r="BN58" s="9">
        <v>9595</v>
      </c>
      <c r="BO58" s="53">
        <v>11.4567</v>
      </c>
      <c r="BP58" s="53">
        <v>1.5351999999999999</v>
      </c>
      <c r="BQ58" s="53">
        <v>0.58489999999999998</v>
      </c>
      <c r="BR58" s="53">
        <f t="shared" si="50"/>
        <v>0.47736249999999997</v>
      </c>
      <c r="BS58" s="53">
        <f t="shared" si="51"/>
        <v>37.015100000000004</v>
      </c>
      <c r="BV58" s="88"/>
      <c r="BX58" s="93">
        <v>9595</v>
      </c>
      <c r="BY58" s="9">
        <v>11.508800000000001</v>
      </c>
      <c r="BZ58" s="9">
        <v>1.5422</v>
      </c>
      <c r="CA58" s="9">
        <v>0.58760000000000001</v>
      </c>
      <c r="CB58" s="58">
        <f t="shared" si="52"/>
        <v>0.47953333333333337</v>
      </c>
      <c r="CC58" s="53">
        <f t="shared" si="110"/>
        <v>37.0124</v>
      </c>
      <c r="CF58" s="88"/>
      <c r="CG58">
        <v>48</v>
      </c>
      <c r="CH58" s="93">
        <v>9595</v>
      </c>
      <c r="CI58" s="93">
        <v>11.553599999999999</v>
      </c>
      <c r="CJ58" s="9">
        <v>1.5482</v>
      </c>
      <c r="CK58" s="9">
        <v>0.58989999999999998</v>
      </c>
      <c r="CL58" s="47">
        <f t="shared" si="5"/>
        <v>0.48139999999999999</v>
      </c>
      <c r="CM58" s="53">
        <f t="shared" si="53"/>
        <v>37.010100000000001</v>
      </c>
      <c r="CQ58">
        <v>48</v>
      </c>
      <c r="CR58" s="98">
        <v>9595</v>
      </c>
      <c r="CS58" s="101">
        <v>11.6099</v>
      </c>
      <c r="CT58" s="101">
        <v>1.5558000000000001</v>
      </c>
      <c r="CU58" s="101">
        <v>0.5927</v>
      </c>
      <c r="CV58" s="47">
        <f t="shared" si="6"/>
        <v>0.48374583333333332</v>
      </c>
      <c r="CW58" s="53">
        <f t="shared" si="141"/>
        <v>37.007300000000001</v>
      </c>
      <c r="DA58">
        <v>48</v>
      </c>
      <c r="DB58" s="106">
        <v>9595</v>
      </c>
      <c r="DC58" s="107">
        <v>11.615399999999999</v>
      </c>
      <c r="DD58" s="107">
        <v>1.5565</v>
      </c>
      <c r="DE58" s="107">
        <v>0.59299999999999997</v>
      </c>
      <c r="DF58" s="47">
        <f t="shared" si="136"/>
        <v>0.48397499999999999</v>
      </c>
      <c r="DG58" s="53">
        <f t="shared" si="111"/>
        <v>37.007000000000005</v>
      </c>
      <c r="DK58">
        <v>48</v>
      </c>
      <c r="DL58" s="110">
        <v>9595</v>
      </c>
      <c r="DM58" s="53">
        <v>11.6797</v>
      </c>
      <c r="DN58" s="53">
        <v>1.5650999999999999</v>
      </c>
      <c r="DO58" s="53">
        <v>0.59630000000000005</v>
      </c>
      <c r="DP58" s="47">
        <f t="shared" si="137"/>
        <v>0.48665416666666667</v>
      </c>
      <c r="DQ58" s="53">
        <f t="shared" si="54"/>
        <v>37.003700000000002</v>
      </c>
      <c r="DS58" s="3">
        <f t="shared" si="55"/>
        <v>6.4300000000001134E-2</v>
      </c>
      <c r="DU58">
        <v>48</v>
      </c>
      <c r="DV58" s="115">
        <v>9595</v>
      </c>
      <c r="DW58" s="53">
        <f>Sheet3!B$29</f>
        <v>11.719799999999999</v>
      </c>
      <c r="DX58" s="53">
        <f>Sheet3!C$29</f>
        <v>1.5705</v>
      </c>
      <c r="DY58" s="53">
        <f>Sheet3!D$29</f>
        <v>0.59840000000000004</v>
      </c>
      <c r="DZ58" s="47">
        <f t="shared" si="138"/>
        <v>0.48832499999999995</v>
      </c>
      <c r="EA58" s="53">
        <f t="shared" si="112"/>
        <v>37.001600000000003</v>
      </c>
      <c r="EB58" s="3"/>
      <c r="EE58">
        <v>48</v>
      </c>
      <c r="EF58" s="118">
        <v>9595</v>
      </c>
      <c r="EG58" s="9">
        <v>11.782400000000001</v>
      </c>
      <c r="EH58" s="9">
        <v>1.5789</v>
      </c>
      <c r="EI58" s="9">
        <v>0.60160000000000002</v>
      </c>
      <c r="EJ58" s="47">
        <f t="shared" si="10"/>
        <v>0.49093333333333339</v>
      </c>
      <c r="EK58" s="53">
        <f t="shared" si="56"/>
        <v>36.998400000000004</v>
      </c>
      <c r="EM58" s="3">
        <f t="shared" si="57"/>
        <v>-3.1999999999996476E-3</v>
      </c>
      <c r="EN58" s="3"/>
      <c r="EO58">
        <v>48</v>
      </c>
      <c r="EP58" s="121">
        <v>9595</v>
      </c>
      <c r="EQ58" s="122">
        <v>11.9068</v>
      </c>
      <c r="ER58" s="122">
        <v>1.5955999999999999</v>
      </c>
      <c r="ES58" s="129">
        <v>0.6079</v>
      </c>
      <c r="ET58" s="130">
        <f t="shared" si="11"/>
        <v>0.49611666666666671</v>
      </c>
      <c r="EU58" s="131">
        <f t="shared" si="58"/>
        <v>36.992100000000001</v>
      </c>
      <c r="EX58" s="3"/>
      <c r="EY58">
        <v>48</v>
      </c>
      <c r="EZ58" s="135">
        <v>9595</v>
      </c>
      <c r="FA58" s="135">
        <v>11.9655</v>
      </c>
      <c r="FB58" s="135">
        <v>1.6033999999999999</v>
      </c>
      <c r="FC58" s="135">
        <v>0.6109</v>
      </c>
      <c r="FD58" s="136">
        <f t="shared" si="12"/>
        <v>0.49856250000000002</v>
      </c>
      <c r="FE58" s="131">
        <f t="shared" si="59"/>
        <v>36.989100000000001</v>
      </c>
      <c r="FG58" s="123">
        <f t="shared" si="60"/>
        <v>-3.0000000000001137E-3</v>
      </c>
      <c r="FH58" s="3"/>
      <c r="FI58">
        <v>48</v>
      </c>
      <c r="FJ58" s="145">
        <v>9595</v>
      </c>
      <c r="FK58" s="9">
        <v>12.043699999999999</v>
      </c>
      <c r="FL58" s="9">
        <v>1.6138999999999999</v>
      </c>
      <c r="FM58" s="9">
        <v>0.6149</v>
      </c>
      <c r="FN58" s="146">
        <f t="shared" si="113"/>
        <v>0.50182083333333327</v>
      </c>
      <c r="FO58" s="131">
        <f t="shared" si="61"/>
        <v>36.985100000000003</v>
      </c>
      <c r="FP58" s="123">
        <f t="shared" si="62"/>
        <v>-3.9999999999977831E-3</v>
      </c>
      <c r="FS58">
        <v>48</v>
      </c>
      <c r="FT58" s="147">
        <v>9595</v>
      </c>
      <c r="FU58" s="148">
        <v>12.059799999999999</v>
      </c>
      <c r="FV58" s="148">
        <v>1.6161000000000001</v>
      </c>
      <c r="FW58" s="148">
        <v>0.61570000000000003</v>
      </c>
      <c r="FX58" s="150">
        <f t="shared" si="114"/>
        <v>0.50249166666666667</v>
      </c>
      <c r="FY58" s="131">
        <f t="shared" si="115"/>
        <v>36.984300000000005</v>
      </c>
      <c r="FZ58">
        <f t="shared" si="63"/>
        <v>1.6099999999999781E-2</v>
      </c>
      <c r="GC58">
        <v>48</v>
      </c>
      <c r="GD58" s="151">
        <v>9595</v>
      </c>
      <c r="GE58" s="151">
        <v>12.099600000000001</v>
      </c>
      <c r="GF58" s="151">
        <v>1.6214</v>
      </c>
      <c r="GG58" s="151">
        <v>0.61780000000000002</v>
      </c>
      <c r="GH58" s="153">
        <f t="shared" si="132"/>
        <v>0.50414999999999999</v>
      </c>
      <c r="GI58" s="131">
        <f t="shared" si="64"/>
        <v>36.982199999999999</v>
      </c>
      <c r="GJ58">
        <f t="shared" si="142"/>
        <v>3.980000000000139E-2</v>
      </c>
      <c r="GM58">
        <v>48</v>
      </c>
      <c r="GN58" s="155">
        <v>9595</v>
      </c>
      <c r="GO58" s="155">
        <v>12.1839</v>
      </c>
      <c r="GP58" s="155">
        <v>1.6327</v>
      </c>
      <c r="GQ58" s="155">
        <v>0.62209999999999999</v>
      </c>
      <c r="GR58" s="58">
        <f t="shared" si="65"/>
        <v>0.50766250000000002</v>
      </c>
      <c r="GS58" s="131">
        <f t="shared" si="66"/>
        <v>36.977899999999998</v>
      </c>
      <c r="GT58">
        <f t="shared" si="143"/>
        <v>8.4299999999998931E-2</v>
      </c>
      <c r="GW58">
        <v>48</v>
      </c>
      <c r="GX58" s="157">
        <v>9595</v>
      </c>
      <c r="GY58" s="161">
        <f>VLOOKUP(GX58,Sheet3!$AJ$7:$AN$83,2,0)</f>
        <v>12.290900000000001</v>
      </c>
      <c r="GZ58" s="161">
        <f>VLOOKUP(GX58,Sheet3!$AJ$7:$AN$83,3,0)</f>
        <v>1.647</v>
      </c>
      <c r="HA58" s="161">
        <f>VLOOKUP(GX58,Sheet3!$AJ$7:$AN$83,4,0)</f>
        <v>0.62749999999999995</v>
      </c>
      <c r="HB58" s="162">
        <f t="shared" si="17"/>
        <v>0.51212083333333336</v>
      </c>
      <c r="HC58" s="131">
        <f t="shared" si="116"/>
        <v>36.972500000000004</v>
      </c>
      <c r="HD58" s="159">
        <f t="shared" si="144"/>
        <v>0.10700000000000109</v>
      </c>
      <c r="HE58" s="159">
        <f t="shared" si="145"/>
        <v>5.3999999999999604E-3</v>
      </c>
      <c r="HG58" s="159"/>
      <c r="HH58" s="159">
        <v>48</v>
      </c>
      <c r="HI58" s="158">
        <v>9595</v>
      </c>
      <c r="HJ58" s="161">
        <v>12.334099999999999</v>
      </c>
      <c r="HK58" s="161">
        <v>1.6528</v>
      </c>
      <c r="HL58" s="161">
        <v>0.62970000000000004</v>
      </c>
      <c r="HM58" s="162">
        <f t="shared" si="18"/>
        <v>0.51392083333333327</v>
      </c>
      <c r="HN58" s="131">
        <f t="shared" si="67"/>
        <v>36.970300000000002</v>
      </c>
      <c r="HO58" s="159">
        <f t="shared" si="68"/>
        <v>4.3199999999998795E-2</v>
      </c>
      <c r="HQ58" s="183"/>
      <c r="HR58" s="183">
        <v>48</v>
      </c>
      <c r="HS58" s="178">
        <v>9595</v>
      </c>
      <c r="HT58" s="184">
        <v>12.3622</v>
      </c>
      <c r="HU58" s="184">
        <v>1.6566000000000001</v>
      </c>
      <c r="HV58" s="184">
        <v>0.63119999999999998</v>
      </c>
      <c r="HW58" s="171">
        <f t="shared" si="19"/>
        <v>0.51509166666666661</v>
      </c>
      <c r="HX58" s="53">
        <f t="shared" si="69"/>
        <v>36.968800000000002</v>
      </c>
      <c r="HY58" s="183">
        <f t="shared" si="70"/>
        <v>2.8100000000000236E-2</v>
      </c>
      <c r="IA58" s="194"/>
      <c r="IB58" s="194">
        <v>48</v>
      </c>
      <c r="IC58" s="193">
        <v>9595</v>
      </c>
      <c r="ID58" s="161">
        <v>12.3744</v>
      </c>
      <c r="IE58" s="184">
        <v>1.6581999999999999</v>
      </c>
      <c r="IF58" s="184">
        <v>0.63180000000000003</v>
      </c>
      <c r="IG58" s="171">
        <f t="shared" si="71"/>
        <v>0.51559999999999995</v>
      </c>
      <c r="IH58" s="53">
        <f t="shared" si="72"/>
        <v>36.968200000000003</v>
      </c>
      <c r="II58" s="194">
        <f t="shared" si="73"/>
        <v>1.2199999999999989E-2</v>
      </c>
      <c r="IL58" s="199">
        <v>48</v>
      </c>
      <c r="IM58" s="197">
        <v>9595</v>
      </c>
      <c r="IN58" s="161">
        <v>12.438599999999999</v>
      </c>
      <c r="IO58" s="184">
        <v>1.6668000000000001</v>
      </c>
      <c r="IP58" s="184">
        <v>0.6351</v>
      </c>
      <c r="IQ58" s="171">
        <f t="shared" si="74"/>
        <v>0.51827499999999993</v>
      </c>
      <c r="IR58" s="53">
        <f t="shared" si="75"/>
        <v>36.9649</v>
      </c>
      <c r="IS58" s="199">
        <f t="shared" si="76"/>
        <v>6.4199999999999591E-2</v>
      </c>
      <c r="IU58" s="202"/>
      <c r="IV58" s="202">
        <v>48</v>
      </c>
      <c r="IW58" s="201">
        <v>9595</v>
      </c>
      <c r="IX58" s="184">
        <v>12.5252</v>
      </c>
      <c r="IY58" s="184">
        <v>1.6783999999999999</v>
      </c>
      <c r="IZ58" s="184">
        <v>0.63949999999999996</v>
      </c>
      <c r="JA58" s="162">
        <f t="shared" si="22"/>
        <v>0.52188333333333337</v>
      </c>
      <c r="JB58" s="53">
        <f t="shared" si="77"/>
        <v>36.960500000000003</v>
      </c>
      <c r="JC58" s="202">
        <f t="shared" si="78"/>
        <v>8.6600000000000676E-2</v>
      </c>
      <c r="JE58" s="204"/>
      <c r="JF58" s="204">
        <v>48</v>
      </c>
      <c r="JG58" s="203">
        <v>9595</v>
      </c>
      <c r="JH58" s="161">
        <v>12.5527</v>
      </c>
      <c r="JI58" s="184">
        <v>1.6820999999999999</v>
      </c>
      <c r="JJ58" s="184">
        <v>0.64090000000000003</v>
      </c>
      <c r="JK58" s="162">
        <f t="shared" si="79"/>
        <v>0.52302916666666666</v>
      </c>
      <c r="JL58" s="53">
        <f t="shared" si="80"/>
        <v>36.959099999999999</v>
      </c>
      <c r="JM58" s="204">
        <f t="shared" si="117"/>
        <v>2.7499999999999858E-2</v>
      </c>
      <c r="JN58" s="204"/>
      <c r="JP58" s="209">
        <v>48</v>
      </c>
      <c r="JQ58" s="205">
        <v>9595</v>
      </c>
      <c r="JR58" s="161">
        <v>12.5748</v>
      </c>
      <c r="JS58" s="184">
        <v>1.6851</v>
      </c>
      <c r="JT58" s="184">
        <v>0.64200000000000002</v>
      </c>
      <c r="JU58" s="162">
        <f t="shared" si="81"/>
        <v>0.52395000000000003</v>
      </c>
      <c r="JV58" s="53">
        <f t="shared" si="82"/>
        <v>36.957999999999998</v>
      </c>
      <c r="JW58" s="209">
        <f t="shared" si="118"/>
        <v>2.2100000000000009E-2</v>
      </c>
      <c r="JX58" s="213"/>
      <c r="JY58" s="213"/>
      <c r="JZ58" s="213">
        <v>48</v>
      </c>
      <c r="KA58" s="206">
        <v>9595</v>
      </c>
      <c r="KB58" s="184">
        <v>12.6267</v>
      </c>
      <c r="KC58" s="184">
        <v>1.6919999999999999</v>
      </c>
      <c r="KD58" s="184">
        <v>0.64470000000000005</v>
      </c>
      <c r="KE58" s="162">
        <f t="shared" si="83"/>
        <v>0.52611249999999998</v>
      </c>
      <c r="KF58" s="53">
        <f t="shared" si="84"/>
        <v>36.955300000000001</v>
      </c>
      <c r="KG58" s="213">
        <f t="shared" si="119"/>
        <v>5.1899999999999835E-2</v>
      </c>
      <c r="KI58" s="219"/>
      <c r="KJ58" s="219">
        <v>48</v>
      </c>
      <c r="KK58" s="214">
        <v>9595</v>
      </c>
      <c r="KL58" s="161">
        <v>12.644</v>
      </c>
      <c r="KM58" s="161">
        <v>1.6942999999999999</v>
      </c>
      <c r="KN58" s="161">
        <v>0.64549999999999996</v>
      </c>
      <c r="KO58" s="162">
        <f t="shared" si="24"/>
        <v>0.52683333333333338</v>
      </c>
      <c r="KP58" s="53">
        <f t="shared" si="85"/>
        <v>36.954500000000003</v>
      </c>
      <c r="KQ58" s="219">
        <f t="shared" si="120"/>
        <v>1.7300000000000537E-2</v>
      </c>
      <c r="KT58" s="223">
        <v>48</v>
      </c>
      <c r="KU58" s="216">
        <v>9595</v>
      </c>
      <c r="KV58" s="161">
        <v>12.6622</v>
      </c>
      <c r="KW58" s="161">
        <v>1.6968000000000001</v>
      </c>
      <c r="KX58" s="161">
        <v>0.64649999999999996</v>
      </c>
      <c r="KY58" s="162">
        <f t="shared" si="86"/>
        <v>0.52759166666666668</v>
      </c>
      <c r="KZ58" s="53">
        <f t="shared" si="87"/>
        <v>36.953499999999998</v>
      </c>
      <c r="LA58" s="223">
        <f t="shared" si="121"/>
        <v>1.8200000000000216E-2</v>
      </c>
      <c r="LD58" s="228">
        <v>48</v>
      </c>
      <c r="LE58" s="221">
        <v>9595</v>
      </c>
      <c r="LF58" s="161">
        <v>12.6775</v>
      </c>
      <c r="LG58" s="161">
        <v>1.6988000000000001</v>
      </c>
      <c r="LH58" s="161">
        <v>0.64729999999999999</v>
      </c>
      <c r="LI58" s="162">
        <f t="shared" si="88"/>
        <v>0.52822916666666664</v>
      </c>
      <c r="LJ58" s="53">
        <f t="shared" si="89"/>
        <v>36.9527</v>
      </c>
      <c r="LK58" s="228">
        <f t="shared" si="122"/>
        <v>1.5299999999999869E-2</v>
      </c>
      <c r="LL58" s="231"/>
      <c r="LM58" s="231"/>
      <c r="LN58" s="231">
        <v>48</v>
      </c>
      <c r="LO58" s="226">
        <v>9595</v>
      </c>
      <c r="LP58" s="184">
        <v>12.6989</v>
      </c>
      <c r="LQ58" s="184">
        <v>1.7017</v>
      </c>
      <c r="LR58" s="184">
        <v>0.64829999999999999</v>
      </c>
      <c r="LS58" s="162">
        <f t="shared" si="90"/>
        <v>0.52912083333333337</v>
      </c>
      <c r="LT58" s="53">
        <f t="shared" si="91"/>
        <v>36.951700000000002</v>
      </c>
      <c r="LU58" s="231">
        <f t="shared" si="123"/>
        <v>2.1399999999999864E-2</v>
      </c>
      <c r="LW58" s="231"/>
      <c r="LX58" s="231">
        <v>48</v>
      </c>
      <c r="LY58" s="234">
        <v>9595</v>
      </c>
      <c r="LZ58" s="184">
        <v>12.722899999999999</v>
      </c>
      <c r="MA58" s="184">
        <v>1.7049000000000001</v>
      </c>
      <c r="MB58" s="184">
        <v>0.64959999999999996</v>
      </c>
      <c r="MC58" s="162">
        <f t="shared" si="92"/>
        <v>0.53012083333333326</v>
      </c>
      <c r="MD58" s="53">
        <f t="shared" si="93"/>
        <v>36.950400000000002</v>
      </c>
      <c r="ME58" s="231">
        <f t="shared" si="124"/>
        <v>2.3999999999999133E-2</v>
      </c>
      <c r="MF58" s="231"/>
      <c r="MG58" s="231"/>
      <c r="MH58" s="231">
        <v>48</v>
      </c>
      <c r="MI58" s="236">
        <v>9595</v>
      </c>
      <c r="MJ58" s="184">
        <v>12.746600000000001</v>
      </c>
      <c r="MK58" s="184">
        <v>1.7081</v>
      </c>
      <c r="ML58" s="184">
        <v>0.65080000000000005</v>
      </c>
      <c r="MM58" s="162">
        <f t="shared" si="94"/>
        <v>0.5311083333333334</v>
      </c>
      <c r="MN58" s="53">
        <f t="shared" si="95"/>
        <v>36.949200000000005</v>
      </c>
      <c r="MO58" s="231">
        <f t="shared" si="125"/>
        <v>2.3700000000001609E-2</v>
      </c>
      <c r="MP58" s="231"/>
      <c r="MQ58" s="231"/>
      <c r="MR58" s="231">
        <v>48</v>
      </c>
      <c r="MS58" s="238">
        <v>9595</v>
      </c>
      <c r="MT58" s="184">
        <v>12.7918</v>
      </c>
      <c r="MU58" s="184">
        <v>1.7141999999999999</v>
      </c>
      <c r="MV58" s="184">
        <v>0.65310000000000001</v>
      </c>
      <c r="MW58" s="162">
        <f t="shared" si="96"/>
        <v>0.53299166666666664</v>
      </c>
      <c r="MX58" s="53">
        <f t="shared" si="97"/>
        <v>36.946899999999999</v>
      </c>
      <c r="MY58" s="231">
        <f t="shared" si="126"/>
        <v>4.5199999999999463E-2</v>
      </c>
      <c r="MZ58" s="246"/>
      <c r="NA58" s="246"/>
      <c r="NB58" s="246">
        <v>48</v>
      </c>
      <c r="NC58" s="242">
        <v>9595</v>
      </c>
      <c r="ND58" s="184">
        <v>12.837999999999999</v>
      </c>
      <c r="NE58" s="184">
        <v>1.7202999999999999</v>
      </c>
      <c r="NF58" s="184">
        <v>0.65549999999999997</v>
      </c>
      <c r="NG58" s="162">
        <f t="shared" si="98"/>
        <v>0.5349166666666666</v>
      </c>
      <c r="NH58" s="53">
        <f t="shared" si="99"/>
        <v>36.944500000000005</v>
      </c>
      <c r="NI58" s="232">
        <f t="shared" si="127"/>
        <v>4.6199999999998909E-2</v>
      </c>
      <c r="NK58" s="250"/>
      <c r="NL58" s="250">
        <v>48</v>
      </c>
      <c r="NM58" s="244">
        <v>9595</v>
      </c>
      <c r="NN58" s="184">
        <v>12.851599999999999</v>
      </c>
      <c r="NO58" s="184">
        <v>1.7222</v>
      </c>
      <c r="NP58" s="184">
        <v>0.65610000000000002</v>
      </c>
      <c r="NQ58" s="162">
        <f t="shared" si="133"/>
        <v>0.53548333333333331</v>
      </c>
      <c r="NR58" s="53">
        <f t="shared" si="101"/>
        <v>36.943899999999999</v>
      </c>
      <c r="NS58" s="232">
        <f t="shared" si="128"/>
        <v>1.3600000000000279E-2</v>
      </c>
      <c r="NU58" s="250"/>
      <c r="NV58" s="250">
        <v>48</v>
      </c>
      <c r="NW58" s="248">
        <v>9595</v>
      </c>
      <c r="NX58" s="184">
        <v>12.873200000000001</v>
      </c>
      <c r="NY58" s="184">
        <v>1.7251000000000001</v>
      </c>
      <c r="NZ58" s="184">
        <v>0.65720000000000001</v>
      </c>
      <c r="OA58" s="162">
        <f t="shared" si="134"/>
        <v>0.53638333333333332</v>
      </c>
      <c r="OB58" s="53">
        <f t="shared" si="103"/>
        <v>36.942799999999998</v>
      </c>
      <c r="OC58" s="232">
        <f t="shared" si="129"/>
        <v>2.1600000000001174E-2</v>
      </c>
      <c r="OE58" s="250"/>
      <c r="OF58" s="250">
        <v>48</v>
      </c>
      <c r="OG58" s="251">
        <v>9595</v>
      </c>
      <c r="OH58" s="184">
        <v>12.884</v>
      </c>
      <c r="OI58" s="184">
        <v>1.7264999999999999</v>
      </c>
      <c r="OJ58" s="184">
        <v>0.65780000000000005</v>
      </c>
      <c r="OK58" s="162">
        <f t="shared" si="135"/>
        <v>0.53683333333333338</v>
      </c>
      <c r="OL58" s="53">
        <f t="shared" si="105"/>
        <v>36.9422</v>
      </c>
      <c r="OM58" s="232">
        <f t="shared" si="130"/>
        <v>1.0799999999999699E-2</v>
      </c>
      <c r="OP58" s="250">
        <v>48</v>
      </c>
      <c r="OQ58" s="253">
        <v>9595</v>
      </c>
      <c r="OR58" s="184">
        <f>VLOOKUP(OQ58,Sheet4!A19:F95,3,0)</f>
        <v>12.908799999999999</v>
      </c>
      <c r="OS58" s="184">
        <f>VLOOKUP(OQ58,Sheet4!A19:F95,4,0)</f>
        <v>1.7298</v>
      </c>
      <c r="OT58" s="184">
        <f>VLOOKUP(OQ58,Sheet4!A19:F95,5,0)</f>
        <v>0.65910000000000002</v>
      </c>
      <c r="OU58" s="162">
        <f t="shared" si="106"/>
        <v>0.5378666666666666</v>
      </c>
      <c r="OV58" s="53">
        <f t="shared" si="107"/>
        <v>36.940899999999999</v>
      </c>
      <c r="OW58" s="232">
        <f t="shared" si="131"/>
        <v>2.4799999999999045E-2</v>
      </c>
    </row>
    <row r="59" spans="1:413" ht="15.75" x14ac:dyDescent="0.25">
      <c r="A59">
        <v>51</v>
      </c>
      <c r="B59" s="1">
        <v>9641</v>
      </c>
      <c r="C59" s="1" t="s">
        <v>1</v>
      </c>
      <c r="D59" s="2">
        <v>37.630000000000003</v>
      </c>
      <c r="E59" s="8"/>
      <c r="F59" s="8"/>
      <c r="G59" s="8"/>
      <c r="H59" s="8"/>
      <c r="J59" s="15">
        <v>9641</v>
      </c>
      <c r="K59" s="15">
        <v>6.3135000000000003</v>
      </c>
      <c r="L59" s="15">
        <v>0.84599999999999997</v>
      </c>
      <c r="M59" s="15">
        <v>0.32229999999999998</v>
      </c>
      <c r="N59" s="24">
        <f t="shared" si="42"/>
        <v>0.26306250000000003</v>
      </c>
      <c r="O59" s="10">
        <f t="shared" si="139"/>
        <v>37.307700000000004</v>
      </c>
      <c r="P59" s="18"/>
      <c r="R59" s="20">
        <v>9641</v>
      </c>
      <c r="S59" s="9">
        <v>6.3684000000000003</v>
      </c>
      <c r="T59" s="9">
        <v>0.85340000000000005</v>
      </c>
      <c r="U59" s="9">
        <v>0.3251</v>
      </c>
      <c r="V59" s="24">
        <f t="shared" si="43"/>
        <v>0.26535000000000003</v>
      </c>
      <c r="W59" s="10">
        <f t="shared" si="140"/>
        <v>37.304900000000004</v>
      </c>
      <c r="X59" s="18"/>
      <c r="Z59" s="27">
        <v>9641</v>
      </c>
      <c r="AA59" s="9">
        <v>6.5033000000000003</v>
      </c>
      <c r="AB59" s="9">
        <v>0.87150000000000005</v>
      </c>
      <c r="AC59" s="9">
        <v>0.33200000000000002</v>
      </c>
      <c r="AD59" s="24">
        <f t="shared" si="45"/>
        <v>0.27097083333333333</v>
      </c>
      <c r="AE59" s="10">
        <f t="shared" si="46"/>
        <v>37.298000000000002</v>
      </c>
      <c r="AF59" s="79"/>
      <c r="AG59">
        <v>51</v>
      </c>
      <c r="AH59" s="1">
        <v>9641</v>
      </c>
      <c r="AI59" s="1" t="s">
        <v>1</v>
      </c>
      <c r="AJ59" s="2">
        <v>37.630000000000003</v>
      </c>
      <c r="AL59" s="32">
        <v>9641</v>
      </c>
      <c r="AM59" s="9">
        <v>6.6506999999999996</v>
      </c>
      <c r="AN59" s="9">
        <v>0.89119999999999999</v>
      </c>
      <c r="AO59" s="9">
        <v>0.33960000000000001</v>
      </c>
      <c r="AP59" s="37">
        <f t="shared" si="0"/>
        <v>0.27711249999999998</v>
      </c>
      <c r="AQ59" s="53">
        <f t="shared" si="108"/>
        <v>37.290400000000005</v>
      </c>
      <c r="AT59" s="39"/>
      <c r="AU59" s="38">
        <v>9641</v>
      </c>
      <c r="AV59" s="9">
        <v>6.7134</v>
      </c>
      <c r="AW59" s="43">
        <v>0.89959999999999996</v>
      </c>
      <c r="AX59" s="43">
        <v>0.34279999999999999</v>
      </c>
      <c r="AY59" s="47">
        <f t="shared" si="47"/>
        <v>0.279725</v>
      </c>
      <c r="AZ59" s="56">
        <f t="shared" si="109"/>
        <v>37.287200000000006</v>
      </c>
      <c r="BD59" s="54">
        <v>9641</v>
      </c>
      <c r="BE59" s="53">
        <v>6.7205000000000004</v>
      </c>
      <c r="BF59" s="58">
        <v>0.90059999999999996</v>
      </c>
      <c r="BG59" s="58">
        <v>0.34310000000000002</v>
      </c>
      <c r="BH59" s="47">
        <f t="shared" si="48"/>
        <v>0.28002083333333333</v>
      </c>
      <c r="BI59" s="56">
        <f t="shared" si="49"/>
        <v>37.286900000000003</v>
      </c>
      <c r="BJ59" s="88"/>
      <c r="BK59" s="88"/>
      <c r="BL59" s="88"/>
      <c r="BN59" s="9">
        <v>9641</v>
      </c>
      <c r="BO59" s="53">
        <v>6.7469999999999999</v>
      </c>
      <c r="BP59" s="53">
        <v>0.90410000000000001</v>
      </c>
      <c r="BQ59" s="53">
        <v>0.34449999999999997</v>
      </c>
      <c r="BR59" s="53">
        <f t="shared" si="50"/>
        <v>0.28112500000000001</v>
      </c>
      <c r="BS59" s="53">
        <f t="shared" si="51"/>
        <v>37.285500000000006</v>
      </c>
      <c r="BV59" s="88"/>
      <c r="BX59" s="93">
        <v>9641</v>
      </c>
      <c r="BY59" s="9">
        <v>6.7991000000000001</v>
      </c>
      <c r="BZ59" s="9">
        <v>0.91110000000000002</v>
      </c>
      <c r="CA59" s="9">
        <v>0.34710000000000002</v>
      </c>
      <c r="CB59" s="58">
        <f t="shared" si="52"/>
        <v>0.28329583333333336</v>
      </c>
      <c r="CC59" s="53">
        <f t="shared" si="110"/>
        <v>37.282900000000005</v>
      </c>
      <c r="CF59" s="88"/>
      <c r="CG59">
        <v>49</v>
      </c>
      <c r="CH59" s="93">
        <v>9641</v>
      </c>
      <c r="CI59" s="93">
        <v>6.8438999999999997</v>
      </c>
      <c r="CJ59" s="9">
        <v>0.91710000000000003</v>
      </c>
      <c r="CK59" s="9">
        <v>0.34939999999999999</v>
      </c>
      <c r="CL59" s="47">
        <f t="shared" si="5"/>
        <v>0.28516249999999999</v>
      </c>
      <c r="CM59" s="53">
        <f t="shared" si="53"/>
        <v>37.2806</v>
      </c>
      <c r="CQ59">
        <v>49</v>
      </c>
      <c r="CR59" s="98">
        <v>9641</v>
      </c>
      <c r="CS59" s="101">
        <v>6.9001999999999999</v>
      </c>
      <c r="CT59" s="101">
        <v>0.92469999999999997</v>
      </c>
      <c r="CU59" s="101">
        <v>0.3523</v>
      </c>
      <c r="CV59" s="47">
        <f t="shared" si="6"/>
        <v>0.28750833333333331</v>
      </c>
      <c r="CW59" s="53">
        <f t="shared" si="141"/>
        <v>37.277700000000003</v>
      </c>
      <c r="DA59">
        <v>49</v>
      </c>
      <c r="DB59" s="106">
        <v>9641</v>
      </c>
      <c r="DC59" s="107">
        <v>6.9057000000000004</v>
      </c>
      <c r="DD59" s="107">
        <v>0.9254</v>
      </c>
      <c r="DE59" s="107">
        <v>0.35260000000000002</v>
      </c>
      <c r="DF59" s="47">
        <f t="shared" si="136"/>
        <v>0.28773750000000003</v>
      </c>
      <c r="DG59" s="53">
        <f t="shared" si="111"/>
        <v>37.2774</v>
      </c>
      <c r="DK59">
        <v>49</v>
      </c>
      <c r="DL59" s="110">
        <v>9641</v>
      </c>
      <c r="DM59" s="53">
        <v>6.97</v>
      </c>
      <c r="DN59" s="53">
        <v>0.93400000000000005</v>
      </c>
      <c r="DO59" s="53">
        <v>0.35589999999999999</v>
      </c>
      <c r="DP59" s="47">
        <f t="shared" si="137"/>
        <v>0.29041666666666666</v>
      </c>
      <c r="DQ59" s="53">
        <f t="shared" si="54"/>
        <v>37.274100000000004</v>
      </c>
      <c r="DS59" s="3">
        <f t="shared" si="55"/>
        <v>6.4299999999999358E-2</v>
      </c>
      <c r="DU59">
        <v>49</v>
      </c>
      <c r="DV59" s="115">
        <v>9641</v>
      </c>
      <c r="DW59" s="53">
        <f>Sheet3!B$39</f>
        <v>7.0101000000000004</v>
      </c>
      <c r="DX59" s="53">
        <f>Sheet3!C$39</f>
        <v>0.93940000000000001</v>
      </c>
      <c r="DY59" s="53">
        <f>Sheet3!D$39</f>
        <v>0.3579</v>
      </c>
      <c r="DZ59" s="47">
        <f t="shared" si="138"/>
        <v>0.2920875</v>
      </c>
      <c r="EA59" s="53">
        <f t="shared" si="112"/>
        <v>37.272100000000002</v>
      </c>
      <c r="EB59" s="3"/>
      <c r="EE59">
        <v>49</v>
      </c>
      <c r="EF59" s="118">
        <v>9641</v>
      </c>
      <c r="EG59" s="9">
        <v>7.0727000000000002</v>
      </c>
      <c r="EH59" s="9">
        <v>0.94779999999999998</v>
      </c>
      <c r="EI59" s="9">
        <v>0.36109999999999998</v>
      </c>
      <c r="EJ59" s="47">
        <f t="shared" si="10"/>
        <v>0.29469583333333332</v>
      </c>
      <c r="EK59" s="53">
        <f t="shared" si="56"/>
        <v>37.268900000000002</v>
      </c>
      <c r="EM59" s="3">
        <f t="shared" si="57"/>
        <v>-3.1999999999996476E-3</v>
      </c>
      <c r="EN59" s="3"/>
      <c r="EO59">
        <v>49</v>
      </c>
      <c r="EP59" s="121">
        <v>9641</v>
      </c>
      <c r="EQ59" s="122">
        <v>7.1970999999999998</v>
      </c>
      <c r="ER59" s="122">
        <v>0.96440000000000003</v>
      </c>
      <c r="ES59" s="129">
        <v>0.36749999999999999</v>
      </c>
      <c r="ET59" s="130">
        <f t="shared" si="11"/>
        <v>0.29987916666666664</v>
      </c>
      <c r="EU59" s="131">
        <f t="shared" si="58"/>
        <v>37.262500000000003</v>
      </c>
      <c r="EX59" s="3"/>
      <c r="EY59">
        <v>49</v>
      </c>
      <c r="EZ59" s="135">
        <v>9641</v>
      </c>
      <c r="FA59" s="135">
        <v>7.2557999999999998</v>
      </c>
      <c r="FB59" s="135">
        <v>0.97230000000000005</v>
      </c>
      <c r="FC59" s="135">
        <v>0.37040000000000001</v>
      </c>
      <c r="FD59" s="136">
        <f t="shared" si="12"/>
        <v>0.30232500000000001</v>
      </c>
      <c r="FE59" s="131">
        <f t="shared" si="59"/>
        <v>37.259600000000006</v>
      </c>
      <c r="FG59" s="123">
        <f t="shared" si="60"/>
        <v>-2.899999999996794E-3</v>
      </c>
      <c r="FH59" s="3"/>
      <c r="FI59">
        <v>49</v>
      </c>
      <c r="FJ59" s="145">
        <v>9641</v>
      </c>
      <c r="FK59" s="9">
        <v>7.3339999999999996</v>
      </c>
      <c r="FL59" s="9">
        <v>0.98280000000000001</v>
      </c>
      <c r="FM59" s="9">
        <v>0.37440000000000001</v>
      </c>
      <c r="FN59" s="146">
        <f t="shared" si="113"/>
        <v>0.30558333333333332</v>
      </c>
      <c r="FO59" s="131">
        <f t="shared" si="61"/>
        <v>37.255600000000001</v>
      </c>
      <c r="FP59" s="123">
        <f t="shared" si="62"/>
        <v>-4.0000000000048885E-3</v>
      </c>
      <c r="FS59">
        <v>49</v>
      </c>
      <c r="FT59" s="147">
        <v>9641</v>
      </c>
      <c r="FU59" s="148">
        <v>7.3501000000000003</v>
      </c>
      <c r="FV59" s="148">
        <v>0.9849</v>
      </c>
      <c r="FW59" s="148">
        <v>0.37530000000000002</v>
      </c>
      <c r="FX59" s="150">
        <f t="shared" si="114"/>
        <v>0.30625416666666666</v>
      </c>
      <c r="FY59" s="131">
        <f t="shared" si="115"/>
        <v>37.2547</v>
      </c>
      <c r="FZ59">
        <f t="shared" si="63"/>
        <v>1.6100000000000669E-2</v>
      </c>
      <c r="GC59">
        <v>49</v>
      </c>
      <c r="GD59" s="151">
        <v>9641</v>
      </c>
      <c r="GE59" s="151">
        <v>7.3898999999999999</v>
      </c>
      <c r="GF59" s="151">
        <v>0.99029999999999996</v>
      </c>
      <c r="GG59" s="151">
        <v>0.37730000000000002</v>
      </c>
      <c r="GH59" s="153">
        <f t="shared" si="132"/>
        <v>0.30791249999999998</v>
      </c>
      <c r="GI59" s="131">
        <f t="shared" si="64"/>
        <v>37.252700000000004</v>
      </c>
      <c r="GJ59">
        <f t="shared" si="142"/>
        <v>3.9799999999999613E-2</v>
      </c>
      <c r="GM59">
        <v>49</v>
      </c>
      <c r="GN59" s="155">
        <v>9641</v>
      </c>
      <c r="GO59" s="155">
        <v>7.4741999999999997</v>
      </c>
      <c r="GP59" s="155">
        <v>1.0016</v>
      </c>
      <c r="GQ59" s="155">
        <v>0.38159999999999999</v>
      </c>
      <c r="GR59" s="58">
        <f>GO59/24</f>
        <v>0.31142500000000001</v>
      </c>
      <c r="GS59" s="131">
        <f t="shared" si="66"/>
        <v>37.248400000000004</v>
      </c>
      <c r="GT59">
        <f t="shared" si="143"/>
        <v>8.429999999999982E-2</v>
      </c>
      <c r="GW59">
        <v>49</v>
      </c>
      <c r="GX59" s="157">
        <v>9641</v>
      </c>
      <c r="GY59" s="161">
        <f>VLOOKUP(GX59,Sheet3!$AJ$7:$AN$83,2,0)</f>
        <v>7.5811999999999999</v>
      </c>
      <c r="GZ59" s="161">
        <f>VLOOKUP(GX59,Sheet3!$AJ$7:$AN$83,3,0)</f>
        <v>1.0159</v>
      </c>
      <c r="HA59" s="161">
        <f>VLOOKUP(GX59,Sheet3!$AJ$7:$AN$83,4,0)</f>
        <v>0.3871</v>
      </c>
      <c r="HB59" s="162">
        <f t="shared" si="17"/>
        <v>0.31588333333333335</v>
      </c>
      <c r="HC59" s="131">
        <f t="shared" si="116"/>
        <v>37.242900000000006</v>
      </c>
      <c r="HD59" s="159">
        <f t="shared" si="144"/>
        <v>0.10700000000000021</v>
      </c>
      <c r="HE59" s="159">
        <f t="shared" si="145"/>
        <v>5.5000000000000049E-3</v>
      </c>
      <c r="HG59" s="159"/>
      <c r="HH59" s="159">
        <v>49</v>
      </c>
      <c r="HI59" s="158">
        <v>9641</v>
      </c>
      <c r="HJ59" s="161">
        <v>7.6243999999999996</v>
      </c>
      <c r="HK59" s="161">
        <v>1.0217000000000001</v>
      </c>
      <c r="HL59" s="161">
        <v>0.38929999999999998</v>
      </c>
      <c r="HM59" s="162">
        <f t="shared" si="18"/>
        <v>0.31768333333333332</v>
      </c>
      <c r="HN59" s="131">
        <f t="shared" si="67"/>
        <v>37.240700000000004</v>
      </c>
      <c r="HO59" s="159">
        <f t="shared" si="68"/>
        <v>4.3199999999999683E-2</v>
      </c>
      <c r="HQ59" s="183"/>
      <c r="HR59" s="183">
        <v>49</v>
      </c>
      <c r="HS59" s="178">
        <v>9641</v>
      </c>
      <c r="HT59" s="184">
        <v>7.6524999999999999</v>
      </c>
      <c r="HU59" s="184">
        <v>1.0255000000000001</v>
      </c>
      <c r="HV59" s="184">
        <v>0.39069999999999999</v>
      </c>
      <c r="HW59" s="171">
        <f t="shared" si="19"/>
        <v>0.31885416666666666</v>
      </c>
      <c r="HX59" s="53">
        <f t="shared" si="69"/>
        <v>37.2393</v>
      </c>
      <c r="HY59" s="183">
        <f t="shared" si="70"/>
        <v>2.8100000000000236E-2</v>
      </c>
      <c r="IA59" s="194"/>
      <c r="IB59" s="194">
        <v>49</v>
      </c>
      <c r="IC59" s="193">
        <v>9641</v>
      </c>
      <c r="ID59" s="161">
        <v>7.6646999999999998</v>
      </c>
      <c r="IE59" s="184">
        <v>1.0270999999999999</v>
      </c>
      <c r="IF59" s="184">
        <v>0.39129999999999998</v>
      </c>
      <c r="IG59" s="171">
        <f t="shared" si="71"/>
        <v>0.31936249999999999</v>
      </c>
      <c r="IH59" s="53">
        <f t="shared" si="72"/>
        <v>37.238700000000001</v>
      </c>
      <c r="II59" s="194">
        <f t="shared" si="73"/>
        <v>1.2199999999999989E-2</v>
      </c>
      <c r="IL59" s="199">
        <v>49</v>
      </c>
      <c r="IM59" s="197">
        <v>9641</v>
      </c>
      <c r="IN59" s="161">
        <v>7.7289000000000003</v>
      </c>
      <c r="IO59" s="184">
        <v>1.0357000000000001</v>
      </c>
      <c r="IP59" s="184">
        <v>0.39460000000000001</v>
      </c>
      <c r="IQ59" s="171">
        <f t="shared" si="74"/>
        <v>0.32203750000000003</v>
      </c>
      <c r="IR59" s="53">
        <f t="shared" si="75"/>
        <v>37.235400000000006</v>
      </c>
      <c r="IS59" s="199">
        <f t="shared" si="76"/>
        <v>6.4200000000000479E-2</v>
      </c>
      <c r="IU59" s="202"/>
      <c r="IV59" s="202">
        <v>49</v>
      </c>
      <c r="IW59" s="201">
        <v>9641</v>
      </c>
      <c r="IX59" s="184">
        <v>7.8155000000000001</v>
      </c>
      <c r="IY59" s="184">
        <v>1.0472999999999999</v>
      </c>
      <c r="IZ59" s="184">
        <v>0.39900000000000002</v>
      </c>
      <c r="JA59" s="162">
        <f t="shared" si="22"/>
        <v>0.32564583333333336</v>
      </c>
      <c r="JB59" s="53">
        <f t="shared" si="77"/>
        <v>37.231000000000002</v>
      </c>
      <c r="JC59" s="202">
        <f t="shared" si="78"/>
        <v>8.6599999999999788E-2</v>
      </c>
      <c r="JE59" s="204"/>
      <c r="JF59" s="204">
        <v>49</v>
      </c>
      <c r="JG59" s="203">
        <v>9641</v>
      </c>
      <c r="JH59" s="161">
        <v>7.843</v>
      </c>
      <c r="JI59" s="184">
        <v>1.0509999999999999</v>
      </c>
      <c r="JJ59" s="184">
        <v>0.40039999999999998</v>
      </c>
      <c r="JK59" s="162">
        <f t="shared" si="79"/>
        <v>0.32679166666666665</v>
      </c>
      <c r="JL59" s="53">
        <f t="shared" si="80"/>
        <v>37.229600000000005</v>
      </c>
      <c r="JM59" s="204">
        <f t="shared" si="117"/>
        <v>2.7499999999999858E-2</v>
      </c>
      <c r="JN59" s="204"/>
      <c r="JP59" s="209">
        <v>49</v>
      </c>
      <c r="JQ59" s="205">
        <v>9641</v>
      </c>
      <c r="JR59" s="161">
        <v>7.8651</v>
      </c>
      <c r="JS59" s="184">
        <v>1.054</v>
      </c>
      <c r="JT59" s="184">
        <v>0.40160000000000001</v>
      </c>
      <c r="JU59" s="162">
        <f t="shared" si="81"/>
        <v>0.32771250000000002</v>
      </c>
      <c r="JV59" s="53">
        <f t="shared" si="82"/>
        <v>37.228400000000001</v>
      </c>
      <c r="JW59" s="209">
        <f t="shared" si="118"/>
        <v>2.2100000000000009E-2</v>
      </c>
      <c r="JX59" s="213"/>
      <c r="JY59" s="213"/>
      <c r="JZ59" s="213">
        <v>49</v>
      </c>
      <c r="KA59" s="206">
        <v>9641</v>
      </c>
      <c r="KB59" s="184">
        <v>7.9169999999999998</v>
      </c>
      <c r="KC59" s="184">
        <v>1.0609</v>
      </c>
      <c r="KD59" s="184">
        <v>0.4042</v>
      </c>
      <c r="KE59" s="162">
        <f t="shared" si="83"/>
        <v>0.32987499999999997</v>
      </c>
      <c r="KF59" s="53">
        <f t="shared" si="84"/>
        <v>37.2258</v>
      </c>
      <c r="KG59" s="213">
        <f t="shared" si="119"/>
        <v>5.1899999999999835E-2</v>
      </c>
      <c r="KI59" s="219"/>
      <c r="KJ59" s="219">
        <v>49</v>
      </c>
      <c r="KK59" s="214">
        <v>9641</v>
      </c>
      <c r="KL59" s="161">
        <v>7.9343000000000004</v>
      </c>
      <c r="KM59" s="161">
        <v>1.0631999999999999</v>
      </c>
      <c r="KN59" s="161">
        <v>0.40510000000000002</v>
      </c>
      <c r="KO59" s="162">
        <f t="shared" si="24"/>
        <v>0.33059583333333337</v>
      </c>
      <c r="KP59" s="53">
        <f t="shared" si="85"/>
        <v>37.224900000000005</v>
      </c>
      <c r="KQ59" s="219">
        <f t="shared" si="120"/>
        <v>1.7300000000000537E-2</v>
      </c>
      <c r="KT59" s="223">
        <v>49</v>
      </c>
      <c r="KU59" s="216">
        <v>9641</v>
      </c>
      <c r="KV59" s="161">
        <v>7.9525000000000006</v>
      </c>
      <c r="KW59" s="161">
        <v>1.0657000000000001</v>
      </c>
      <c r="KX59" s="161">
        <v>0.40600000000000003</v>
      </c>
      <c r="KY59" s="162">
        <f t="shared" si="86"/>
        <v>0.33135416666666667</v>
      </c>
      <c r="KZ59" s="53">
        <f t="shared" si="87"/>
        <v>37.224000000000004</v>
      </c>
      <c r="LA59" s="223">
        <f t="shared" si="121"/>
        <v>1.8200000000000216E-2</v>
      </c>
      <c r="LD59" s="228">
        <v>49</v>
      </c>
      <c r="LE59" s="221">
        <v>9641</v>
      </c>
      <c r="LF59" s="161">
        <v>7.9678000000000004</v>
      </c>
      <c r="LG59" s="161">
        <v>1.0677000000000001</v>
      </c>
      <c r="LH59" s="161">
        <v>0.40679999999999999</v>
      </c>
      <c r="LI59" s="162">
        <f t="shared" si="88"/>
        <v>0.33199166666666668</v>
      </c>
      <c r="LJ59" s="53">
        <f t="shared" si="89"/>
        <v>37.223200000000006</v>
      </c>
      <c r="LK59" s="228">
        <f t="shared" si="122"/>
        <v>1.5299999999999869E-2</v>
      </c>
      <c r="LL59" s="231"/>
      <c r="LM59" s="231"/>
      <c r="LN59" s="231">
        <v>49</v>
      </c>
      <c r="LO59" s="226">
        <v>9641</v>
      </c>
      <c r="LP59" s="184">
        <v>7.9892000000000003</v>
      </c>
      <c r="LQ59" s="184">
        <v>1.0706</v>
      </c>
      <c r="LR59" s="184">
        <v>0.40789999999999998</v>
      </c>
      <c r="LS59" s="162">
        <f t="shared" si="90"/>
        <v>0.33288333333333336</v>
      </c>
      <c r="LT59" s="53">
        <f t="shared" si="91"/>
        <v>37.222100000000005</v>
      </c>
      <c r="LU59" s="231">
        <f t="shared" si="123"/>
        <v>2.1399999999999864E-2</v>
      </c>
      <c r="LW59" s="231"/>
      <c r="LX59" s="231">
        <v>49</v>
      </c>
      <c r="LY59" s="234">
        <v>9641</v>
      </c>
      <c r="LZ59" s="184">
        <v>8.0131999999999994</v>
      </c>
      <c r="MA59" s="184">
        <v>1.0738000000000001</v>
      </c>
      <c r="MB59" s="184">
        <v>0.40910000000000002</v>
      </c>
      <c r="MC59" s="162">
        <f t="shared" si="92"/>
        <v>0.33388333333333331</v>
      </c>
      <c r="MD59" s="53">
        <f t="shared" si="93"/>
        <v>37.2209</v>
      </c>
      <c r="ME59" s="231">
        <f t="shared" si="124"/>
        <v>2.3999999999999133E-2</v>
      </c>
      <c r="MF59" s="231"/>
      <c r="MG59" s="231"/>
      <c r="MH59" s="231">
        <v>49</v>
      </c>
      <c r="MI59" s="236">
        <v>9641</v>
      </c>
      <c r="MJ59" s="184">
        <v>8.0368999999999993</v>
      </c>
      <c r="MK59" s="184">
        <v>1.077</v>
      </c>
      <c r="ML59" s="184">
        <v>0.4103</v>
      </c>
      <c r="MM59" s="162">
        <f t="shared" si="94"/>
        <v>0.33487083333333328</v>
      </c>
      <c r="MN59" s="53">
        <f t="shared" si="95"/>
        <v>37.219700000000003</v>
      </c>
      <c r="MO59" s="231">
        <f t="shared" si="125"/>
        <v>2.3699999999999832E-2</v>
      </c>
      <c r="MP59" s="231"/>
      <c r="MQ59" s="231"/>
      <c r="MR59" s="231">
        <v>49</v>
      </c>
      <c r="MS59" s="238">
        <v>9641</v>
      </c>
      <c r="MT59" s="184">
        <v>8.0821000000000005</v>
      </c>
      <c r="MU59" s="184">
        <v>1.083</v>
      </c>
      <c r="MV59" s="184">
        <v>0.41260000000000002</v>
      </c>
      <c r="MW59" s="162">
        <f t="shared" si="96"/>
        <v>0.33675416666666669</v>
      </c>
      <c r="MX59" s="53">
        <f t="shared" si="97"/>
        <v>37.217400000000005</v>
      </c>
      <c r="MY59" s="231">
        <f t="shared" si="126"/>
        <v>4.5200000000001239E-2</v>
      </c>
      <c r="MZ59" s="246"/>
      <c r="NA59" s="246"/>
      <c r="NB59" s="246">
        <v>49</v>
      </c>
      <c r="NC59" s="242">
        <v>9641</v>
      </c>
      <c r="ND59" s="184">
        <v>8.1282999999999994</v>
      </c>
      <c r="NE59" s="184">
        <v>1.0891999999999999</v>
      </c>
      <c r="NF59" s="184">
        <v>0.41499999999999998</v>
      </c>
      <c r="NG59" s="162">
        <f t="shared" si="98"/>
        <v>0.33867916666666664</v>
      </c>
      <c r="NH59" s="53">
        <f t="shared" si="99"/>
        <v>37.215000000000003</v>
      </c>
      <c r="NI59" s="232">
        <f t="shared" si="127"/>
        <v>4.6199999999998909E-2</v>
      </c>
      <c r="NK59" s="250"/>
      <c r="NL59" s="250">
        <v>49</v>
      </c>
      <c r="NM59" s="244">
        <v>9641</v>
      </c>
      <c r="NN59" s="184">
        <v>8.1418999999999997</v>
      </c>
      <c r="NO59" s="184">
        <v>1.091</v>
      </c>
      <c r="NP59" s="184">
        <v>0.41570000000000001</v>
      </c>
      <c r="NQ59" s="162">
        <f t="shared" si="133"/>
        <v>0.3392458333333333</v>
      </c>
      <c r="NR59" s="53">
        <f t="shared" si="101"/>
        <v>37.214300000000001</v>
      </c>
      <c r="NS59" s="232">
        <f t="shared" si="128"/>
        <v>1.3600000000000279E-2</v>
      </c>
      <c r="NU59" s="250"/>
      <c r="NV59" s="250">
        <v>49</v>
      </c>
      <c r="NW59" s="248">
        <v>9641</v>
      </c>
      <c r="NX59" s="184">
        <v>8.1635000000000009</v>
      </c>
      <c r="NY59" s="184">
        <v>1.0939000000000001</v>
      </c>
      <c r="NZ59" s="184">
        <v>0.4168</v>
      </c>
      <c r="OA59" s="162">
        <f t="shared" si="134"/>
        <v>0.34014583333333337</v>
      </c>
      <c r="OB59" s="53">
        <f t="shared" si="103"/>
        <v>37.213200000000001</v>
      </c>
      <c r="OC59" s="232">
        <f t="shared" si="129"/>
        <v>2.1600000000001174E-2</v>
      </c>
      <c r="OE59" s="250"/>
      <c r="OF59" s="250">
        <v>49</v>
      </c>
      <c r="OG59" s="251">
        <v>9641</v>
      </c>
      <c r="OH59" s="184">
        <v>8.1743000000000006</v>
      </c>
      <c r="OI59" s="184">
        <v>1.0953999999999999</v>
      </c>
      <c r="OJ59" s="184">
        <v>0.4173</v>
      </c>
      <c r="OK59" s="162">
        <f t="shared" si="135"/>
        <v>0.34059583333333338</v>
      </c>
      <c r="OL59" s="53">
        <f t="shared" si="105"/>
        <v>37.212700000000005</v>
      </c>
      <c r="OM59" s="232">
        <f t="shared" si="130"/>
        <v>1.0799999999999699E-2</v>
      </c>
      <c r="OP59" s="250">
        <v>49</v>
      </c>
      <c r="OQ59" s="253">
        <v>9641</v>
      </c>
      <c r="OR59" s="184">
        <f>VLOOKUP(OQ59,Sheet4!A20:F96,3,0)</f>
        <v>8.1990999999999996</v>
      </c>
      <c r="OS59" s="184">
        <f>VLOOKUP(OQ59,Sheet4!A20:F96,4,0)</f>
        <v>1.0987</v>
      </c>
      <c r="OT59" s="184">
        <f>VLOOKUP(OQ59,Sheet4!A20:F96,5,0)</f>
        <v>0.41860000000000003</v>
      </c>
      <c r="OU59" s="162">
        <f t="shared" si="106"/>
        <v>0.34162916666666665</v>
      </c>
      <c r="OV59" s="53">
        <f t="shared" si="107"/>
        <v>37.211400000000005</v>
      </c>
      <c r="OW59" s="232">
        <f t="shared" si="131"/>
        <v>2.4799999999999045E-2</v>
      </c>
    </row>
    <row r="60" spans="1:413" ht="15.75" x14ac:dyDescent="0.25">
      <c r="A60">
        <v>52</v>
      </c>
      <c r="B60" s="1">
        <v>9872</v>
      </c>
      <c r="C60" s="1" t="s">
        <v>1</v>
      </c>
      <c r="D60" s="2">
        <v>37.659999999999997</v>
      </c>
      <c r="E60" s="8"/>
      <c r="F60" s="8"/>
      <c r="G60" s="8"/>
      <c r="H60" s="8"/>
      <c r="J60" s="15">
        <v>9872</v>
      </c>
      <c r="K60" s="15">
        <v>6.3135000000000003</v>
      </c>
      <c r="L60" s="15">
        <v>0.84599999999999997</v>
      </c>
      <c r="M60" s="15">
        <v>0.32229999999999998</v>
      </c>
      <c r="N60" s="24">
        <f t="shared" si="42"/>
        <v>0.26306250000000003</v>
      </c>
      <c r="O60" s="10">
        <f t="shared" si="139"/>
        <v>37.337699999999998</v>
      </c>
      <c r="P60" s="18"/>
      <c r="R60" s="20">
        <v>9872</v>
      </c>
      <c r="S60" s="9">
        <v>6.3684000000000003</v>
      </c>
      <c r="T60" s="9">
        <v>0.85340000000000005</v>
      </c>
      <c r="U60" s="9">
        <v>0.3251</v>
      </c>
      <c r="V60" s="24">
        <f t="shared" si="43"/>
        <v>0.26535000000000003</v>
      </c>
      <c r="W60" s="10">
        <f t="shared" si="140"/>
        <v>37.334899999999998</v>
      </c>
      <c r="X60" s="18"/>
      <c r="Z60" s="27">
        <v>9872</v>
      </c>
      <c r="AA60" s="9">
        <v>6.5033000000000003</v>
      </c>
      <c r="AB60" s="9">
        <v>0.87150000000000005</v>
      </c>
      <c r="AC60" s="9">
        <v>0.33200000000000002</v>
      </c>
      <c r="AD60" s="24">
        <f t="shared" si="45"/>
        <v>0.27097083333333333</v>
      </c>
      <c r="AE60" s="10">
        <f t="shared" si="46"/>
        <v>37.327999999999996</v>
      </c>
      <c r="AF60" s="79"/>
      <c r="AG60">
        <v>52</v>
      </c>
      <c r="AH60" s="1">
        <v>9872</v>
      </c>
      <c r="AI60" s="1" t="s">
        <v>1</v>
      </c>
      <c r="AJ60" s="2">
        <v>37.659999999999997</v>
      </c>
      <c r="AL60" s="32">
        <v>9872</v>
      </c>
      <c r="AM60" s="9">
        <v>6.6506999999999996</v>
      </c>
      <c r="AN60" s="9">
        <v>0.89119999999999999</v>
      </c>
      <c r="AO60" s="9">
        <v>0.33960000000000001</v>
      </c>
      <c r="AP60" s="37">
        <f t="shared" si="0"/>
        <v>0.27711249999999998</v>
      </c>
      <c r="AQ60" s="53">
        <f t="shared" si="108"/>
        <v>37.320399999999999</v>
      </c>
      <c r="AT60" s="39"/>
      <c r="AU60" s="38">
        <v>9872</v>
      </c>
      <c r="AV60" s="9">
        <v>6.7134</v>
      </c>
      <c r="AW60" s="43">
        <v>0.89959999999999996</v>
      </c>
      <c r="AX60" s="43">
        <v>0.34279999999999999</v>
      </c>
      <c r="AY60" s="47">
        <f t="shared" si="47"/>
        <v>0.279725</v>
      </c>
      <c r="AZ60" s="56">
        <f t="shared" si="109"/>
        <v>37.3172</v>
      </c>
      <c r="BD60" s="54">
        <v>9872</v>
      </c>
      <c r="BE60" s="53">
        <v>6.7205000000000004</v>
      </c>
      <c r="BF60" s="58">
        <v>0.90059999999999996</v>
      </c>
      <c r="BG60" s="58">
        <v>0.34310000000000002</v>
      </c>
      <c r="BH60" s="47">
        <f t="shared" si="48"/>
        <v>0.28002083333333333</v>
      </c>
      <c r="BI60" s="56">
        <f t="shared" si="49"/>
        <v>37.316899999999997</v>
      </c>
      <c r="BJ60" s="88"/>
      <c r="BK60" s="88"/>
      <c r="BL60" s="88"/>
      <c r="BN60" s="9">
        <v>9872</v>
      </c>
      <c r="BO60" s="53">
        <v>6.7469999999999999</v>
      </c>
      <c r="BP60" s="53">
        <v>0.90410000000000001</v>
      </c>
      <c r="BQ60" s="53">
        <v>0.34449999999999997</v>
      </c>
      <c r="BR60" s="53">
        <f t="shared" si="50"/>
        <v>0.28112500000000001</v>
      </c>
      <c r="BS60" s="53">
        <f t="shared" si="51"/>
        <v>37.3155</v>
      </c>
      <c r="BV60" s="88"/>
      <c r="BX60" s="93">
        <v>9872</v>
      </c>
      <c r="BY60" s="9">
        <v>6.7991000000000001</v>
      </c>
      <c r="BZ60" s="9">
        <v>0.91110000000000002</v>
      </c>
      <c r="CA60" s="9">
        <v>0.34710000000000002</v>
      </c>
      <c r="CB60" s="58">
        <f t="shared" si="52"/>
        <v>0.28329583333333336</v>
      </c>
      <c r="CC60" s="53">
        <f t="shared" si="110"/>
        <v>37.312899999999999</v>
      </c>
      <c r="CF60" s="88"/>
      <c r="CG60">
        <v>50</v>
      </c>
      <c r="CH60" s="93">
        <v>9872</v>
      </c>
      <c r="CI60" s="93">
        <v>6.8438999999999997</v>
      </c>
      <c r="CJ60" s="9">
        <v>0.91710000000000003</v>
      </c>
      <c r="CK60" s="9">
        <v>0.34939999999999999</v>
      </c>
      <c r="CL60" s="47">
        <f t="shared" si="5"/>
        <v>0.28516249999999999</v>
      </c>
      <c r="CM60" s="53">
        <f t="shared" si="53"/>
        <v>37.310599999999994</v>
      </c>
      <c r="CQ60">
        <v>50</v>
      </c>
      <c r="CR60" s="98">
        <v>9872</v>
      </c>
      <c r="CS60" s="101">
        <v>6.9001999999999999</v>
      </c>
      <c r="CT60" s="101">
        <v>0.92469999999999997</v>
      </c>
      <c r="CU60" s="101">
        <v>0.3523</v>
      </c>
      <c r="CV60" s="47">
        <f t="shared" si="6"/>
        <v>0.28750833333333331</v>
      </c>
      <c r="CW60" s="53">
        <f t="shared" si="141"/>
        <v>37.307699999999997</v>
      </c>
      <c r="DA60">
        <v>50</v>
      </c>
      <c r="DB60" s="106">
        <v>9872</v>
      </c>
      <c r="DC60" s="107">
        <v>6.9057000000000004</v>
      </c>
      <c r="DD60" s="107">
        <v>0.9254</v>
      </c>
      <c r="DE60" s="107">
        <v>0.35260000000000002</v>
      </c>
      <c r="DF60" s="47">
        <f t="shared" si="136"/>
        <v>0.28773750000000003</v>
      </c>
      <c r="DG60" s="53">
        <f t="shared" si="111"/>
        <v>37.307399999999994</v>
      </c>
      <c r="DK60">
        <v>50</v>
      </c>
      <c r="DL60" s="110">
        <v>9872</v>
      </c>
      <c r="DM60" s="53">
        <v>6.97</v>
      </c>
      <c r="DN60" s="53">
        <v>0.93400000000000005</v>
      </c>
      <c r="DO60" s="53">
        <v>0.35589999999999999</v>
      </c>
      <c r="DP60" s="47">
        <f t="shared" si="137"/>
        <v>0.29041666666666666</v>
      </c>
      <c r="DQ60" s="53">
        <f t="shared" si="54"/>
        <v>37.304099999999998</v>
      </c>
      <c r="DS60" s="3">
        <f t="shared" si="55"/>
        <v>6.4299999999999358E-2</v>
      </c>
      <c r="DU60">
        <v>50</v>
      </c>
      <c r="DV60" s="115">
        <v>9872</v>
      </c>
      <c r="DW60" s="53">
        <f>Sheet3!B$43</f>
        <v>7.0101000000000004</v>
      </c>
      <c r="DX60" s="53">
        <f>Sheet3!C$43</f>
        <v>0.93940000000000001</v>
      </c>
      <c r="DY60" s="53">
        <f>Sheet3!D$43</f>
        <v>0.3579</v>
      </c>
      <c r="DZ60" s="47">
        <f t="shared" si="138"/>
        <v>0.2920875</v>
      </c>
      <c r="EA60" s="53">
        <f t="shared" si="112"/>
        <v>37.302099999999996</v>
      </c>
      <c r="EB60" s="3"/>
      <c r="EE60">
        <v>50</v>
      </c>
      <c r="EF60" s="118">
        <v>9872</v>
      </c>
      <c r="EG60" s="9">
        <v>7.0727000000000002</v>
      </c>
      <c r="EH60" s="9">
        <v>0.94779999999999998</v>
      </c>
      <c r="EI60" s="9">
        <v>0.36109999999999998</v>
      </c>
      <c r="EJ60" s="47">
        <f t="shared" si="10"/>
        <v>0.29469583333333332</v>
      </c>
      <c r="EK60" s="53">
        <f t="shared" si="56"/>
        <v>37.298899999999996</v>
      </c>
      <c r="EM60" s="3">
        <f t="shared" si="57"/>
        <v>-3.1999999999996476E-3</v>
      </c>
      <c r="EN60" s="3"/>
      <c r="EO60">
        <v>50</v>
      </c>
      <c r="EP60" s="121">
        <v>9872</v>
      </c>
      <c r="EQ60" s="122">
        <v>7.1970999999999998</v>
      </c>
      <c r="ER60" s="122">
        <v>0.96440000000000003</v>
      </c>
      <c r="ES60" s="129">
        <v>0.36749999999999999</v>
      </c>
      <c r="ET60" s="130">
        <f t="shared" si="11"/>
        <v>0.29987916666666664</v>
      </c>
      <c r="EU60" s="131">
        <f t="shared" si="58"/>
        <v>37.292499999999997</v>
      </c>
      <c r="EX60" s="3"/>
      <c r="EY60">
        <v>50</v>
      </c>
      <c r="EZ60" s="135">
        <v>9872</v>
      </c>
      <c r="FA60" s="135">
        <v>7.2557999999999998</v>
      </c>
      <c r="FB60" s="135">
        <v>0.97230000000000005</v>
      </c>
      <c r="FC60" s="135">
        <v>0.37040000000000001</v>
      </c>
      <c r="FD60" s="136">
        <f t="shared" si="12"/>
        <v>0.30232500000000001</v>
      </c>
      <c r="FE60" s="131">
        <f t="shared" si="59"/>
        <v>37.2896</v>
      </c>
      <c r="FG60" s="123">
        <f t="shared" si="60"/>
        <v>-2.899999999996794E-3</v>
      </c>
      <c r="FH60" s="3"/>
      <c r="FI60">
        <v>50</v>
      </c>
      <c r="FJ60" s="145">
        <v>9872</v>
      </c>
      <c r="FK60" s="9">
        <v>7.3339999999999996</v>
      </c>
      <c r="FL60" s="9">
        <v>0.98280000000000001</v>
      </c>
      <c r="FM60" s="9">
        <v>0.37440000000000001</v>
      </c>
      <c r="FN60" s="146">
        <f t="shared" si="113"/>
        <v>0.30558333333333332</v>
      </c>
      <c r="FO60" s="131">
        <f t="shared" si="61"/>
        <v>37.285599999999995</v>
      </c>
      <c r="FP60" s="123">
        <f t="shared" si="62"/>
        <v>-4.0000000000048885E-3</v>
      </c>
      <c r="FS60">
        <v>50</v>
      </c>
      <c r="FT60" s="147">
        <v>9872</v>
      </c>
      <c r="FU60" s="148">
        <v>7.3501000000000003</v>
      </c>
      <c r="FV60" s="148">
        <v>0.9849</v>
      </c>
      <c r="FW60" s="148">
        <v>0.37530000000000002</v>
      </c>
      <c r="FX60" s="150">
        <f t="shared" si="114"/>
        <v>0.30625416666666666</v>
      </c>
      <c r="FY60" s="131">
        <f t="shared" si="115"/>
        <v>37.284699999999994</v>
      </c>
      <c r="FZ60">
        <f t="shared" si="63"/>
        <v>1.6100000000000669E-2</v>
      </c>
      <c r="GC60">
        <v>50</v>
      </c>
      <c r="GD60" s="151">
        <v>9872</v>
      </c>
      <c r="GE60" s="151">
        <v>7.3898999999999999</v>
      </c>
      <c r="GF60" s="151">
        <v>0.99029999999999996</v>
      </c>
      <c r="GG60" s="151">
        <v>0.37730000000000002</v>
      </c>
      <c r="GH60" s="153">
        <f t="shared" si="132"/>
        <v>0.30791249999999998</v>
      </c>
      <c r="GI60" s="131">
        <f t="shared" si="64"/>
        <v>37.282699999999998</v>
      </c>
      <c r="GJ60">
        <f t="shared" si="142"/>
        <v>3.9799999999999613E-2</v>
      </c>
      <c r="GM60">
        <v>50</v>
      </c>
      <c r="GN60" s="155">
        <v>9872</v>
      </c>
      <c r="GO60" s="155">
        <v>7.4741999999999997</v>
      </c>
      <c r="GP60" s="155">
        <v>1.0016</v>
      </c>
      <c r="GQ60" s="155">
        <v>0.38159999999999999</v>
      </c>
      <c r="GR60" s="58">
        <f t="shared" si="65"/>
        <v>0.31142500000000001</v>
      </c>
      <c r="GS60" s="131">
        <f t="shared" si="66"/>
        <v>37.278399999999998</v>
      </c>
      <c r="GT60">
        <f t="shared" si="143"/>
        <v>8.429999999999982E-2</v>
      </c>
      <c r="GW60">
        <v>50</v>
      </c>
      <c r="GX60" s="157">
        <v>9872</v>
      </c>
      <c r="GY60" s="161">
        <f>VLOOKUP(GX60,Sheet3!$AJ$7:$AN$83,2,0)</f>
        <v>7.5811999999999999</v>
      </c>
      <c r="GZ60" s="161">
        <f>VLOOKUP(GX60,Sheet3!$AJ$7:$AN$83,3,0)</f>
        <v>1.0159</v>
      </c>
      <c r="HA60" s="161">
        <f>VLOOKUP(GX60,Sheet3!$AJ$7:$AN$83,4,0)</f>
        <v>0.3871</v>
      </c>
      <c r="HB60" s="162">
        <f t="shared" si="17"/>
        <v>0.31588333333333335</v>
      </c>
      <c r="HC60" s="131">
        <f t="shared" si="116"/>
        <v>37.2729</v>
      </c>
      <c r="HD60" s="159">
        <f t="shared" si="144"/>
        <v>0.10700000000000021</v>
      </c>
      <c r="HE60" s="159">
        <f t="shared" si="145"/>
        <v>5.5000000000000049E-3</v>
      </c>
      <c r="HG60" s="159"/>
      <c r="HH60" s="159">
        <v>50</v>
      </c>
      <c r="HI60" s="158">
        <v>9872</v>
      </c>
      <c r="HJ60" s="161">
        <v>7.6243999999999996</v>
      </c>
      <c r="HK60" s="161">
        <v>1.0217000000000001</v>
      </c>
      <c r="HL60" s="161">
        <v>0.38929999999999998</v>
      </c>
      <c r="HM60" s="162">
        <f t="shared" si="18"/>
        <v>0.31768333333333332</v>
      </c>
      <c r="HN60" s="131">
        <f t="shared" si="67"/>
        <v>37.270699999999998</v>
      </c>
      <c r="HO60" s="159">
        <f t="shared" si="68"/>
        <v>4.3199999999999683E-2</v>
      </c>
      <c r="HQ60" s="183"/>
      <c r="HR60" s="183">
        <v>50</v>
      </c>
      <c r="HS60" s="178">
        <v>9872</v>
      </c>
      <c r="HT60" s="184">
        <v>7.6524999999999999</v>
      </c>
      <c r="HU60" s="184">
        <v>1.0255000000000001</v>
      </c>
      <c r="HV60" s="184">
        <v>0.39069999999999999</v>
      </c>
      <c r="HW60" s="171">
        <f t="shared" si="19"/>
        <v>0.31885416666666666</v>
      </c>
      <c r="HX60" s="53">
        <f t="shared" si="69"/>
        <v>37.269299999999994</v>
      </c>
      <c r="HY60" s="183">
        <f t="shared" si="70"/>
        <v>2.8100000000000236E-2</v>
      </c>
      <c r="IA60" s="194"/>
      <c r="IB60" s="194">
        <v>50</v>
      </c>
      <c r="IC60" s="193">
        <v>9872</v>
      </c>
      <c r="ID60" s="161">
        <v>7.6646999999999998</v>
      </c>
      <c r="IE60" s="184">
        <v>1.0270999999999999</v>
      </c>
      <c r="IF60" s="184">
        <v>0.39129999999999998</v>
      </c>
      <c r="IG60" s="171">
        <f t="shared" si="71"/>
        <v>0.31936249999999999</v>
      </c>
      <c r="IH60" s="53">
        <f t="shared" si="72"/>
        <v>37.268699999999995</v>
      </c>
      <c r="II60" s="194">
        <f t="shared" si="73"/>
        <v>1.2199999999999989E-2</v>
      </c>
      <c r="IL60" s="199">
        <v>50</v>
      </c>
      <c r="IM60" s="197">
        <v>9872</v>
      </c>
      <c r="IN60" s="161">
        <v>7.7289000000000003</v>
      </c>
      <c r="IO60" s="184">
        <v>1.0357000000000001</v>
      </c>
      <c r="IP60" s="184">
        <v>0.39460000000000001</v>
      </c>
      <c r="IQ60" s="171">
        <f t="shared" si="74"/>
        <v>0.32203750000000003</v>
      </c>
      <c r="IR60" s="53">
        <f t="shared" si="75"/>
        <v>37.2654</v>
      </c>
      <c r="IS60" s="199">
        <f t="shared" si="76"/>
        <v>6.4200000000000479E-2</v>
      </c>
      <c r="IU60" s="202"/>
      <c r="IV60" s="202">
        <v>50</v>
      </c>
      <c r="IW60" s="201">
        <v>9872</v>
      </c>
      <c r="IX60" s="184">
        <v>7.8155000000000001</v>
      </c>
      <c r="IY60" s="184">
        <v>1.0472999999999999</v>
      </c>
      <c r="IZ60" s="184">
        <v>0.39900000000000002</v>
      </c>
      <c r="JA60" s="162">
        <f t="shared" si="22"/>
        <v>0.32564583333333336</v>
      </c>
      <c r="JB60" s="53">
        <f t="shared" si="77"/>
        <v>37.260999999999996</v>
      </c>
      <c r="JC60" s="202">
        <f t="shared" si="78"/>
        <v>8.6599999999999788E-2</v>
      </c>
      <c r="JE60" s="204"/>
      <c r="JF60" s="204">
        <v>50</v>
      </c>
      <c r="JG60" s="203">
        <v>9872</v>
      </c>
      <c r="JH60" s="161">
        <v>7.843</v>
      </c>
      <c r="JI60" s="184">
        <v>1.0509999999999999</v>
      </c>
      <c r="JJ60" s="184">
        <v>0.40039999999999998</v>
      </c>
      <c r="JK60" s="162">
        <f t="shared" si="79"/>
        <v>0.32679166666666665</v>
      </c>
      <c r="JL60" s="53">
        <f t="shared" si="80"/>
        <v>37.259599999999999</v>
      </c>
      <c r="JM60" s="204">
        <f t="shared" si="117"/>
        <v>2.7499999999999858E-2</v>
      </c>
      <c r="JN60" s="204"/>
      <c r="JP60" s="209">
        <v>50</v>
      </c>
      <c r="JQ60" s="205">
        <v>9872</v>
      </c>
      <c r="JR60" s="161">
        <v>7.8651</v>
      </c>
      <c r="JS60" s="184">
        <v>1.054</v>
      </c>
      <c r="JT60" s="184">
        <v>0.40160000000000001</v>
      </c>
      <c r="JU60" s="162">
        <f t="shared" si="81"/>
        <v>0.32771250000000002</v>
      </c>
      <c r="JV60" s="53">
        <f t="shared" si="82"/>
        <v>37.258399999999995</v>
      </c>
      <c r="JW60" s="209">
        <f t="shared" si="118"/>
        <v>2.2100000000000009E-2</v>
      </c>
      <c r="JX60" s="213"/>
      <c r="JY60" s="213"/>
      <c r="JZ60" s="213">
        <v>50</v>
      </c>
      <c r="KA60" s="206">
        <v>9872</v>
      </c>
      <c r="KB60" s="184">
        <v>7.9169999999999998</v>
      </c>
      <c r="KC60" s="184">
        <v>1.0609</v>
      </c>
      <c r="KD60" s="184">
        <v>0.4042</v>
      </c>
      <c r="KE60" s="162">
        <f t="shared" si="83"/>
        <v>0.32987499999999997</v>
      </c>
      <c r="KF60" s="53">
        <f t="shared" si="84"/>
        <v>37.255799999999994</v>
      </c>
      <c r="KG60" s="213">
        <f t="shared" si="119"/>
        <v>5.1899999999999835E-2</v>
      </c>
      <c r="KI60" s="219"/>
      <c r="KJ60" s="219">
        <v>50</v>
      </c>
      <c r="KK60" s="214">
        <v>9872</v>
      </c>
      <c r="KL60" s="161">
        <v>7.9343000000000004</v>
      </c>
      <c r="KM60" s="161">
        <v>1.0631999999999999</v>
      </c>
      <c r="KN60" s="161">
        <v>0.40510000000000002</v>
      </c>
      <c r="KO60" s="162">
        <f t="shared" si="24"/>
        <v>0.33059583333333337</v>
      </c>
      <c r="KP60" s="53">
        <f t="shared" si="85"/>
        <v>37.254899999999999</v>
      </c>
      <c r="KQ60" s="219">
        <f t="shared" si="120"/>
        <v>1.7300000000000537E-2</v>
      </c>
      <c r="KT60" s="223">
        <v>50</v>
      </c>
      <c r="KU60" s="216">
        <v>9872</v>
      </c>
      <c r="KV60" s="161">
        <v>7.9525000000000006</v>
      </c>
      <c r="KW60" s="161">
        <v>1.0657000000000001</v>
      </c>
      <c r="KX60" s="161">
        <v>0.40600000000000003</v>
      </c>
      <c r="KY60" s="162">
        <f t="shared" si="86"/>
        <v>0.33135416666666667</v>
      </c>
      <c r="KZ60" s="53">
        <f t="shared" si="87"/>
        <v>37.253999999999998</v>
      </c>
      <c r="LA60" s="223">
        <f t="shared" si="121"/>
        <v>1.8200000000000216E-2</v>
      </c>
      <c r="LD60" s="228">
        <v>50</v>
      </c>
      <c r="LE60" s="221">
        <v>9872</v>
      </c>
      <c r="LF60" s="161">
        <v>7.9678000000000004</v>
      </c>
      <c r="LG60" s="161">
        <v>1.0677000000000001</v>
      </c>
      <c r="LH60" s="161">
        <v>0.40679999999999999</v>
      </c>
      <c r="LI60" s="162">
        <f t="shared" si="88"/>
        <v>0.33199166666666668</v>
      </c>
      <c r="LJ60" s="53">
        <f t="shared" si="89"/>
        <v>37.2532</v>
      </c>
      <c r="LK60" s="228">
        <f t="shared" si="122"/>
        <v>1.5299999999999869E-2</v>
      </c>
      <c r="LL60" s="231"/>
      <c r="LM60" s="231"/>
      <c r="LN60" s="231">
        <v>50</v>
      </c>
      <c r="LO60" s="226">
        <v>9872</v>
      </c>
      <c r="LP60" s="184">
        <v>7.9892000000000003</v>
      </c>
      <c r="LQ60" s="184">
        <v>1.0706</v>
      </c>
      <c r="LR60" s="184">
        <v>0.40789999999999998</v>
      </c>
      <c r="LS60" s="162">
        <f t="shared" si="90"/>
        <v>0.33288333333333336</v>
      </c>
      <c r="LT60" s="53">
        <f t="shared" si="91"/>
        <v>37.252099999999999</v>
      </c>
      <c r="LU60" s="231">
        <f t="shared" si="123"/>
        <v>2.1399999999999864E-2</v>
      </c>
      <c r="LW60" s="231"/>
      <c r="LX60" s="231">
        <v>50</v>
      </c>
      <c r="LY60" s="234">
        <v>9872</v>
      </c>
      <c r="LZ60" s="184">
        <v>8.0131999999999994</v>
      </c>
      <c r="MA60" s="184">
        <v>1.0738000000000001</v>
      </c>
      <c r="MB60" s="184">
        <v>0.40910000000000002</v>
      </c>
      <c r="MC60" s="162">
        <f t="shared" si="92"/>
        <v>0.33388333333333331</v>
      </c>
      <c r="MD60" s="53">
        <f t="shared" si="93"/>
        <v>37.250899999999994</v>
      </c>
      <c r="ME60" s="231">
        <f t="shared" si="124"/>
        <v>2.3999999999999133E-2</v>
      </c>
      <c r="MF60" s="231"/>
      <c r="MG60" s="231"/>
      <c r="MH60" s="231">
        <v>50</v>
      </c>
      <c r="MI60" s="236">
        <v>9872</v>
      </c>
      <c r="MJ60" s="184">
        <v>8.0368999999999993</v>
      </c>
      <c r="MK60" s="184">
        <v>1.077</v>
      </c>
      <c r="ML60" s="184">
        <v>0.4103</v>
      </c>
      <c r="MM60" s="162">
        <f t="shared" si="94"/>
        <v>0.33487083333333328</v>
      </c>
      <c r="MN60" s="53">
        <f t="shared" si="95"/>
        <v>37.249699999999997</v>
      </c>
      <c r="MO60" s="231">
        <f t="shared" si="125"/>
        <v>2.3699999999999832E-2</v>
      </c>
      <c r="MP60" s="231"/>
      <c r="MQ60" s="231"/>
      <c r="MR60" s="231">
        <v>50</v>
      </c>
      <c r="MS60" s="238">
        <v>9872</v>
      </c>
      <c r="MT60" s="184">
        <v>8.0821000000000005</v>
      </c>
      <c r="MU60" s="184">
        <v>1.083</v>
      </c>
      <c r="MV60" s="184">
        <v>0.41260000000000002</v>
      </c>
      <c r="MW60" s="162">
        <f t="shared" si="96"/>
        <v>0.33675416666666669</v>
      </c>
      <c r="MX60" s="53">
        <f t="shared" si="97"/>
        <v>37.247399999999999</v>
      </c>
      <c r="MY60" s="231">
        <f t="shared" si="126"/>
        <v>4.5200000000001239E-2</v>
      </c>
      <c r="MZ60" s="246"/>
      <c r="NA60" s="246"/>
      <c r="NB60" s="246">
        <v>50</v>
      </c>
      <c r="NC60" s="242">
        <v>9872</v>
      </c>
      <c r="ND60" s="184">
        <v>8.1282999999999994</v>
      </c>
      <c r="NE60" s="184">
        <v>1.0891999999999999</v>
      </c>
      <c r="NF60" s="184">
        <v>0.41499999999999998</v>
      </c>
      <c r="NG60" s="162">
        <f t="shared" si="98"/>
        <v>0.33867916666666664</v>
      </c>
      <c r="NH60" s="53">
        <f t="shared" si="99"/>
        <v>37.244999999999997</v>
      </c>
      <c r="NI60" s="232">
        <f t="shared" si="127"/>
        <v>4.6199999999998909E-2</v>
      </c>
      <c r="NK60" s="250"/>
      <c r="NL60" s="250">
        <v>50</v>
      </c>
      <c r="NM60" s="244">
        <v>9872</v>
      </c>
      <c r="NN60" s="184">
        <v>8.1418999999999997</v>
      </c>
      <c r="NO60" s="184">
        <v>1.091</v>
      </c>
      <c r="NP60" s="184">
        <v>0.41570000000000001</v>
      </c>
      <c r="NQ60" s="162">
        <f t="shared" si="133"/>
        <v>0.3392458333333333</v>
      </c>
      <c r="NR60" s="53">
        <f t="shared" si="101"/>
        <v>37.244299999999996</v>
      </c>
      <c r="NS60" s="232">
        <f t="shared" si="128"/>
        <v>1.3600000000000279E-2</v>
      </c>
      <c r="NU60" s="250"/>
      <c r="NV60" s="250">
        <v>50</v>
      </c>
      <c r="NW60" s="248">
        <v>9872</v>
      </c>
      <c r="NX60" s="184">
        <v>8.1635000000000009</v>
      </c>
      <c r="NY60" s="184">
        <v>1.0939000000000001</v>
      </c>
      <c r="NZ60" s="184">
        <v>0.4168</v>
      </c>
      <c r="OA60" s="162">
        <f t="shared" si="134"/>
        <v>0.34014583333333337</v>
      </c>
      <c r="OB60" s="53">
        <f t="shared" si="103"/>
        <v>37.243199999999995</v>
      </c>
      <c r="OC60" s="232">
        <f t="shared" si="129"/>
        <v>2.1600000000001174E-2</v>
      </c>
      <c r="OE60" s="250"/>
      <c r="OF60" s="250">
        <v>50</v>
      </c>
      <c r="OG60" s="251">
        <v>9872</v>
      </c>
      <c r="OH60" s="184">
        <v>8.1743000000000006</v>
      </c>
      <c r="OI60" s="184">
        <v>1.0953999999999999</v>
      </c>
      <c r="OJ60" s="184">
        <v>0.4173</v>
      </c>
      <c r="OK60" s="162">
        <f t="shared" si="135"/>
        <v>0.34059583333333338</v>
      </c>
      <c r="OL60" s="53">
        <f t="shared" si="105"/>
        <v>37.242699999999999</v>
      </c>
      <c r="OM60" s="232">
        <f t="shared" si="130"/>
        <v>1.0799999999999699E-2</v>
      </c>
      <c r="OP60" s="250">
        <v>50</v>
      </c>
      <c r="OQ60" s="253">
        <v>9872</v>
      </c>
      <c r="OR60" s="184">
        <f>VLOOKUP(OQ60,Sheet4!A21:F97,3,0)</f>
        <v>8.1990999999999996</v>
      </c>
      <c r="OS60" s="184">
        <f>VLOOKUP(OQ60,Sheet4!A21:F97,4,0)</f>
        <v>1.0987</v>
      </c>
      <c r="OT60" s="184">
        <f>VLOOKUP(OQ60,Sheet4!A21:F97,5,0)</f>
        <v>0.41860000000000003</v>
      </c>
      <c r="OU60" s="162">
        <f t="shared" si="106"/>
        <v>0.34162916666666665</v>
      </c>
      <c r="OV60" s="53">
        <f t="shared" si="107"/>
        <v>37.241399999999999</v>
      </c>
      <c r="OW60" s="232">
        <f t="shared" si="131"/>
        <v>2.4799999999999045E-2</v>
      </c>
    </row>
    <row r="61" spans="1:413" ht="15.75" x14ac:dyDescent="0.25">
      <c r="A61">
        <v>53</v>
      </c>
      <c r="B61" s="1">
        <v>9349</v>
      </c>
      <c r="C61" s="1" t="s">
        <v>1</v>
      </c>
      <c r="D61" s="2">
        <v>37.56</v>
      </c>
      <c r="E61" s="8"/>
      <c r="F61" s="8"/>
      <c r="G61" s="8"/>
      <c r="H61" s="8"/>
      <c r="J61" s="15">
        <v>9349</v>
      </c>
      <c r="K61" s="15">
        <v>13.762499999999999</v>
      </c>
      <c r="L61" s="15">
        <v>1.8442000000000001</v>
      </c>
      <c r="M61" s="15">
        <v>0.70269999999999999</v>
      </c>
      <c r="N61" s="24">
        <f t="shared" si="42"/>
        <v>0.57343749999999993</v>
      </c>
      <c r="O61" s="10">
        <f t="shared" si="139"/>
        <v>36.857300000000002</v>
      </c>
      <c r="P61" s="18"/>
      <c r="R61" s="20">
        <v>9349</v>
      </c>
      <c r="S61" s="9">
        <v>13.817399999999999</v>
      </c>
      <c r="T61" s="9">
        <v>1.8515999999999999</v>
      </c>
      <c r="U61" s="9">
        <v>0.70550000000000002</v>
      </c>
      <c r="V61" s="24">
        <f t="shared" si="43"/>
        <v>0.57572499999999993</v>
      </c>
      <c r="W61" s="10">
        <f t="shared" si="140"/>
        <v>36.854500000000002</v>
      </c>
      <c r="X61" s="18"/>
      <c r="Z61" s="27">
        <v>9349</v>
      </c>
      <c r="AA61" s="9">
        <v>13.952299999999999</v>
      </c>
      <c r="AB61" s="9">
        <v>1.8696999999999999</v>
      </c>
      <c r="AC61" s="9">
        <v>0.71230000000000004</v>
      </c>
      <c r="AD61" s="24">
        <f t="shared" si="45"/>
        <v>0.58134583333333334</v>
      </c>
      <c r="AE61" s="10">
        <f t="shared" si="46"/>
        <v>36.847700000000003</v>
      </c>
      <c r="AF61" s="79"/>
      <c r="AG61">
        <v>53</v>
      </c>
      <c r="AH61" s="1">
        <v>9349</v>
      </c>
      <c r="AI61" s="1" t="s">
        <v>1</v>
      </c>
      <c r="AJ61" s="2">
        <v>37.56</v>
      </c>
      <c r="AL61" s="32">
        <v>9349</v>
      </c>
      <c r="AM61" s="9">
        <v>14.0997</v>
      </c>
      <c r="AN61" s="9">
        <v>1.8894</v>
      </c>
      <c r="AO61" s="9">
        <v>0.71989999999999998</v>
      </c>
      <c r="AP61" s="37">
        <f t="shared" si="0"/>
        <v>0.58748750000000005</v>
      </c>
      <c r="AQ61" s="53">
        <f t="shared" si="108"/>
        <v>36.8401</v>
      </c>
      <c r="AT61" s="39"/>
      <c r="AU61" s="38">
        <v>9349</v>
      </c>
      <c r="AV61" s="9">
        <v>14.1624</v>
      </c>
      <c r="AW61" s="43">
        <v>1.8977999999999999</v>
      </c>
      <c r="AX61" s="43">
        <v>0.72309999999999997</v>
      </c>
      <c r="AY61" s="47">
        <f t="shared" si="47"/>
        <v>0.59009999999999996</v>
      </c>
      <c r="AZ61" s="56">
        <f t="shared" si="109"/>
        <v>36.8369</v>
      </c>
      <c r="BD61" s="54">
        <v>9349</v>
      </c>
      <c r="BE61" s="53">
        <v>14.169499999999999</v>
      </c>
      <c r="BF61" s="58">
        <v>1.8988</v>
      </c>
      <c r="BG61" s="58">
        <v>0.72340000000000004</v>
      </c>
      <c r="BH61" s="47">
        <f t="shared" si="48"/>
        <v>0.59039583333333334</v>
      </c>
      <c r="BI61" s="56">
        <f t="shared" si="49"/>
        <v>36.836600000000004</v>
      </c>
      <c r="BJ61" s="88"/>
      <c r="BK61" s="88"/>
      <c r="BL61" s="88"/>
      <c r="BN61" s="9">
        <v>9349</v>
      </c>
      <c r="BO61" s="53">
        <v>14.196</v>
      </c>
      <c r="BP61" s="53">
        <v>1.9023000000000001</v>
      </c>
      <c r="BQ61" s="53">
        <v>0.7248</v>
      </c>
      <c r="BR61" s="53">
        <f t="shared" si="50"/>
        <v>0.59150000000000003</v>
      </c>
      <c r="BS61" s="53">
        <f t="shared" si="51"/>
        <v>36.8352</v>
      </c>
      <c r="BV61" s="88"/>
      <c r="BX61" s="93">
        <v>9349</v>
      </c>
      <c r="BY61" s="9">
        <v>14.248100000000001</v>
      </c>
      <c r="BZ61" s="9">
        <v>1.9093</v>
      </c>
      <c r="CA61" s="9">
        <v>0.72740000000000005</v>
      </c>
      <c r="CB61" s="58">
        <f t="shared" si="52"/>
        <v>0.59367083333333337</v>
      </c>
      <c r="CC61" s="53">
        <f t="shared" si="110"/>
        <v>36.832599999999999</v>
      </c>
      <c r="CF61" s="88"/>
      <c r="CG61">
        <v>51</v>
      </c>
      <c r="CH61" s="93">
        <v>9349</v>
      </c>
      <c r="CI61" s="93">
        <v>14.292899999999999</v>
      </c>
      <c r="CJ61" s="9">
        <v>1.9153</v>
      </c>
      <c r="CK61" s="9">
        <v>0.72970000000000002</v>
      </c>
      <c r="CL61" s="47">
        <f t="shared" si="5"/>
        <v>0.59553749999999994</v>
      </c>
      <c r="CM61" s="53">
        <f t="shared" si="53"/>
        <v>36.830300000000001</v>
      </c>
      <c r="CQ61">
        <v>51</v>
      </c>
      <c r="CR61" s="98">
        <v>9349</v>
      </c>
      <c r="CS61" s="101">
        <v>14.3492</v>
      </c>
      <c r="CT61" s="101">
        <v>1.9228000000000001</v>
      </c>
      <c r="CU61" s="101">
        <v>0.73260000000000003</v>
      </c>
      <c r="CV61" s="47">
        <f t="shared" si="6"/>
        <v>0.59788333333333332</v>
      </c>
      <c r="CW61" s="53">
        <f t="shared" si="141"/>
        <v>36.827400000000004</v>
      </c>
      <c r="DA61">
        <v>51</v>
      </c>
      <c r="DB61" s="106">
        <v>9349</v>
      </c>
      <c r="DC61" s="107">
        <v>14.354699999999999</v>
      </c>
      <c r="DD61" s="107">
        <v>1.9236</v>
      </c>
      <c r="DE61" s="107">
        <v>0.7329</v>
      </c>
      <c r="DF61" s="47">
        <f t="shared" si="136"/>
        <v>0.59811249999999994</v>
      </c>
      <c r="DG61" s="53">
        <f t="shared" si="111"/>
        <v>36.827100000000002</v>
      </c>
      <c r="DK61">
        <v>51</v>
      </c>
      <c r="DL61" s="110">
        <v>9349</v>
      </c>
      <c r="DM61" s="53">
        <v>14.419</v>
      </c>
      <c r="DN61" s="53">
        <v>1.9321999999999999</v>
      </c>
      <c r="DO61" s="53">
        <v>0.73619999999999997</v>
      </c>
      <c r="DP61" s="47">
        <f t="shared" si="137"/>
        <v>0.60079166666666672</v>
      </c>
      <c r="DQ61" s="53">
        <f t="shared" si="54"/>
        <v>36.823800000000006</v>
      </c>
      <c r="DS61" s="3">
        <f t="shared" si="55"/>
        <v>6.4300000000001134E-2</v>
      </c>
      <c r="DU61">
        <v>51</v>
      </c>
      <c r="DV61" s="115">
        <v>9349</v>
      </c>
      <c r="DW61" s="53">
        <f>Sheet3!B$11</f>
        <v>14.459099999999999</v>
      </c>
      <c r="DX61" s="53">
        <f>Sheet3!C$11</f>
        <v>1.9376</v>
      </c>
      <c r="DY61" s="53">
        <f>Sheet3!D$11</f>
        <v>0.73819999999999997</v>
      </c>
      <c r="DZ61" s="47">
        <f t="shared" si="138"/>
        <v>0.60246250000000001</v>
      </c>
      <c r="EA61" s="53">
        <f t="shared" si="112"/>
        <v>36.821800000000003</v>
      </c>
      <c r="EB61" s="3"/>
      <c r="EE61">
        <v>51</v>
      </c>
      <c r="EF61" s="118">
        <v>9349</v>
      </c>
      <c r="EG61" s="9">
        <v>14.521699999999999</v>
      </c>
      <c r="EH61" s="9">
        <v>1.946</v>
      </c>
      <c r="EI61" s="9">
        <v>0.74139999999999995</v>
      </c>
      <c r="EJ61" s="47">
        <f t="shared" si="10"/>
        <v>0.60507083333333334</v>
      </c>
      <c r="EK61" s="53">
        <f t="shared" si="56"/>
        <v>36.818600000000004</v>
      </c>
      <c r="EM61" s="3">
        <f t="shared" si="57"/>
        <v>-3.1999999999996476E-3</v>
      </c>
      <c r="EN61" s="3"/>
      <c r="EO61">
        <v>51</v>
      </c>
      <c r="EP61" s="121">
        <v>9349</v>
      </c>
      <c r="EQ61" s="122">
        <v>14.646100000000001</v>
      </c>
      <c r="ER61" s="122">
        <v>1.9625999999999999</v>
      </c>
      <c r="ES61" s="129">
        <v>0.74780000000000002</v>
      </c>
      <c r="ET61" s="130">
        <f t="shared" si="11"/>
        <v>0.61025416666666665</v>
      </c>
      <c r="EU61" s="131">
        <f t="shared" si="58"/>
        <v>36.812200000000004</v>
      </c>
      <c r="EX61" s="3"/>
      <c r="EY61">
        <v>51</v>
      </c>
      <c r="EZ61" s="135">
        <v>9349</v>
      </c>
      <c r="FA61" s="135">
        <v>14.704800000000001</v>
      </c>
      <c r="FB61" s="135">
        <v>1.9704999999999999</v>
      </c>
      <c r="FC61" s="135">
        <v>0.75080000000000002</v>
      </c>
      <c r="FD61" s="136">
        <f t="shared" si="12"/>
        <v>0.61270000000000002</v>
      </c>
      <c r="FE61" s="131">
        <f t="shared" si="59"/>
        <v>36.809200000000004</v>
      </c>
      <c r="FG61" s="123">
        <f t="shared" si="60"/>
        <v>-3.0000000000001137E-3</v>
      </c>
      <c r="FH61" s="3"/>
      <c r="FI61">
        <v>51</v>
      </c>
      <c r="FJ61" s="145">
        <v>9349</v>
      </c>
      <c r="FK61" s="9">
        <v>14.782999999999999</v>
      </c>
      <c r="FL61" s="9">
        <v>1.9810000000000001</v>
      </c>
      <c r="FM61" s="9">
        <v>0.75480000000000003</v>
      </c>
      <c r="FN61" s="146">
        <f t="shared" si="113"/>
        <v>0.61595833333333327</v>
      </c>
      <c r="FO61" s="131">
        <f t="shared" si="61"/>
        <v>36.805199999999999</v>
      </c>
      <c r="FP61" s="123">
        <f t="shared" si="62"/>
        <v>-4.0000000000048885E-3</v>
      </c>
      <c r="FS61">
        <v>51</v>
      </c>
      <c r="FT61" s="147">
        <v>9349</v>
      </c>
      <c r="FU61" s="148">
        <v>14.799099999999999</v>
      </c>
      <c r="FV61" s="148">
        <v>1.9831000000000001</v>
      </c>
      <c r="FW61" s="148">
        <v>0.75560000000000005</v>
      </c>
      <c r="FX61" s="150">
        <f t="shared" si="114"/>
        <v>0.61662916666666667</v>
      </c>
      <c r="FY61" s="131">
        <f t="shared" si="115"/>
        <v>36.804400000000001</v>
      </c>
      <c r="FZ61">
        <f t="shared" si="63"/>
        <v>1.6099999999999781E-2</v>
      </c>
      <c r="GC61">
        <v>51</v>
      </c>
      <c r="GD61" s="151">
        <v>9349</v>
      </c>
      <c r="GE61" s="151">
        <v>14.838900000000001</v>
      </c>
      <c r="GF61" s="151">
        <v>1.9884999999999999</v>
      </c>
      <c r="GG61" s="151">
        <v>0.75760000000000005</v>
      </c>
      <c r="GH61" s="153">
        <f t="shared" si="132"/>
        <v>0.61828749999999999</v>
      </c>
      <c r="GI61" s="131">
        <f t="shared" si="64"/>
        <v>36.802400000000006</v>
      </c>
      <c r="GJ61">
        <f t="shared" si="142"/>
        <v>3.980000000000139E-2</v>
      </c>
      <c r="GM61">
        <v>51</v>
      </c>
      <c r="GN61" s="155">
        <v>9349</v>
      </c>
      <c r="GO61" s="155">
        <v>14.9232</v>
      </c>
      <c r="GP61" s="155">
        <v>1.9998</v>
      </c>
      <c r="GQ61" s="155">
        <v>0.76190000000000002</v>
      </c>
      <c r="GR61" s="58">
        <f t="shared" si="65"/>
        <v>0.62180000000000002</v>
      </c>
      <c r="GS61" s="131">
        <f t="shared" si="66"/>
        <v>36.798100000000005</v>
      </c>
      <c r="GT61">
        <f t="shared" si="143"/>
        <v>8.4299999999998931E-2</v>
      </c>
      <c r="GW61">
        <v>51</v>
      </c>
      <c r="GX61" s="157">
        <v>9349</v>
      </c>
      <c r="GY61" s="161">
        <f>VLOOKUP(GX61,Sheet3!$AJ$7:$AN$83,2,0)</f>
        <v>15.030200000000001</v>
      </c>
      <c r="GZ61" s="161">
        <f>VLOOKUP(GX61,Sheet3!$AJ$7:$AN$83,3,0)</f>
        <v>2.0141</v>
      </c>
      <c r="HA61" s="161">
        <f>VLOOKUP(GX61,Sheet3!$AJ$7:$AN$83,4,0)</f>
        <v>0.76739999999999997</v>
      </c>
      <c r="HB61" s="162">
        <f t="shared" si="17"/>
        <v>0.62625833333333336</v>
      </c>
      <c r="HC61" s="131">
        <f t="shared" si="116"/>
        <v>36.7926</v>
      </c>
      <c r="HD61" s="159">
        <f t="shared" si="144"/>
        <v>0.10700000000000109</v>
      </c>
      <c r="HE61" s="159">
        <f t="shared" si="145"/>
        <v>5.4999999999999494E-3</v>
      </c>
      <c r="HG61" s="159"/>
      <c r="HH61" s="159">
        <v>51</v>
      </c>
      <c r="HI61" s="158">
        <v>9349</v>
      </c>
      <c r="HJ61" s="161">
        <v>15.073399999999999</v>
      </c>
      <c r="HK61" s="161">
        <v>2.0198999999999998</v>
      </c>
      <c r="HL61" s="161">
        <v>0.76959999999999995</v>
      </c>
      <c r="HM61" s="162">
        <f t="shared" si="18"/>
        <v>0.62805833333333327</v>
      </c>
      <c r="HN61" s="131">
        <f t="shared" si="67"/>
        <v>36.790400000000005</v>
      </c>
      <c r="HO61" s="159">
        <f t="shared" si="68"/>
        <v>4.3199999999998795E-2</v>
      </c>
      <c r="HQ61" s="183"/>
      <c r="HR61" s="183">
        <v>51</v>
      </c>
      <c r="HS61" s="178">
        <v>9349</v>
      </c>
      <c r="HT61" s="184">
        <v>15.1015</v>
      </c>
      <c r="HU61" s="184">
        <v>2.0236999999999998</v>
      </c>
      <c r="HV61" s="184">
        <v>0.77100000000000002</v>
      </c>
      <c r="HW61" s="171">
        <f t="shared" si="19"/>
        <v>0.62922916666666662</v>
      </c>
      <c r="HX61" s="53">
        <f t="shared" si="69"/>
        <v>36.789000000000001</v>
      </c>
      <c r="HY61" s="183">
        <f t="shared" si="70"/>
        <v>2.8100000000000236E-2</v>
      </c>
      <c r="IA61" s="194"/>
      <c r="IB61" s="194">
        <v>51</v>
      </c>
      <c r="IC61" s="193">
        <v>9349</v>
      </c>
      <c r="ID61" s="161">
        <v>15.1137</v>
      </c>
      <c r="IE61" s="184">
        <v>2.0253000000000001</v>
      </c>
      <c r="IF61" s="184">
        <v>0.77159999999999995</v>
      </c>
      <c r="IG61" s="171">
        <f t="shared" si="71"/>
        <v>0.62973749999999995</v>
      </c>
      <c r="IH61" s="53">
        <f t="shared" si="72"/>
        <v>36.788400000000003</v>
      </c>
      <c r="II61" s="194">
        <f t="shared" si="73"/>
        <v>1.2199999999999989E-2</v>
      </c>
      <c r="IL61" s="199">
        <v>51</v>
      </c>
      <c r="IM61" s="197">
        <v>9349</v>
      </c>
      <c r="IN61" s="161">
        <v>15.177899999999999</v>
      </c>
      <c r="IO61" s="184">
        <v>2.0339</v>
      </c>
      <c r="IP61" s="184">
        <v>0.77490000000000003</v>
      </c>
      <c r="IQ61" s="171">
        <f t="shared" si="74"/>
        <v>0.63241249999999993</v>
      </c>
      <c r="IR61" s="53">
        <f t="shared" si="75"/>
        <v>36.7851</v>
      </c>
      <c r="IS61" s="199">
        <f t="shared" si="76"/>
        <v>6.4199999999999591E-2</v>
      </c>
      <c r="IU61" s="202"/>
      <c r="IV61" s="202">
        <v>51</v>
      </c>
      <c r="IW61" s="201">
        <v>9349</v>
      </c>
      <c r="IX61" s="184">
        <v>15.2645</v>
      </c>
      <c r="IY61" s="184">
        <v>2.0455000000000001</v>
      </c>
      <c r="IZ61" s="184">
        <v>0.77929999999999999</v>
      </c>
      <c r="JA61" s="162">
        <f t="shared" si="22"/>
        <v>0.63602083333333337</v>
      </c>
      <c r="JB61" s="53">
        <f t="shared" si="77"/>
        <v>36.780700000000003</v>
      </c>
      <c r="JC61" s="202">
        <f t="shared" si="78"/>
        <v>8.6600000000000676E-2</v>
      </c>
      <c r="JE61" s="204"/>
      <c r="JF61" s="204">
        <v>51</v>
      </c>
      <c r="JG61" s="203">
        <v>9349</v>
      </c>
      <c r="JH61" s="161">
        <v>15.292</v>
      </c>
      <c r="JI61" s="184">
        <v>2.0491999999999999</v>
      </c>
      <c r="JJ61" s="184">
        <v>0.78069999999999995</v>
      </c>
      <c r="JK61" s="162">
        <f t="shared" si="79"/>
        <v>0.63716666666666666</v>
      </c>
      <c r="JL61" s="53">
        <f t="shared" si="80"/>
        <v>36.779299999999999</v>
      </c>
      <c r="JM61" s="204">
        <f t="shared" si="117"/>
        <v>2.7499999999999858E-2</v>
      </c>
      <c r="JN61" s="204"/>
      <c r="JP61" s="209">
        <v>51</v>
      </c>
      <c r="JQ61" s="205">
        <v>9349</v>
      </c>
      <c r="JR61" s="161">
        <v>15.3141</v>
      </c>
      <c r="JS61" s="184">
        <v>2.0520999999999998</v>
      </c>
      <c r="JT61" s="184">
        <v>0.78190000000000004</v>
      </c>
      <c r="JU61" s="162">
        <f t="shared" si="81"/>
        <v>0.63808750000000003</v>
      </c>
      <c r="JV61" s="53">
        <f t="shared" si="82"/>
        <v>36.778100000000002</v>
      </c>
      <c r="JW61" s="209">
        <f t="shared" si="118"/>
        <v>2.2100000000000009E-2</v>
      </c>
      <c r="JX61" s="213"/>
      <c r="JY61" s="213"/>
      <c r="JZ61" s="213">
        <v>51</v>
      </c>
      <c r="KA61" s="206">
        <v>9349</v>
      </c>
      <c r="KB61" s="184">
        <v>15.366</v>
      </c>
      <c r="KC61" s="184">
        <v>2.0590999999999999</v>
      </c>
      <c r="KD61" s="184">
        <v>0.78449999999999998</v>
      </c>
      <c r="KE61" s="162">
        <f t="shared" si="83"/>
        <v>0.64024999999999999</v>
      </c>
      <c r="KF61" s="53">
        <f t="shared" si="84"/>
        <v>36.775500000000001</v>
      </c>
      <c r="KG61" s="213">
        <f t="shared" si="119"/>
        <v>5.1899999999999835E-2</v>
      </c>
      <c r="KI61" s="219"/>
      <c r="KJ61" s="219">
        <v>51</v>
      </c>
      <c r="KK61" s="214">
        <v>9349</v>
      </c>
      <c r="KL61" s="161">
        <v>15.3833</v>
      </c>
      <c r="KM61" s="161">
        <v>2.0613999999999999</v>
      </c>
      <c r="KN61" s="161">
        <v>0.78539999999999999</v>
      </c>
      <c r="KO61" s="162">
        <f t="shared" si="24"/>
        <v>0.64097083333333338</v>
      </c>
      <c r="KP61" s="53">
        <f t="shared" si="85"/>
        <v>36.7746</v>
      </c>
      <c r="KQ61" s="219">
        <f t="shared" si="120"/>
        <v>1.7300000000000537E-2</v>
      </c>
      <c r="KT61" s="223">
        <v>51</v>
      </c>
      <c r="KU61" s="216">
        <v>9349</v>
      </c>
      <c r="KV61" s="161">
        <v>15.401499999999999</v>
      </c>
      <c r="KW61" s="161">
        <v>2.0638999999999998</v>
      </c>
      <c r="KX61" s="161">
        <v>0.7863</v>
      </c>
      <c r="KY61" s="162">
        <f t="shared" si="86"/>
        <v>0.64172916666666657</v>
      </c>
      <c r="KZ61" s="53">
        <f t="shared" si="87"/>
        <v>36.773700000000005</v>
      </c>
      <c r="LA61" s="223">
        <f t="shared" si="121"/>
        <v>1.819999999999844E-2</v>
      </c>
      <c r="LD61" s="228">
        <v>51</v>
      </c>
      <c r="LE61" s="221">
        <v>9349</v>
      </c>
      <c r="LF61" s="161">
        <v>15.4168</v>
      </c>
      <c r="LG61" s="161">
        <v>2.0659000000000001</v>
      </c>
      <c r="LH61" s="161">
        <v>0.78710000000000002</v>
      </c>
      <c r="LI61" s="162">
        <f t="shared" si="88"/>
        <v>0.64236666666666664</v>
      </c>
      <c r="LJ61" s="53">
        <f t="shared" si="89"/>
        <v>36.7729</v>
      </c>
      <c r="LK61" s="228">
        <f t="shared" si="122"/>
        <v>1.5300000000001646E-2</v>
      </c>
      <c r="LL61" s="231"/>
      <c r="LM61" s="231"/>
      <c r="LN61" s="231">
        <v>51</v>
      </c>
      <c r="LO61" s="226">
        <v>9349</v>
      </c>
      <c r="LP61" s="184">
        <v>15.4382</v>
      </c>
      <c r="LQ61" s="184">
        <v>2.0688</v>
      </c>
      <c r="LR61" s="184">
        <v>0.78820000000000001</v>
      </c>
      <c r="LS61" s="162">
        <f t="shared" si="90"/>
        <v>0.64325833333333338</v>
      </c>
      <c r="LT61" s="53">
        <f t="shared" si="91"/>
        <v>36.771799999999999</v>
      </c>
      <c r="LU61" s="231">
        <f t="shared" si="123"/>
        <v>2.1399999999999864E-2</v>
      </c>
      <c r="LW61" s="231"/>
      <c r="LX61" s="231">
        <v>51</v>
      </c>
      <c r="LY61" s="234">
        <v>9349</v>
      </c>
      <c r="LZ61" s="184">
        <v>15.462199999999999</v>
      </c>
      <c r="MA61" s="184">
        <v>2.0720000000000001</v>
      </c>
      <c r="MB61" s="184">
        <v>0.78939999999999999</v>
      </c>
      <c r="MC61" s="162">
        <f t="shared" si="92"/>
        <v>0.64425833333333327</v>
      </c>
      <c r="MD61" s="53">
        <f t="shared" si="93"/>
        <v>36.770600000000002</v>
      </c>
      <c r="ME61" s="231">
        <f t="shared" si="124"/>
        <v>2.3999999999999133E-2</v>
      </c>
      <c r="MF61" s="231"/>
      <c r="MG61" s="231"/>
      <c r="MH61" s="231">
        <v>51</v>
      </c>
      <c r="MI61" s="236">
        <v>9349</v>
      </c>
      <c r="MJ61" s="184">
        <v>15.485900000000001</v>
      </c>
      <c r="MK61" s="184">
        <v>2.0752000000000002</v>
      </c>
      <c r="ML61" s="184">
        <v>0.79059999999999997</v>
      </c>
      <c r="MM61" s="162">
        <f t="shared" si="94"/>
        <v>0.64524583333333341</v>
      </c>
      <c r="MN61" s="53">
        <f t="shared" si="95"/>
        <v>36.769400000000005</v>
      </c>
      <c r="MO61" s="231">
        <f t="shared" si="125"/>
        <v>2.3700000000001609E-2</v>
      </c>
      <c r="MP61" s="231"/>
      <c r="MQ61" s="231"/>
      <c r="MR61" s="231">
        <v>51</v>
      </c>
      <c r="MS61" s="238">
        <v>9349</v>
      </c>
      <c r="MT61" s="184">
        <v>15.5311</v>
      </c>
      <c r="MU61" s="184">
        <v>2.0811999999999999</v>
      </c>
      <c r="MV61" s="184">
        <v>0.79290000000000005</v>
      </c>
      <c r="MW61" s="162">
        <f t="shared" si="96"/>
        <v>0.64712916666666664</v>
      </c>
      <c r="MX61" s="53">
        <f t="shared" si="97"/>
        <v>36.767099999999999</v>
      </c>
      <c r="MY61" s="231">
        <f t="shared" si="126"/>
        <v>4.5199999999999463E-2</v>
      </c>
      <c r="MZ61" s="246"/>
      <c r="NA61" s="246"/>
      <c r="NB61" s="246">
        <v>51</v>
      </c>
      <c r="NC61" s="242">
        <v>9349</v>
      </c>
      <c r="ND61" s="184">
        <v>15.577299999999999</v>
      </c>
      <c r="NE61" s="184">
        <v>2.0874000000000001</v>
      </c>
      <c r="NF61" s="184">
        <v>0.79530000000000001</v>
      </c>
      <c r="NG61" s="162">
        <f t="shared" si="98"/>
        <v>0.6490541666666666</v>
      </c>
      <c r="NH61" s="53">
        <f t="shared" si="99"/>
        <v>36.764700000000005</v>
      </c>
      <c r="NI61" s="232">
        <f t="shared" si="127"/>
        <v>4.6199999999998909E-2</v>
      </c>
      <c r="NK61" s="250"/>
      <c r="NL61" s="250">
        <v>51</v>
      </c>
      <c r="NM61" s="244">
        <v>9349</v>
      </c>
      <c r="NN61" s="184">
        <v>15.5909</v>
      </c>
      <c r="NO61" s="184">
        <v>2.0891999999999999</v>
      </c>
      <c r="NP61" s="184">
        <v>0.79600000000000004</v>
      </c>
      <c r="NQ61" s="162">
        <f t="shared" si="133"/>
        <v>0.64962083333333331</v>
      </c>
      <c r="NR61" s="53">
        <f t="shared" si="101"/>
        <v>36.764000000000003</v>
      </c>
      <c r="NS61" s="232">
        <f t="shared" si="128"/>
        <v>1.3600000000000279E-2</v>
      </c>
      <c r="NU61" s="250"/>
      <c r="NV61" s="250">
        <v>51</v>
      </c>
      <c r="NW61" s="248">
        <v>9349</v>
      </c>
      <c r="NX61" s="184">
        <v>15.612500000000001</v>
      </c>
      <c r="NY61" s="184">
        <v>2.0920999999999998</v>
      </c>
      <c r="NZ61" s="184">
        <v>0.79710000000000003</v>
      </c>
      <c r="OA61" s="162">
        <f t="shared" si="134"/>
        <v>0.65052083333333333</v>
      </c>
      <c r="OB61" s="53">
        <f t="shared" si="103"/>
        <v>36.762900000000002</v>
      </c>
      <c r="OC61" s="232">
        <f t="shared" si="129"/>
        <v>2.1600000000001174E-2</v>
      </c>
      <c r="OE61" s="250"/>
      <c r="OF61" s="250">
        <v>51</v>
      </c>
      <c r="OG61" s="251">
        <v>9349</v>
      </c>
      <c r="OH61" s="184">
        <v>15.6233</v>
      </c>
      <c r="OI61" s="184">
        <v>2.0935999999999999</v>
      </c>
      <c r="OJ61" s="184">
        <v>0.79769999999999996</v>
      </c>
      <c r="OK61" s="162">
        <f t="shared" si="135"/>
        <v>0.65097083333333339</v>
      </c>
      <c r="OL61" s="53">
        <f t="shared" si="105"/>
        <v>36.762300000000003</v>
      </c>
      <c r="OM61" s="232">
        <f t="shared" si="130"/>
        <v>1.0799999999999699E-2</v>
      </c>
      <c r="OP61" s="250">
        <v>51</v>
      </c>
      <c r="OQ61" s="253">
        <v>9349</v>
      </c>
      <c r="OR61" s="184">
        <f>VLOOKUP(OQ61,Sheet4!A9:F85,3,0)</f>
        <v>15.648099999999999</v>
      </c>
      <c r="OS61" s="184">
        <f>VLOOKUP(OQ61,Sheet4!A9:F85,4,0)</f>
        <v>2.0969000000000002</v>
      </c>
      <c r="OT61" s="184">
        <f>VLOOKUP(OQ61,Sheet4!A9:F85,5,0)</f>
        <v>0.79890000000000005</v>
      </c>
      <c r="OU61" s="162">
        <f t="shared" si="106"/>
        <v>0.65200416666666661</v>
      </c>
      <c r="OV61" s="53">
        <f t="shared" si="107"/>
        <v>36.761099999999999</v>
      </c>
      <c r="OW61" s="232">
        <f t="shared" si="131"/>
        <v>2.4799999999999045E-2</v>
      </c>
    </row>
    <row r="62" spans="1:413" ht="15.75" x14ac:dyDescent="0.25">
      <c r="A62">
        <v>54</v>
      </c>
      <c r="B62" s="1">
        <v>9639</v>
      </c>
      <c r="C62" s="1" t="s">
        <v>1</v>
      </c>
      <c r="D62" s="2">
        <v>37.630000000000003</v>
      </c>
      <c r="E62" s="8"/>
      <c r="F62" s="8"/>
      <c r="G62" s="8"/>
      <c r="H62" s="8"/>
      <c r="J62" s="15">
        <v>9639</v>
      </c>
      <c r="K62" s="15">
        <v>6.3135000000000003</v>
      </c>
      <c r="L62" s="15">
        <v>0.84599999999999997</v>
      </c>
      <c r="M62" s="15">
        <v>0.32229999999999998</v>
      </c>
      <c r="N62" s="24">
        <f t="shared" si="42"/>
        <v>0.26306250000000003</v>
      </c>
      <c r="O62" s="10">
        <f t="shared" si="139"/>
        <v>37.307700000000004</v>
      </c>
      <c r="P62" s="18"/>
      <c r="R62" s="20">
        <v>9639</v>
      </c>
      <c r="S62" s="9">
        <v>6.3684000000000003</v>
      </c>
      <c r="T62" s="9">
        <v>0.85340000000000005</v>
      </c>
      <c r="U62" s="9">
        <v>0.3251</v>
      </c>
      <c r="V62" s="24">
        <f t="shared" si="43"/>
        <v>0.26535000000000003</v>
      </c>
      <c r="W62" s="10">
        <f t="shared" si="140"/>
        <v>37.304900000000004</v>
      </c>
      <c r="X62" s="18"/>
      <c r="Z62" s="27">
        <v>9639</v>
      </c>
      <c r="AA62" s="9">
        <v>6.5033000000000003</v>
      </c>
      <c r="AB62" s="9">
        <v>0.87150000000000005</v>
      </c>
      <c r="AC62" s="9">
        <v>0.33200000000000002</v>
      </c>
      <c r="AD62" s="24">
        <f t="shared" si="45"/>
        <v>0.27097083333333333</v>
      </c>
      <c r="AE62" s="10">
        <f t="shared" si="46"/>
        <v>37.298000000000002</v>
      </c>
      <c r="AF62" s="79"/>
      <c r="AG62">
        <v>54</v>
      </c>
      <c r="AH62" s="1">
        <v>9639</v>
      </c>
      <c r="AI62" s="1" t="s">
        <v>1</v>
      </c>
      <c r="AJ62" s="2">
        <v>37.630000000000003</v>
      </c>
      <c r="AL62" s="32">
        <v>9639</v>
      </c>
      <c r="AM62" s="9">
        <v>6.6506999999999996</v>
      </c>
      <c r="AN62" s="9">
        <v>0.89119999999999999</v>
      </c>
      <c r="AO62" s="9">
        <v>0.33960000000000001</v>
      </c>
      <c r="AP62" s="37">
        <f t="shared" si="0"/>
        <v>0.27711249999999998</v>
      </c>
      <c r="AQ62" s="53">
        <f t="shared" si="108"/>
        <v>37.290400000000005</v>
      </c>
      <c r="AT62" s="39"/>
      <c r="AU62" s="38">
        <v>9639</v>
      </c>
      <c r="AV62" s="9">
        <v>6.7134</v>
      </c>
      <c r="AW62" s="43">
        <v>0.89959999999999996</v>
      </c>
      <c r="AX62" s="43">
        <v>0.34279999999999999</v>
      </c>
      <c r="AY62" s="47">
        <f t="shared" si="47"/>
        <v>0.279725</v>
      </c>
      <c r="AZ62" s="56">
        <f t="shared" si="109"/>
        <v>37.287200000000006</v>
      </c>
      <c r="BD62" s="54">
        <v>9639</v>
      </c>
      <c r="BE62" s="53">
        <v>6.7205000000000004</v>
      </c>
      <c r="BF62" s="58">
        <v>0.90059999999999996</v>
      </c>
      <c r="BG62" s="58">
        <v>0.34310000000000002</v>
      </c>
      <c r="BH62" s="47">
        <f t="shared" si="48"/>
        <v>0.28002083333333333</v>
      </c>
      <c r="BI62" s="56">
        <f t="shared" si="49"/>
        <v>37.286900000000003</v>
      </c>
      <c r="BJ62" s="88"/>
      <c r="BK62" s="88"/>
      <c r="BL62" s="88"/>
      <c r="BN62" s="9">
        <v>9639</v>
      </c>
      <c r="BO62" s="53">
        <v>6.7469999999999999</v>
      </c>
      <c r="BP62" s="53">
        <v>0.90410000000000001</v>
      </c>
      <c r="BQ62" s="53">
        <v>0.34449999999999997</v>
      </c>
      <c r="BR62" s="53">
        <f t="shared" si="50"/>
        <v>0.28112500000000001</v>
      </c>
      <c r="BS62" s="53">
        <f t="shared" si="51"/>
        <v>37.285500000000006</v>
      </c>
      <c r="BV62" s="88"/>
      <c r="BX62" s="93">
        <v>9639</v>
      </c>
      <c r="BY62" s="9">
        <v>6.7991000000000001</v>
      </c>
      <c r="BZ62" s="9">
        <v>0.91110000000000002</v>
      </c>
      <c r="CA62" s="9">
        <v>0.34710000000000002</v>
      </c>
      <c r="CB62" s="58">
        <f t="shared" si="52"/>
        <v>0.28329583333333336</v>
      </c>
      <c r="CC62" s="53">
        <f t="shared" si="110"/>
        <v>37.282900000000005</v>
      </c>
      <c r="CF62" s="88"/>
      <c r="CG62">
        <v>52</v>
      </c>
      <c r="CH62" s="93">
        <v>9639</v>
      </c>
      <c r="CI62" s="93">
        <v>6.8438999999999997</v>
      </c>
      <c r="CJ62" s="9">
        <v>0.91710000000000003</v>
      </c>
      <c r="CK62" s="9">
        <v>0.34939999999999999</v>
      </c>
      <c r="CL62" s="47">
        <f t="shared" si="5"/>
        <v>0.28516249999999999</v>
      </c>
      <c r="CM62" s="53">
        <f t="shared" si="53"/>
        <v>37.2806</v>
      </c>
      <c r="CQ62">
        <v>52</v>
      </c>
      <c r="CR62" s="98">
        <v>9639</v>
      </c>
      <c r="CS62" s="101">
        <v>6.9001999999999999</v>
      </c>
      <c r="CT62" s="101">
        <v>0.92469999999999997</v>
      </c>
      <c r="CU62" s="101">
        <v>0.3523</v>
      </c>
      <c r="CV62" s="47">
        <f t="shared" si="6"/>
        <v>0.28750833333333331</v>
      </c>
      <c r="CW62" s="53">
        <f t="shared" si="141"/>
        <v>37.277700000000003</v>
      </c>
      <c r="DA62">
        <v>52</v>
      </c>
      <c r="DB62" s="106">
        <v>9639</v>
      </c>
      <c r="DC62" s="107">
        <v>6.9057000000000004</v>
      </c>
      <c r="DD62" s="107">
        <v>0.9254</v>
      </c>
      <c r="DE62" s="107">
        <v>0.35260000000000002</v>
      </c>
      <c r="DF62" s="47">
        <f t="shared" si="136"/>
        <v>0.28773750000000003</v>
      </c>
      <c r="DG62" s="53">
        <f t="shared" si="111"/>
        <v>37.2774</v>
      </c>
      <c r="DK62">
        <v>52</v>
      </c>
      <c r="DL62" s="110">
        <v>9639</v>
      </c>
      <c r="DM62" s="53">
        <v>6.97</v>
      </c>
      <c r="DN62" s="53">
        <v>0.93400000000000005</v>
      </c>
      <c r="DO62" s="53">
        <v>0.35589999999999999</v>
      </c>
      <c r="DP62" s="47">
        <f t="shared" si="137"/>
        <v>0.29041666666666666</v>
      </c>
      <c r="DQ62" s="53">
        <f t="shared" si="54"/>
        <v>37.274100000000004</v>
      </c>
      <c r="DS62" s="3">
        <f t="shared" si="55"/>
        <v>6.4299999999999358E-2</v>
      </c>
      <c r="DU62">
        <v>52</v>
      </c>
      <c r="DV62" s="115">
        <v>9639</v>
      </c>
      <c r="DW62" s="53">
        <f>Sheet3!B$37</f>
        <v>7.0101000000000004</v>
      </c>
      <c r="DX62" s="53">
        <f>Sheet3!C$37</f>
        <v>0.93940000000000001</v>
      </c>
      <c r="DY62" s="53">
        <f>Sheet3!D$37</f>
        <v>0.3579</v>
      </c>
      <c r="DZ62" s="47">
        <f t="shared" si="138"/>
        <v>0.2920875</v>
      </c>
      <c r="EA62" s="53">
        <f t="shared" si="112"/>
        <v>37.272100000000002</v>
      </c>
      <c r="EB62" s="3"/>
      <c r="EE62">
        <v>52</v>
      </c>
      <c r="EF62" s="118">
        <v>9639</v>
      </c>
      <c r="EG62" s="9">
        <v>7.0727000000000002</v>
      </c>
      <c r="EH62" s="9">
        <v>0.94779999999999998</v>
      </c>
      <c r="EI62" s="9">
        <v>0.36109999999999998</v>
      </c>
      <c r="EJ62" s="47">
        <f t="shared" si="10"/>
        <v>0.29469583333333332</v>
      </c>
      <c r="EK62" s="53">
        <f t="shared" si="56"/>
        <v>37.268900000000002</v>
      </c>
      <c r="EM62" s="3">
        <f t="shared" si="57"/>
        <v>-3.1999999999996476E-3</v>
      </c>
      <c r="EN62" s="3"/>
      <c r="EO62">
        <v>52</v>
      </c>
      <c r="EP62" s="121">
        <v>9639</v>
      </c>
      <c r="EQ62" s="122">
        <v>7.1970999999999998</v>
      </c>
      <c r="ER62" s="122">
        <v>0.96440000000000003</v>
      </c>
      <c r="ES62" s="129">
        <v>0.36749999999999999</v>
      </c>
      <c r="ET62" s="130">
        <f t="shared" si="11"/>
        <v>0.29987916666666664</v>
      </c>
      <c r="EU62" s="131">
        <f t="shared" si="58"/>
        <v>37.262500000000003</v>
      </c>
      <c r="EX62" s="3"/>
      <c r="EY62">
        <v>52</v>
      </c>
      <c r="EZ62" s="135">
        <v>9639</v>
      </c>
      <c r="FA62" s="135">
        <v>7.2557999999999998</v>
      </c>
      <c r="FB62" s="135">
        <v>0.97230000000000005</v>
      </c>
      <c r="FC62" s="135">
        <v>0.37040000000000001</v>
      </c>
      <c r="FD62" s="136">
        <f t="shared" si="12"/>
        <v>0.30232500000000001</v>
      </c>
      <c r="FE62" s="131">
        <f t="shared" si="59"/>
        <v>37.259600000000006</v>
      </c>
      <c r="FG62" s="123">
        <f t="shared" si="60"/>
        <v>-2.899999999996794E-3</v>
      </c>
      <c r="FH62" s="3"/>
      <c r="FI62">
        <v>52</v>
      </c>
      <c r="FJ62" s="145">
        <v>9639</v>
      </c>
      <c r="FK62" s="9">
        <v>7.3339999999999996</v>
      </c>
      <c r="FL62" s="9">
        <v>0.98280000000000001</v>
      </c>
      <c r="FM62" s="9">
        <v>0.37440000000000001</v>
      </c>
      <c r="FN62" s="146">
        <f t="shared" si="113"/>
        <v>0.30558333333333332</v>
      </c>
      <c r="FO62" s="131">
        <f t="shared" si="61"/>
        <v>37.255600000000001</v>
      </c>
      <c r="FP62" s="123">
        <f t="shared" si="62"/>
        <v>-4.0000000000048885E-3</v>
      </c>
      <c r="FS62">
        <v>52</v>
      </c>
      <c r="FT62" s="147">
        <v>9639</v>
      </c>
      <c r="FU62" s="148">
        <v>7.3501000000000003</v>
      </c>
      <c r="FV62" s="148">
        <v>0.9849</v>
      </c>
      <c r="FW62" s="148">
        <v>0.37530000000000002</v>
      </c>
      <c r="FX62" s="150">
        <f t="shared" si="114"/>
        <v>0.30625416666666666</v>
      </c>
      <c r="FY62" s="131">
        <f t="shared" si="115"/>
        <v>37.2547</v>
      </c>
      <c r="FZ62">
        <f t="shared" si="63"/>
        <v>1.6100000000000669E-2</v>
      </c>
      <c r="GC62">
        <v>52</v>
      </c>
      <c r="GD62" s="151">
        <v>9639</v>
      </c>
      <c r="GE62" s="151">
        <v>7.3898999999999999</v>
      </c>
      <c r="GF62" s="151">
        <v>0.99029999999999996</v>
      </c>
      <c r="GG62" s="151">
        <v>0.37730000000000002</v>
      </c>
      <c r="GH62" s="153">
        <f t="shared" si="132"/>
        <v>0.30791249999999998</v>
      </c>
      <c r="GI62" s="131">
        <f t="shared" si="64"/>
        <v>37.252700000000004</v>
      </c>
      <c r="GJ62">
        <f t="shared" si="142"/>
        <v>3.9799999999999613E-2</v>
      </c>
      <c r="GM62">
        <v>52</v>
      </c>
      <c r="GN62" s="155">
        <v>9639</v>
      </c>
      <c r="GO62" s="155">
        <v>7.4741999999999997</v>
      </c>
      <c r="GP62" s="155">
        <v>1.0016</v>
      </c>
      <c r="GQ62" s="155">
        <v>0.38159999999999999</v>
      </c>
      <c r="GR62" s="58">
        <f t="shared" si="65"/>
        <v>0.31142500000000001</v>
      </c>
      <c r="GS62" s="131">
        <f t="shared" si="66"/>
        <v>37.248400000000004</v>
      </c>
      <c r="GT62">
        <f t="shared" si="143"/>
        <v>8.429999999999982E-2</v>
      </c>
      <c r="GW62">
        <v>52</v>
      </c>
      <c r="GX62" s="157">
        <v>9639</v>
      </c>
      <c r="GY62" s="161">
        <f>VLOOKUP(GX62,Sheet3!$AJ$7:$AN$83,2,0)</f>
        <v>7.5811999999999999</v>
      </c>
      <c r="GZ62" s="161">
        <f>VLOOKUP(GX62,Sheet3!$AJ$7:$AN$83,3,0)</f>
        <v>1.0159</v>
      </c>
      <c r="HA62" s="161">
        <f>VLOOKUP(GX62,Sheet3!$AJ$7:$AN$83,4,0)</f>
        <v>0.3871</v>
      </c>
      <c r="HB62" s="162">
        <f t="shared" si="17"/>
        <v>0.31588333333333335</v>
      </c>
      <c r="HC62" s="131">
        <f t="shared" si="116"/>
        <v>37.242900000000006</v>
      </c>
      <c r="HD62" s="159">
        <f t="shared" si="144"/>
        <v>0.10700000000000021</v>
      </c>
      <c r="HE62" s="159">
        <f t="shared" si="145"/>
        <v>5.5000000000000049E-3</v>
      </c>
      <c r="HG62" s="159"/>
      <c r="HH62" s="159">
        <v>52</v>
      </c>
      <c r="HI62" s="158">
        <v>9639</v>
      </c>
      <c r="HJ62" s="161">
        <v>7.6243999999999996</v>
      </c>
      <c r="HK62" s="161">
        <v>1.0217000000000001</v>
      </c>
      <c r="HL62" s="161">
        <v>0.38929999999999998</v>
      </c>
      <c r="HM62" s="162">
        <f t="shared" si="18"/>
        <v>0.31768333333333332</v>
      </c>
      <c r="HN62" s="131">
        <f t="shared" si="67"/>
        <v>37.240700000000004</v>
      </c>
      <c r="HO62" s="159">
        <f t="shared" si="68"/>
        <v>4.3199999999999683E-2</v>
      </c>
      <c r="HQ62" s="183"/>
      <c r="HR62" s="183">
        <v>52</v>
      </c>
      <c r="HS62" s="178">
        <v>9639</v>
      </c>
      <c r="HT62" s="184">
        <v>7.6524999999999999</v>
      </c>
      <c r="HU62" s="184">
        <v>1.0255000000000001</v>
      </c>
      <c r="HV62" s="184">
        <v>0.39069999999999999</v>
      </c>
      <c r="HW62" s="171">
        <f t="shared" si="19"/>
        <v>0.31885416666666666</v>
      </c>
      <c r="HX62" s="53">
        <f t="shared" si="69"/>
        <v>37.2393</v>
      </c>
      <c r="HY62" s="183">
        <f t="shared" si="70"/>
        <v>2.8100000000000236E-2</v>
      </c>
      <c r="IA62" s="194"/>
      <c r="IB62" s="194">
        <v>52</v>
      </c>
      <c r="IC62" s="193">
        <v>9639</v>
      </c>
      <c r="ID62" s="161">
        <v>7.6646999999999998</v>
      </c>
      <c r="IE62" s="184">
        <v>1.0270999999999999</v>
      </c>
      <c r="IF62" s="184">
        <v>0.39129999999999998</v>
      </c>
      <c r="IG62" s="171">
        <f t="shared" si="71"/>
        <v>0.31936249999999999</v>
      </c>
      <c r="IH62" s="53">
        <f t="shared" si="72"/>
        <v>37.238700000000001</v>
      </c>
      <c r="II62" s="194">
        <f t="shared" si="73"/>
        <v>1.2199999999999989E-2</v>
      </c>
      <c r="IL62" s="199">
        <v>52</v>
      </c>
      <c r="IM62" s="197">
        <v>9639</v>
      </c>
      <c r="IN62" s="161">
        <v>7.7289000000000003</v>
      </c>
      <c r="IO62" s="184">
        <v>1.0357000000000001</v>
      </c>
      <c r="IP62" s="184">
        <v>0.39460000000000001</v>
      </c>
      <c r="IQ62" s="171">
        <f t="shared" si="74"/>
        <v>0.32203750000000003</v>
      </c>
      <c r="IR62" s="53">
        <f t="shared" si="75"/>
        <v>37.235400000000006</v>
      </c>
      <c r="IS62" s="199">
        <f t="shared" si="76"/>
        <v>6.4200000000000479E-2</v>
      </c>
      <c r="IU62" s="202"/>
      <c r="IV62" s="202">
        <v>52</v>
      </c>
      <c r="IW62" s="201">
        <v>9639</v>
      </c>
      <c r="IX62" s="184">
        <v>7.8155000000000001</v>
      </c>
      <c r="IY62" s="184">
        <v>1.0472999999999999</v>
      </c>
      <c r="IZ62" s="184">
        <v>0.39900000000000002</v>
      </c>
      <c r="JA62" s="162">
        <f t="shared" si="22"/>
        <v>0.32564583333333336</v>
      </c>
      <c r="JB62" s="53">
        <f t="shared" si="77"/>
        <v>37.231000000000002</v>
      </c>
      <c r="JC62" s="202">
        <f t="shared" si="78"/>
        <v>8.6599999999999788E-2</v>
      </c>
      <c r="JE62" s="204"/>
      <c r="JF62" s="204">
        <v>52</v>
      </c>
      <c r="JG62" s="203">
        <v>9639</v>
      </c>
      <c r="JH62" s="161">
        <v>7.843</v>
      </c>
      <c r="JI62" s="184">
        <v>1.0509999999999999</v>
      </c>
      <c r="JJ62" s="184">
        <v>0.40039999999999998</v>
      </c>
      <c r="JK62" s="162">
        <f t="shared" si="79"/>
        <v>0.32679166666666665</v>
      </c>
      <c r="JL62" s="53">
        <f t="shared" si="80"/>
        <v>37.229600000000005</v>
      </c>
      <c r="JM62" s="204">
        <f t="shared" si="117"/>
        <v>2.7499999999999858E-2</v>
      </c>
      <c r="JN62" s="204"/>
      <c r="JP62" s="209">
        <v>52</v>
      </c>
      <c r="JQ62" s="205">
        <v>9639</v>
      </c>
      <c r="JR62" s="161">
        <v>7.8651</v>
      </c>
      <c r="JS62" s="184">
        <v>1.054</v>
      </c>
      <c r="JT62" s="184">
        <v>0.40160000000000001</v>
      </c>
      <c r="JU62" s="162">
        <f t="shared" si="81"/>
        <v>0.32771250000000002</v>
      </c>
      <c r="JV62" s="53">
        <f t="shared" si="82"/>
        <v>37.228400000000001</v>
      </c>
      <c r="JW62" s="209">
        <f t="shared" si="118"/>
        <v>2.2100000000000009E-2</v>
      </c>
      <c r="JX62" s="213"/>
      <c r="JY62" s="213"/>
      <c r="JZ62" s="213">
        <v>52</v>
      </c>
      <c r="KA62" s="206">
        <v>9639</v>
      </c>
      <c r="KB62" s="184">
        <v>7.9169999999999998</v>
      </c>
      <c r="KC62" s="184">
        <v>1.0609</v>
      </c>
      <c r="KD62" s="184">
        <v>0.4042</v>
      </c>
      <c r="KE62" s="162">
        <f t="shared" si="83"/>
        <v>0.32987499999999997</v>
      </c>
      <c r="KF62" s="53">
        <f t="shared" si="84"/>
        <v>37.2258</v>
      </c>
      <c r="KG62" s="213">
        <f t="shared" si="119"/>
        <v>5.1899999999999835E-2</v>
      </c>
      <c r="KI62" s="219"/>
      <c r="KJ62" s="219">
        <v>52</v>
      </c>
      <c r="KK62" s="214">
        <v>9639</v>
      </c>
      <c r="KL62" s="161">
        <v>7.9343000000000004</v>
      </c>
      <c r="KM62" s="161">
        <v>1.0631999999999999</v>
      </c>
      <c r="KN62" s="161">
        <v>0.40510000000000002</v>
      </c>
      <c r="KO62" s="162">
        <f t="shared" si="24"/>
        <v>0.33059583333333337</v>
      </c>
      <c r="KP62" s="53">
        <f t="shared" si="85"/>
        <v>37.224900000000005</v>
      </c>
      <c r="KQ62" s="219">
        <f t="shared" si="120"/>
        <v>1.7300000000000537E-2</v>
      </c>
      <c r="KT62" s="223">
        <v>52</v>
      </c>
      <c r="KU62" s="216">
        <v>9639</v>
      </c>
      <c r="KV62" s="161">
        <v>7.9525000000000006</v>
      </c>
      <c r="KW62" s="161">
        <v>1.0657000000000001</v>
      </c>
      <c r="KX62" s="161">
        <v>0.40600000000000003</v>
      </c>
      <c r="KY62" s="162">
        <f t="shared" si="86"/>
        <v>0.33135416666666667</v>
      </c>
      <c r="KZ62" s="53">
        <f t="shared" si="87"/>
        <v>37.224000000000004</v>
      </c>
      <c r="LA62" s="223">
        <f t="shared" si="121"/>
        <v>1.8200000000000216E-2</v>
      </c>
      <c r="LD62" s="228">
        <v>52</v>
      </c>
      <c r="LE62" s="221">
        <v>9639</v>
      </c>
      <c r="LF62" s="161">
        <v>7.9678000000000004</v>
      </c>
      <c r="LG62" s="161">
        <v>1.0677000000000001</v>
      </c>
      <c r="LH62" s="161">
        <v>0.40679999999999999</v>
      </c>
      <c r="LI62" s="162">
        <f t="shared" si="88"/>
        <v>0.33199166666666668</v>
      </c>
      <c r="LJ62" s="53">
        <f t="shared" si="89"/>
        <v>37.223200000000006</v>
      </c>
      <c r="LK62" s="228">
        <f t="shared" si="122"/>
        <v>1.5299999999999869E-2</v>
      </c>
      <c r="LL62" s="231"/>
      <c r="LM62" s="231"/>
      <c r="LN62" s="231">
        <v>52</v>
      </c>
      <c r="LO62" s="226">
        <v>9639</v>
      </c>
      <c r="LP62" s="184">
        <v>7.9892000000000003</v>
      </c>
      <c r="LQ62" s="184">
        <v>1.0706</v>
      </c>
      <c r="LR62" s="184">
        <v>0.40789999999999998</v>
      </c>
      <c r="LS62" s="162">
        <f t="shared" si="90"/>
        <v>0.33288333333333336</v>
      </c>
      <c r="LT62" s="53">
        <f t="shared" si="91"/>
        <v>37.222100000000005</v>
      </c>
      <c r="LU62" s="231">
        <f t="shared" si="123"/>
        <v>2.1399999999999864E-2</v>
      </c>
      <c r="LW62" s="231"/>
      <c r="LX62" s="231">
        <v>52</v>
      </c>
      <c r="LY62" s="234">
        <v>9639</v>
      </c>
      <c r="LZ62" s="184">
        <v>8.0131999999999994</v>
      </c>
      <c r="MA62" s="184">
        <v>1.0738000000000001</v>
      </c>
      <c r="MB62" s="184">
        <v>0.40910000000000002</v>
      </c>
      <c r="MC62" s="162">
        <f t="shared" si="92"/>
        <v>0.33388333333333331</v>
      </c>
      <c r="MD62" s="53">
        <f t="shared" si="93"/>
        <v>37.2209</v>
      </c>
      <c r="ME62" s="231">
        <f t="shared" si="124"/>
        <v>2.3999999999999133E-2</v>
      </c>
      <c r="MF62" s="231"/>
      <c r="MG62" s="231"/>
      <c r="MH62" s="231">
        <v>52</v>
      </c>
      <c r="MI62" s="236">
        <v>9639</v>
      </c>
      <c r="MJ62" s="184">
        <v>8.0368999999999993</v>
      </c>
      <c r="MK62" s="184">
        <v>1.077</v>
      </c>
      <c r="ML62" s="184">
        <v>0.4103</v>
      </c>
      <c r="MM62" s="162">
        <f t="shared" si="94"/>
        <v>0.33487083333333328</v>
      </c>
      <c r="MN62" s="53">
        <f t="shared" si="95"/>
        <v>37.219700000000003</v>
      </c>
      <c r="MO62" s="231">
        <f t="shared" si="125"/>
        <v>2.3699999999999832E-2</v>
      </c>
      <c r="MP62" s="231"/>
      <c r="MQ62" s="231"/>
      <c r="MR62" s="231">
        <v>52</v>
      </c>
      <c r="MS62" s="238">
        <v>9639</v>
      </c>
      <c r="MT62" s="184">
        <v>8.0821000000000005</v>
      </c>
      <c r="MU62" s="184">
        <v>1.083</v>
      </c>
      <c r="MV62" s="184">
        <v>0.41260000000000002</v>
      </c>
      <c r="MW62" s="162">
        <f t="shared" si="96"/>
        <v>0.33675416666666669</v>
      </c>
      <c r="MX62" s="53">
        <f t="shared" si="97"/>
        <v>37.217400000000005</v>
      </c>
      <c r="MY62" s="231">
        <f t="shared" si="126"/>
        <v>4.5200000000001239E-2</v>
      </c>
      <c r="MZ62" s="246"/>
      <c r="NA62" s="246"/>
      <c r="NB62" s="246">
        <v>52</v>
      </c>
      <c r="NC62" s="242">
        <v>9639</v>
      </c>
      <c r="ND62" s="184">
        <v>8.1282999999999994</v>
      </c>
      <c r="NE62" s="184">
        <v>1.0891999999999999</v>
      </c>
      <c r="NF62" s="184">
        <v>0.41499999999999998</v>
      </c>
      <c r="NG62" s="162">
        <f t="shared" si="98"/>
        <v>0.33867916666666664</v>
      </c>
      <c r="NH62" s="53">
        <f t="shared" si="99"/>
        <v>37.215000000000003</v>
      </c>
      <c r="NI62" s="232">
        <f t="shared" si="127"/>
        <v>4.6199999999998909E-2</v>
      </c>
      <c r="NK62" s="250"/>
      <c r="NL62" s="250">
        <v>52</v>
      </c>
      <c r="NM62" s="244">
        <v>9639</v>
      </c>
      <c r="NN62" s="184">
        <v>8.1418999999999997</v>
      </c>
      <c r="NO62" s="184">
        <v>1.091</v>
      </c>
      <c r="NP62" s="184">
        <v>0.41570000000000001</v>
      </c>
      <c r="NQ62" s="162">
        <f t="shared" si="133"/>
        <v>0.3392458333333333</v>
      </c>
      <c r="NR62" s="53">
        <f t="shared" si="101"/>
        <v>37.214300000000001</v>
      </c>
      <c r="NS62" s="232">
        <f t="shared" si="128"/>
        <v>1.3600000000000279E-2</v>
      </c>
      <c r="NU62" s="250"/>
      <c r="NV62" s="250">
        <v>52</v>
      </c>
      <c r="NW62" s="248">
        <v>9639</v>
      </c>
      <c r="NX62" s="184">
        <v>8.1635000000000009</v>
      </c>
      <c r="NY62" s="184">
        <v>1.0939000000000001</v>
      </c>
      <c r="NZ62" s="184">
        <v>0.4168</v>
      </c>
      <c r="OA62" s="162">
        <f t="shared" si="134"/>
        <v>0.34014583333333337</v>
      </c>
      <c r="OB62" s="53">
        <f t="shared" si="103"/>
        <v>37.213200000000001</v>
      </c>
      <c r="OC62" s="232">
        <f t="shared" si="129"/>
        <v>2.1600000000001174E-2</v>
      </c>
      <c r="OE62" s="250"/>
      <c r="OF62" s="250">
        <v>52</v>
      </c>
      <c r="OG62" s="251">
        <v>9639</v>
      </c>
      <c r="OH62" s="184">
        <v>8.1743000000000006</v>
      </c>
      <c r="OI62" s="184">
        <v>1.0953999999999999</v>
      </c>
      <c r="OJ62" s="184">
        <v>0.4173</v>
      </c>
      <c r="OK62" s="162">
        <f t="shared" si="135"/>
        <v>0.34059583333333338</v>
      </c>
      <c r="OL62" s="53">
        <f t="shared" si="105"/>
        <v>37.212700000000005</v>
      </c>
      <c r="OM62" s="232">
        <f t="shared" si="130"/>
        <v>1.0799999999999699E-2</v>
      </c>
      <c r="OP62" s="250">
        <v>52</v>
      </c>
      <c r="OQ62" s="253">
        <v>9639</v>
      </c>
      <c r="OR62" s="184">
        <f>VLOOKUP(OQ62,Sheet4!A10:F86,3,0)</f>
        <v>8.1990999999999996</v>
      </c>
      <c r="OS62" s="184">
        <f>VLOOKUP(OQ62,Sheet4!A10:F86,4,0)</f>
        <v>1.0987</v>
      </c>
      <c r="OT62" s="184">
        <f>VLOOKUP(OQ62,Sheet4!A10:F86,5,0)</f>
        <v>0.41860000000000003</v>
      </c>
      <c r="OU62" s="162">
        <f t="shared" si="106"/>
        <v>0.34162916666666665</v>
      </c>
      <c r="OV62" s="53">
        <f t="shared" si="107"/>
        <v>37.211400000000005</v>
      </c>
      <c r="OW62" s="232">
        <f t="shared" si="131"/>
        <v>2.4799999999999045E-2</v>
      </c>
    </row>
    <row r="63" spans="1:413" ht="15.75" x14ac:dyDescent="0.25">
      <c r="A63">
        <v>55</v>
      </c>
      <c r="B63" s="1">
        <v>9889</v>
      </c>
      <c r="C63" s="1" t="s">
        <v>1</v>
      </c>
      <c r="D63" s="2">
        <v>37.22</v>
      </c>
      <c r="E63" s="8"/>
      <c r="F63" s="8"/>
      <c r="G63" s="8"/>
      <c r="H63" s="8"/>
      <c r="J63" s="15">
        <v>9889</v>
      </c>
      <c r="K63" s="15">
        <v>6.8352000000000004</v>
      </c>
      <c r="L63" s="15">
        <v>0.91590000000000005</v>
      </c>
      <c r="M63" s="15">
        <v>0.34899999999999998</v>
      </c>
      <c r="N63" s="24">
        <f t="shared" si="42"/>
        <v>0.2848</v>
      </c>
      <c r="O63" s="10">
        <f t="shared" si="139"/>
        <v>36.871000000000002</v>
      </c>
      <c r="P63" s="18"/>
      <c r="R63" s="20">
        <v>9889</v>
      </c>
      <c r="S63" s="9">
        <v>6.8901000000000003</v>
      </c>
      <c r="T63" s="9">
        <v>0.92330000000000001</v>
      </c>
      <c r="U63" s="9">
        <v>0.3518</v>
      </c>
      <c r="V63" s="24">
        <f t="shared" si="43"/>
        <v>0.2870875</v>
      </c>
      <c r="W63" s="10">
        <f t="shared" si="140"/>
        <v>36.868200000000002</v>
      </c>
      <c r="X63" s="18"/>
      <c r="Z63" s="27">
        <v>9889</v>
      </c>
      <c r="AA63" s="9">
        <v>7.0250000000000004</v>
      </c>
      <c r="AB63" s="9">
        <v>0.94140000000000001</v>
      </c>
      <c r="AC63" s="9">
        <v>0.35870000000000002</v>
      </c>
      <c r="AD63" s="24">
        <f t="shared" si="45"/>
        <v>0.29270833333333335</v>
      </c>
      <c r="AE63" s="10">
        <f t="shared" si="46"/>
        <v>36.8613</v>
      </c>
      <c r="AF63" s="79"/>
      <c r="AG63">
        <v>55</v>
      </c>
      <c r="AH63" s="1">
        <v>9889</v>
      </c>
      <c r="AI63" s="1" t="s">
        <v>1</v>
      </c>
      <c r="AJ63" s="2">
        <v>37.22</v>
      </c>
      <c r="AL63" s="32">
        <v>9889</v>
      </c>
      <c r="AM63" s="9">
        <v>7.1723999999999997</v>
      </c>
      <c r="AN63" s="9">
        <v>0.96109999999999995</v>
      </c>
      <c r="AO63" s="9">
        <v>0.36620000000000003</v>
      </c>
      <c r="AP63" s="37">
        <f t="shared" si="0"/>
        <v>0.29885</v>
      </c>
      <c r="AQ63" s="53">
        <f t="shared" si="108"/>
        <v>36.8538</v>
      </c>
      <c r="AT63" s="39"/>
      <c r="AU63" s="38">
        <v>9889</v>
      </c>
      <c r="AV63" s="9">
        <v>7.2351000000000001</v>
      </c>
      <c r="AW63" s="43">
        <v>0.96950000000000003</v>
      </c>
      <c r="AX63" s="43">
        <v>0.36940000000000001</v>
      </c>
      <c r="AY63" s="47">
        <f t="shared" si="47"/>
        <v>0.30146250000000002</v>
      </c>
      <c r="AZ63" s="56">
        <f t="shared" si="109"/>
        <v>36.8506</v>
      </c>
      <c r="BD63" s="54">
        <v>9889</v>
      </c>
      <c r="BE63" s="53">
        <v>7.2422000000000004</v>
      </c>
      <c r="BF63" s="58">
        <v>0.97050000000000003</v>
      </c>
      <c r="BG63" s="58">
        <v>0.36980000000000002</v>
      </c>
      <c r="BH63" s="47">
        <f t="shared" si="48"/>
        <v>0.30175833333333335</v>
      </c>
      <c r="BI63" s="56">
        <f t="shared" si="49"/>
        <v>36.850200000000001</v>
      </c>
      <c r="BJ63" s="88"/>
      <c r="BK63" s="88"/>
      <c r="BL63" s="88"/>
      <c r="BN63" s="9">
        <v>9889</v>
      </c>
      <c r="BO63" s="53">
        <v>7.2686999999999999</v>
      </c>
      <c r="BP63" s="53">
        <v>0.97399999999999998</v>
      </c>
      <c r="BQ63" s="53">
        <v>0.37109999999999999</v>
      </c>
      <c r="BR63" s="53">
        <f t="shared" si="50"/>
        <v>0.30286249999999998</v>
      </c>
      <c r="BS63" s="53">
        <f t="shared" si="51"/>
        <v>36.8489</v>
      </c>
      <c r="BV63" s="88"/>
      <c r="BX63" s="93">
        <v>9889</v>
      </c>
      <c r="BY63" s="9">
        <v>7.3208000000000002</v>
      </c>
      <c r="BZ63" s="9">
        <v>0.98099999999999998</v>
      </c>
      <c r="CA63" s="9">
        <v>0.37380000000000002</v>
      </c>
      <c r="CB63" s="58">
        <f t="shared" si="52"/>
        <v>0.30503333333333332</v>
      </c>
      <c r="CC63" s="53">
        <f t="shared" si="110"/>
        <v>36.846199999999996</v>
      </c>
      <c r="CF63" s="88"/>
      <c r="CG63">
        <v>53</v>
      </c>
      <c r="CH63" s="93">
        <v>9889</v>
      </c>
      <c r="CI63" s="93">
        <v>7.3655999999999997</v>
      </c>
      <c r="CJ63" s="9">
        <v>0.98699999999999999</v>
      </c>
      <c r="CK63" s="9">
        <v>0.37609999999999999</v>
      </c>
      <c r="CL63" s="47">
        <f t="shared" si="5"/>
        <v>0.30690000000000001</v>
      </c>
      <c r="CM63" s="53">
        <f t="shared" si="53"/>
        <v>36.843899999999998</v>
      </c>
      <c r="CQ63">
        <v>53</v>
      </c>
      <c r="CR63" s="98">
        <v>9889</v>
      </c>
      <c r="CS63" s="101">
        <v>7.4218999999999999</v>
      </c>
      <c r="CT63" s="101">
        <v>0.99460000000000004</v>
      </c>
      <c r="CU63" s="101">
        <v>0.37890000000000001</v>
      </c>
      <c r="CV63" s="47">
        <f t="shared" si="6"/>
        <v>0.30924583333333333</v>
      </c>
      <c r="CW63" s="53">
        <f t="shared" si="141"/>
        <v>36.841099999999997</v>
      </c>
      <c r="DA63">
        <v>53</v>
      </c>
      <c r="DB63" s="106">
        <v>9889</v>
      </c>
      <c r="DC63" s="107">
        <v>7.4273999999999996</v>
      </c>
      <c r="DD63" s="107">
        <v>0.99529999999999996</v>
      </c>
      <c r="DE63" s="107">
        <v>0.37919999999999998</v>
      </c>
      <c r="DF63" s="47">
        <f t="shared" si="136"/>
        <v>0.309475</v>
      </c>
      <c r="DG63" s="53">
        <f t="shared" si="111"/>
        <v>36.840800000000002</v>
      </c>
      <c r="DK63">
        <v>53</v>
      </c>
      <c r="DL63" s="110">
        <v>9889</v>
      </c>
      <c r="DM63" s="53">
        <v>7.4916999999999998</v>
      </c>
      <c r="DN63" s="53">
        <v>1.0039</v>
      </c>
      <c r="DO63" s="53">
        <v>0.38250000000000001</v>
      </c>
      <c r="DP63" s="47">
        <f t="shared" si="137"/>
        <v>0.31215416666666668</v>
      </c>
      <c r="DQ63" s="53">
        <f t="shared" si="54"/>
        <v>36.837499999999999</v>
      </c>
      <c r="DS63" s="3">
        <f t="shared" si="55"/>
        <v>6.4300000000000246E-2</v>
      </c>
      <c r="DU63">
        <v>53</v>
      </c>
      <c r="DV63" s="115">
        <v>9889</v>
      </c>
      <c r="DW63" s="53">
        <f>Sheet3!B$60</f>
        <v>7.5317999999999996</v>
      </c>
      <c r="DX63" s="53">
        <f>Sheet3!C$60</f>
        <v>1.0093000000000001</v>
      </c>
      <c r="DY63" s="53">
        <f>Sheet3!D$60</f>
        <v>0.38450000000000001</v>
      </c>
      <c r="DZ63" s="47">
        <f t="shared" si="138"/>
        <v>0.31382499999999997</v>
      </c>
      <c r="EA63" s="53">
        <f t="shared" si="112"/>
        <v>36.835499999999996</v>
      </c>
      <c r="EB63" s="3"/>
      <c r="EE63">
        <v>53</v>
      </c>
      <c r="EF63" s="118">
        <v>9889</v>
      </c>
      <c r="EG63" s="9">
        <v>7.5944000000000003</v>
      </c>
      <c r="EH63" s="9">
        <v>1.0177</v>
      </c>
      <c r="EI63" s="9">
        <v>0.38769999999999999</v>
      </c>
      <c r="EJ63" s="47">
        <f t="shared" si="10"/>
        <v>0.31643333333333334</v>
      </c>
      <c r="EK63" s="53">
        <f t="shared" si="56"/>
        <v>36.832299999999996</v>
      </c>
      <c r="EM63" s="3">
        <f t="shared" si="57"/>
        <v>-3.1999999999996476E-3</v>
      </c>
      <c r="EN63" s="3"/>
      <c r="EO63">
        <v>53</v>
      </c>
      <c r="EP63" s="121">
        <v>9889</v>
      </c>
      <c r="EQ63" s="122">
        <v>7.7187999999999999</v>
      </c>
      <c r="ER63" s="122">
        <v>1.0343</v>
      </c>
      <c r="ES63" s="129">
        <v>0.39410000000000001</v>
      </c>
      <c r="ET63" s="130">
        <f t="shared" si="11"/>
        <v>0.32161666666666666</v>
      </c>
      <c r="EU63" s="131">
        <f t="shared" si="58"/>
        <v>36.825899999999997</v>
      </c>
      <c r="EX63" s="3"/>
      <c r="EY63">
        <v>53</v>
      </c>
      <c r="EZ63" s="135">
        <v>9889</v>
      </c>
      <c r="FA63" s="135">
        <v>7.7774999999999999</v>
      </c>
      <c r="FB63" s="135">
        <v>1.0422</v>
      </c>
      <c r="FC63" s="135">
        <v>0.39710000000000001</v>
      </c>
      <c r="FD63" s="136">
        <f t="shared" si="12"/>
        <v>0.32406249999999998</v>
      </c>
      <c r="FE63" s="131">
        <f t="shared" si="59"/>
        <v>36.822899999999997</v>
      </c>
      <c r="FG63" s="123">
        <f t="shared" si="60"/>
        <v>-3.0000000000001137E-3</v>
      </c>
      <c r="FH63" s="3"/>
      <c r="FI63">
        <v>53</v>
      </c>
      <c r="FJ63" s="145">
        <v>9889</v>
      </c>
      <c r="FK63" s="9">
        <v>7.8556999999999997</v>
      </c>
      <c r="FL63" s="9">
        <v>1.0527</v>
      </c>
      <c r="FM63" s="9">
        <v>0.40110000000000001</v>
      </c>
      <c r="FN63" s="146">
        <f t="shared" si="113"/>
        <v>0.32732083333333334</v>
      </c>
      <c r="FO63" s="131">
        <f t="shared" si="61"/>
        <v>36.818899999999999</v>
      </c>
      <c r="FP63" s="123">
        <f t="shared" si="62"/>
        <v>-3.9999999999977831E-3</v>
      </c>
      <c r="FS63">
        <v>53</v>
      </c>
      <c r="FT63" s="147">
        <v>9889</v>
      </c>
      <c r="FU63" s="148">
        <v>7.8718000000000004</v>
      </c>
      <c r="FV63" s="148">
        <v>1.0548999999999999</v>
      </c>
      <c r="FW63" s="148">
        <v>0.40189999999999998</v>
      </c>
      <c r="FX63" s="150">
        <f t="shared" si="114"/>
        <v>0.32799166666666668</v>
      </c>
      <c r="FY63" s="131">
        <f t="shared" si="115"/>
        <v>36.818100000000001</v>
      </c>
      <c r="FZ63">
        <f t="shared" si="63"/>
        <v>1.6100000000000669E-2</v>
      </c>
      <c r="GC63">
        <v>53</v>
      </c>
      <c r="GD63" s="151">
        <v>9889</v>
      </c>
      <c r="GE63" s="151">
        <v>7.9116</v>
      </c>
      <c r="GF63" s="151">
        <v>1.0602</v>
      </c>
      <c r="GG63" s="151">
        <v>0.40389999999999998</v>
      </c>
      <c r="GH63" s="153">
        <f t="shared" si="132"/>
        <v>0.32965</v>
      </c>
      <c r="GI63" s="131">
        <f t="shared" si="64"/>
        <v>36.816099999999999</v>
      </c>
      <c r="GJ63">
        <f t="shared" si="142"/>
        <v>3.9799999999999613E-2</v>
      </c>
      <c r="GM63">
        <v>53</v>
      </c>
      <c r="GN63" s="155">
        <v>9889</v>
      </c>
      <c r="GO63" s="155">
        <v>7.9958999999999998</v>
      </c>
      <c r="GP63" s="155">
        <v>1.0714999999999999</v>
      </c>
      <c r="GQ63" s="155">
        <v>0.40820000000000001</v>
      </c>
      <c r="GR63" s="58">
        <f t="shared" si="65"/>
        <v>0.33316249999999997</v>
      </c>
      <c r="GS63" s="131">
        <f t="shared" si="66"/>
        <v>36.811799999999998</v>
      </c>
      <c r="GT63">
        <f t="shared" si="143"/>
        <v>8.429999999999982E-2</v>
      </c>
      <c r="GW63">
        <v>53</v>
      </c>
      <c r="GX63" s="157">
        <v>9889</v>
      </c>
      <c r="GY63" s="161">
        <f>VLOOKUP(GX63,Sheet3!$AJ$7:$AN$83,2,0)</f>
        <v>8.1029</v>
      </c>
      <c r="GZ63" s="161">
        <f>VLOOKUP(GX63,Sheet3!$AJ$7:$AN$83,3,0)</f>
        <v>1.0858000000000001</v>
      </c>
      <c r="HA63" s="161">
        <f>VLOOKUP(GX63,Sheet3!$AJ$7:$AN$83,4,0)</f>
        <v>0.41370000000000001</v>
      </c>
      <c r="HB63" s="162">
        <f t="shared" si="17"/>
        <v>0.33762083333333331</v>
      </c>
      <c r="HC63" s="131">
        <f t="shared" si="116"/>
        <v>36.8063</v>
      </c>
      <c r="HD63" s="159">
        <f t="shared" si="144"/>
        <v>0.10700000000000021</v>
      </c>
      <c r="HE63" s="159">
        <f t="shared" si="145"/>
        <v>5.5000000000000049E-3</v>
      </c>
      <c r="HG63" s="159"/>
      <c r="HH63" s="159">
        <v>53</v>
      </c>
      <c r="HI63" s="158">
        <v>9889</v>
      </c>
      <c r="HJ63" s="161">
        <v>8.1461000000000006</v>
      </c>
      <c r="HK63" s="161">
        <v>1.0915999999999999</v>
      </c>
      <c r="HL63" s="161">
        <v>0.41589999999999999</v>
      </c>
      <c r="HM63" s="162">
        <f t="shared" si="18"/>
        <v>0.33942083333333334</v>
      </c>
      <c r="HN63" s="131">
        <f t="shared" si="67"/>
        <v>36.804099999999998</v>
      </c>
      <c r="HO63" s="159">
        <f t="shared" si="68"/>
        <v>4.3200000000000571E-2</v>
      </c>
      <c r="HQ63" s="183"/>
      <c r="HR63" s="183">
        <v>53</v>
      </c>
      <c r="HS63" s="178">
        <v>9889</v>
      </c>
      <c r="HT63" s="184">
        <v>8.1742000000000008</v>
      </c>
      <c r="HU63" s="184">
        <v>1.0953999999999999</v>
      </c>
      <c r="HV63" s="184">
        <v>0.4173</v>
      </c>
      <c r="HW63" s="171">
        <f t="shared" si="19"/>
        <v>0.34059166666666668</v>
      </c>
      <c r="HX63" s="53">
        <f t="shared" si="69"/>
        <v>36.802700000000002</v>
      </c>
      <c r="HY63" s="183">
        <f t="shared" si="70"/>
        <v>2.8100000000000236E-2</v>
      </c>
      <c r="IA63" s="194"/>
      <c r="IB63" s="194">
        <v>53</v>
      </c>
      <c r="IC63" s="193">
        <v>9889</v>
      </c>
      <c r="ID63" s="161">
        <v>8.1864000000000008</v>
      </c>
      <c r="IE63" s="184">
        <v>1.097</v>
      </c>
      <c r="IF63" s="184">
        <v>0.41799999999999998</v>
      </c>
      <c r="IG63" s="171">
        <f t="shared" si="71"/>
        <v>0.34110000000000001</v>
      </c>
      <c r="IH63" s="53">
        <f t="shared" si="72"/>
        <v>36.802</v>
      </c>
      <c r="II63" s="194">
        <f t="shared" si="73"/>
        <v>1.2199999999999989E-2</v>
      </c>
      <c r="IL63" s="199">
        <v>53</v>
      </c>
      <c r="IM63" s="197">
        <v>9889</v>
      </c>
      <c r="IN63" s="161">
        <v>8.2506000000000004</v>
      </c>
      <c r="IO63" s="184">
        <v>1.1055999999999999</v>
      </c>
      <c r="IP63" s="184">
        <v>0.42120000000000002</v>
      </c>
      <c r="IQ63" s="171">
        <f t="shared" si="74"/>
        <v>0.343775</v>
      </c>
      <c r="IR63" s="53">
        <f t="shared" si="75"/>
        <v>36.7988</v>
      </c>
      <c r="IS63" s="199">
        <f t="shared" si="76"/>
        <v>6.4199999999999591E-2</v>
      </c>
      <c r="IU63" s="202"/>
      <c r="IV63" s="202">
        <v>53</v>
      </c>
      <c r="IW63" s="201">
        <v>9889</v>
      </c>
      <c r="IX63" s="184">
        <v>8.3371999999999993</v>
      </c>
      <c r="IY63" s="184">
        <v>1.1172</v>
      </c>
      <c r="IZ63" s="184">
        <v>0.42570000000000002</v>
      </c>
      <c r="JA63" s="162">
        <f t="shared" si="22"/>
        <v>0.34738333333333332</v>
      </c>
      <c r="JB63" s="53">
        <f t="shared" si="77"/>
        <v>36.7943</v>
      </c>
      <c r="JC63" s="202">
        <f t="shared" si="78"/>
        <v>8.65999999999989E-2</v>
      </c>
      <c r="JE63" s="204"/>
      <c r="JF63" s="204">
        <v>53</v>
      </c>
      <c r="JG63" s="203">
        <v>9889</v>
      </c>
      <c r="JH63" s="161">
        <v>8.3646999999999991</v>
      </c>
      <c r="JI63" s="184">
        <v>1.1209</v>
      </c>
      <c r="JJ63" s="184">
        <v>0.42709999999999998</v>
      </c>
      <c r="JK63" s="162">
        <f t="shared" si="79"/>
        <v>0.34852916666666661</v>
      </c>
      <c r="JL63" s="53">
        <f t="shared" si="80"/>
        <v>36.792899999999996</v>
      </c>
      <c r="JM63" s="204">
        <f t="shared" si="117"/>
        <v>2.7499999999999858E-2</v>
      </c>
      <c r="JN63" s="204"/>
      <c r="JP63" s="209">
        <v>53</v>
      </c>
      <c r="JQ63" s="205">
        <v>9889</v>
      </c>
      <c r="JR63" s="161">
        <v>8.3867999999999991</v>
      </c>
      <c r="JS63" s="184">
        <v>1.1238999999999999</v>
      </c>
      <c r="JT63" s="184">
        <v>0.42820000000000003</v>
      </c>
      <c r="JU63" s="162">
        <f t="shared" si="81"/>
        <v>0.34944999999999998</v>
      </c>
      <c r="JV63" s="53">
        <f t="shared" si="82"/>
        <v>36.791800000000002</v>
      </c>
      <c r="JW63" s="209">
        <f t="shared" si="118"/>
        <v>2.2100000000000009E-2</v>
      </c>
      <c r="JX63" s="213"/>
      <c r="JY63" s="213"/>
      <c r="JZ63" s="213">
        <v>53</v>
      </c>
      <c r="KA63" s="206">
        <v>9889</v>
      </c>
      <c r="KB63" s="184">
        <v>8.4387000000000008</v>
      </c>
      <c r="KC63" s="184">
        <v>1.1308</v>
      </c>
      <c r="KD63" s="184">
        <v>0.43080000000000002</v>
      </c>
      <c r="KE63" s="162">
        <f t="shared" si="83"/>
        <v>0.35161250000000005</v>
      </c>
      <c r="KF63" s="53">
        <f t="shared" si="84"/>
        <v>36.789200000000001</v>
      </c>
      <c r="KG63" s="213">
        <f t="shared" si="119"/>
        <v>5.1900000000001612E-2</v>
      </c>
      <c r="KI63" s="219"/>
      <c r="KJ63" s="219">
        <v>53</v>
      </c>
      <c r="KK63" s="214">
        <v>9889</v>
      </c>
      <c r="KL63" s="161">
        <v>8.4559999999999995</v>
      </c>
      <c r="KM63" s="161">
        <v>1.1331</v>
      </c>
      <c r="KN63" s="161">
        <v>0.43169999999999997</v>
      </c>
      <c r="KO63" s="162">
        <f t="shared" si="24"/>
        <v>0.35233333333333333</v>
      </c>
      <c r="KP63" s="53">
        <f t="shared" si="85"/>
        <v>36.7883</v>
      </c>
      <c r="KQ63" s="219">
        <f t="shared" si="120"/>
        <v>1.7299999999998761E-2</v>
      </c>
      <c r="KT63" s="223">
        <v>53</v>
      </c>
      <c r="KU63" s="216">
        <v>9889</v>
      </c>
      <c r="KV63" s="161">
        <v>8.4741999999999997</v>
      </c>
      <c r="KW63" s="161">
        <v>1.1355999999999999</v>
      </c>
      <c r="KX63" s="161">
        <v>0.43269999999999997</v>
      </c>
      <c r="KY63" s="162">
        <f t="shared" si="86"/>
        <v>0.35309166666666664</v>
      </c>
      <c r="KZ63" s="53">
        <f t="shared" si="87"/>
        <v>36.787300000000002</v>
      </c>
      <c r="LA63" s="223">
        <f t="shared" si="121"/>
        <v>1.8200000000000216E-2</v>
      </c>
      <c r="LD63" s="228">
        <v>53</v>
      </c>
      <c r="LE63" s="221">
        <v>9889</v>
      </c>
      <c r="LF63" s="161">
        <v>8.4894999999999996</v>
      </c>
      <c r="LG63" s="161">
        <v>1.1375999999999999</v>
      </c>
      <c r="LH63" s="161">
        <v>0.43340000000000001</v>
      </c>
      <c r="LI63" s="162">
        <f t="shared" si="88"/>
        <v>0.35372916666666665</v>
      </c>
      <c r="LJ63" s="53">
        <f t="shared" si="89"/>
        <v>36.7866</v>
      </c>
      <c r="LK63" s="228">
        <f t="shared" si="122"/>
        <v>1.5299999999999869E-2</v>
      </c>
      <c r="LL63" s="231"/>
      <c r="LM63" s="231"/>
      <c r="LN63" s="231">
        <v>53</v>
      </c>
      <c r="LO63" s="226">
        <v>9889</v>
      </c>
      <c r="LP63" s="184">
        <v>8.5108999999999995</v>
      </c>
      <c r="LQ63" s="184">
        <v>1.1405000000000001</v>
      </c>
      <c r="LR63" s="184">
        <v>0.4345</v>
      </c>
      <c r="LS63" s="162">
        <f t="shared" si="90"/>
        <v>0.35462083333333333</v>
      </c>
      <c r="LT63" s="53">
        <f t="shared" si="91"/>
        <v>36.785499999999999</v>
      </c>
      <c r="LU63" s="231">
        <f t="shared" si="123"/>
        <v>2.1399999999999864E-2</v>
      </c>
      <c r="LW63" s="231"/>
      <c r="LX63" s="231">
        <v>53</v>
      </c>
      <c r="LY63" s="234">
        <v>9889</v>
      </c>
      <c r="LZ63" s="184">
        <v>8.5349000000000004</v>
      </c>
      <c r="MA63" s="184">
        <v>1.1436999999999999</v>
      </c>
      <c r="MB63" s="184">
        <v>0.43580000000000002</v>
      </c>
      <c r="MC63" s="162">
        <f t="shared" si="92"/>
        <v>0.35562083333333333</v>
      </c>
      <c r="MD63" s="53">
        <f t="shared" si="93"/>
        <v>36.784199999999998</v>
      </c>
      <c r="ME63" s="231">
        <f t="shared" si="124"/>
        <v>2.4000000000000909E-2</v>
      </c>
      <c r="MF63" s="231"/>
      <c r="MG63" s="231"/>
      <c r="MH63" s="231">
        <v>53</v>
      </c>
      <c r="MI63" s="236">
        <v>9889</v>
      </c>
      <c r="MJ63" s="184">
        <v>8.5586000000000002</v>
      </c>
      <c r="MK63" s="184">
        <v>1.1469</v>
      </c>
      <c r="ML63" s="184">
        <v>0.437</v>
      </c>
      <c r="MM63" s="162">
        <f t="shared" si="94"/>
        <v>0.35660833333333336</v>
      </c>
      <c r="MN63" s="53">
        <f t="shared" si="95"/>
        <v>36.783000000000001</v>
      </c>
      <c r="MO63" s="231">
        <f t="shared" si="125"/>
        <v>2.3699999999999832E-2</v>
      </c>
      <c r="MP63" s="231"/>
      <c r="MQ63" s="231"/>
      <c r="MR63" s="231">
        <v>53</v>
      </c>
      <c r="MS63" s="238">
        <v>9889</v>
      </c>
      <c r="MT63" s="184">
        <v>8.6037999999999997</v>
      </c>
      <c r="MU63" s="184">
        <v>1.1529</v>
      </c>
      <c r="MV63" s="184">
        <v>0.43930000000000002</v>
      </c>
      <c r="MW63" s="162">
        <f t="shared" si="96"/>
        <v>0.35849166666666665</v>
      </c>
      <c r="MX63" s="53">
        <f t="shared" si="97"/>
        <v>36.780699999999996</v>
      </c>
      <c r="MY63" s="231">
        <f t="shared" si="126"/>
        <v>4.5199999999999463E-2</v>
      </c>
      <c r="MZ63" s="246"/>
      <c r="NA63" s="246"/>
      <c r="NB63" s="246">
        <v>53</v>
      </c>
      <c r="NC63" s="242">
        <v>9889</v>
      </c>
      <c r="ND63" s="184">
        <v>8.65</v>
      </c>
      <c r="NE63" s="184">
        <v>1.1591</v>
      </c>
      <c r="NF63" s="184">
        <v>0.44159999999999999</v>
      </c>
      <c r="NG63" s="162">
        <f t="shared" si="98"/>
        <v>0.36041666666666666</v>
      </c>
      <c r="NH63" s="53">
        <f t="shared" si="99"/>
        <v>36.778399999999998</v>
      </c>
      <c r="NI63" s="232">
        <f t="shared" si="127"/>
        <v>4.6200000000000685E-2</v>
      </c>
      <c r="NK63" s="250"/>
      <c r="NL63" s="250">
        <v>53</v>
      </c>
      <c r="NM63" s="244">
        <v>9889</v>
      </c>
      <c r="NN63" s="184">
        <v>8.6636000000000006</v>
      </c>
      <c r="NO63" s="184">
        <v>1.161</v>
      </c>
      <c r="NP63" s="184">
        <v>0.44230000000000003</v>
      </c>
      <c r="NQ63" s="162">
        <f t="shared" si="133"/>
        <v>0.36098333333333338</v>
      </c>
      <c r="NR63" s="53">
        <f t="shared" si="101"/>
        <v>36.777699999999996</v>
      </c>
      <c r="NS63" s="232">
        <f t="shared" si="128"/>
        <v>1.3600000000000279E-2</v>
      </c>
      <c r="NU63" s="250"/>
      <c r="NV63" s="250">
        <v>53</v>
      </c>
      <c r="NW63" s="248">
        <v>9889</v>
      </c>
      <c r="NX63" s="184">
        <v>8.6852</v>
      </c>
      <c r="NY63" s="184">
        <v>1.1638999999999999</v>
      </c>
      <c r="NZ63" s="184">
        <v>0.44340000000000002</v>
      </c>
      <c r="OA63" s="162">
        <f t="shared" si="134"/>
        <v>0.36188333333333333</v>
      </c>
      <c r="OB63" s="53">
        <f t="shared" si="103"/>
        <v>36.776600000000002</v>
      </c>
      <c r="OC63" s="232">
        <f t="shared" si="129"/>
        <v>2.1599999999999397E-2</v>
      </c>
      <c r="OE63" s="250"/>
      <c r="OF63" s="250">
        <v>53</v>
      </c>
      <c r="OG63" s="251">
        <v>9889</v>
      </c>
      <c r="OH63" s="184">
        <v>8.6959999999999997</v>
      </c>
      <c r="OI63" s="184">
        <v>1.1653</v>
      </c>
      <c r="OJ63" s="184">
        <v>0.44400000000000001</v>
      </c>
      <c r="OK63" s="162">
        <f t="shared" si="135"/>
        <v>0.36233333333333334</v>
      </c>
      <c r="OL63" s="53">
        <f t="shared" si="105"/>
        <v>36.775999999999996</v>
      </c>
      <c r="OM63" s="232">
        <f t="shared" si="130"/>
        <v>1.0799999999999699E-2</v>
      </c>
      <c r="OP63" s="250">
        <v>53</v>
      </c>
      <c r="OQ63" s="253">
        <v>9889</v>
      </c>
      <c r="OR63" s="184">
        <f>VLOOKUP(OQ63,Sheet4!A11:F87,3,0)</f>
        <v>8.7208000000000006</v>
      </c>
      <c r="OS63" s="184">
        <f>VLOOKUP(OQ63,Sheet4!A11:F87,4,0)</f>
        <v>1.1686000000000001</v>
      </c>
      <c r="OT63" s="184">
        <f>VLOOKUP(OQ63,Sheet4!A11:F87,5,0)</f>
        <v>0.44519999999999998</v>
      </c>
      <c r="OU63" s="162">
        <f t="shared" si="106"/>
        <v>0.36336666666666667</v>
      </c>
      <c r="OV63" s="53">
        <f t="shared" si="107"/>
        <v>36.774799999999999</v>
      </c>
      <c r="OW63" s="232">
        <f t="shared" si="131"/>
        <v>2.4800000000000821E-2</v>
      </c>
    </row>
    <row r="64" spans="1:413" ht="15.75" x14ac:dyDescent="0.25">
      <c r="A64">
        <v>56</v>
      </c>
      <c r="B64" s="1">
        <v>9874</v>
      </c>
      <c r="C64" s="1" t="s">
        <v>1</v>
      </c>
      <c r="D64" s="2">
        <v>37.14</v>
      </c>
      <c r="E64" s="8"/>
      <c r="F64" s="8"/>
      <c r="G64" s="8"/>
      <c r="H64" s="8"/>
      <c r="J64" s="15">
        <v>9874</v>
      </c>
      <c r="K64" s="15">
        <v>5.9580000000000002</v>
      </c>
      <c r="L64" s="15">
        <v>0.7984</v>
      </c>
      <c r="M64" s="15">
        <v>0.30420000000000003</v>
      </c>
      <c r="N64" s="24">
        <f t="shared" si="42"/>
        <v>0.24825</v>
      </c>
      <c r="O64" s="10">
        <f t="shared" si="139"/>
        <v>36.835799999999999</v>
      </c>
      <c r="P64" s="18"/>
      <c r="R64" s="20">
        <v>9874</v>
      </c>
      <c r="S64" s="9">
        <v>6.0129000000000001</v>
      </c>
      <c r="T64" s="9">
        <v>0.80579999999999996</v>
      </c>
      <c r="U64" s="9">
        <v>0.307</v>
      </c>
      <c r="V64" s="24">
        <f t="shared" si="43"/>
        <v>0.25053750000000002</v>
      </c>
      <c r="W64" s="10">
        <f t="shared" si="140"/>
        <v>36.832999999999998</v>
      </c>
      <c r="X64" s="18"/>
      <c r="Z64" s="27">
        <v>9874</v>
      </c>
      <c r="AA64" s="9">
        <v>6.1478000000000002</v>
      </c>
      <c r="AB64" s="9">
        <v>0.82379999999999998</v>
      </c>
      <c r="AC64" s="9">
        <v>0.31390000000000001</v>
      </c>
      <c r="AD64" s="24">
        <f t="shared" si="45"/>
        <v>0.25615833333333332</v>
      </c>
      <c r="AE64" s="10">
        <f t="shared" si="46"/>
        <v>36.826100000000004</v>
      </c>
      <c r="AF64" s="79"/>
      <c r="AG64">
        <v>56</v>
      </c>
      <c r="AH64" s="1">
        <v>9874</v>
      </c>
      <c r="AI64" s="1" t="s">
        <v>1</v>
      </c>
      <c r="AJ64" s="2">
        <v>37.14</v>
      </c>
      <c r="AL64" s="32">
        <v>9874</v>
      </c>
      <c r="AM64" s="9">
        <v>6.2952000000000004</v>
      </c>
      <c r="AN64" s="9">
        <v>0.84360000000000002</v>
      </c>
      <c r="AO64" s="9">
        <v>0.32140000000000002</v>
      </c>
      <c r="AP64" s="37">
        <f t="shared" si="0"/>
        <v>0.26230000000000003</v>
      </c>
      <c r="AQ64" s="53">
        <f t="shared" si="108"/>
        <v>36.818600000000004</v>
      </c>
      <c r="AT64" s="39"/>
      <c r="AU64" s="38">
        <v>9874</v>
      </c>
      <c r="AV64" s="9">
        <v>6.3578999999999999</v>
      </c>
      <c r="AW64" s="43">
        <v>0.85199999999999998</v>
      </c>
      <c r="AX64" s="43">
        <v>0.3246</v>
      </c>
      <c r="AY64" s="47">
        <f t="shared" si="47"/>
        <v>0.2649125</v>
      </c>
      <c r="AZ64" s="56">
        <f t="shared" si="109"/>
        <v>36.815400000000004</v>
      </c>
      <c r="BD64" s="54">
        <v>9874</v>
      </c>
      <c r="BE64" s="53">
        <v>6.3650000000000002</v>
      </c>
      <c r="BF64" s="58">
        <v>0.85289999999999999</v>
      </c>
      <c r="BG64" s="58">
        <v>0.32500000000000001</v>
      </c>
      <c r="BH64" s="47">
        <f t="shared" si="48"/>
        <v>0.26520833333333332</v>
      </c>
      <c r="BI64" s="56">
        <f t="shared" si="49"/>
        <v>36.814999999999998</v>
      </c>
      <c r="BJ64" s="88"/>
      <c r="BK64" s="88"/>
      <c r="BL64" s="88"/>
      <c r="BN64" s="9">
        <v>9874</v>
      </c>
      <c r="BO64" s="53">
        <v>6.3914999999999997</v>
      </c>
      <c r="BP64" s="53">
        <v>0.85650000000000004</v>
      </c>
      <c r="BQ64" s="53">
        <v>0.32629999999999998</v>
      </c>
      <c r="BR64" s="53">
        <f t="shared" si="50"/>
        <v>0.26631250000000001</v>
      </c>
      <c r="BS64" s="53">
        <f t="shared" si="51"/>
        <v>36.813699999999997</v>
      </c>
      <c r="BV64" s="88"/>
      <c r="BX64" s="93">
        <v>9874</v>
      </c>
      <c r="BY64" s="9">
        <v>6.4436</v>
      </c>
      <c r="BZ64" s="9">
        <v>0.86350000000000005</v>
      </c>
      <c r="CA64" s="9">
        <v>0.32900000000000001</v>
      </c>
      <c r="CB64" s="58">
        <f t="shared" si="52"/>
        <v>0.26848333333333335</v>
      </c>
      <c r="CC64" s="53">
        <f t="shared" si="110"/>
        <v>36.811</v>
      </c>
      <c r="CF64" s="88"/>
      <c r="CG64">
        <v>54</v>
      </c>
      <c r="CH64" s="93">
        <v>9874</v>
      </c>
      <c r="CI64" s="93">
        <v>6.4884000000000004</v>
      </c>
      <c r="CJ64" s="9">
        <v>0.86950000000000005</v>
      </c>
      <c r="CK64" s="9">
        <v>0.33129999999999998</v>
      </c>
      <c r="CL64" s="47">
        <f t="shared" si="5"/>
        <v>0.27035000000000003</v>
      </c>
      <c r="CM64" s="53">
        <f t="shared" si="53"/>
        <v>36.808700000000002</v>
      </c>
      <c r="CQ64">
        <v>54</v>
      </c>
      <c r="CR64" s="98">
        <v>9874</v>
      </c>
      <c r="CS64" s="101">
        <v>6.5446999999999997</v>
      </c>
      <c r="CT64" s="101">
        <v>0.877</v>
      </c>
      <c r="CU64" s="101">
        <v>0.33410000000000001</v>
      </c>
      <c r="CV64" s="47">
        <f t="shared" si="6"/>
        <v>0.2726958333333333</v>
      </c>
      <c r="CW64" s="53">
        <f t="shared" si="141"/>
        <v>36.805900000000001</v>
      </c>
      <c r="DA64">
        <v>54</v>
      </c>
      <c r="DB64" s="106">
        <v>9874</v>
      </c>
      <c r="DC64" s="107">
        <v>6.5502000000000002</v>
      </c>
      <c r="DD64" s="107">
        <v>0.87780000000000002</v>
      </c>
      <c r="DE64" s="107">
        <v>0.33439999999999998</v>
      </c>
      <c r="DF64" s="47">
        <f t="shared" si="136"/>
        <v>0.27292500000000003</v>
      </c>
      <c r="DG64" s="53">
        <f t="shared" si="111"/>
        <v>36.805599999999998</v>
      </c>
      <c r="DK64">
        <v>54</v>
      </c>
      <c r="DL64" s="110">
        <v>9874</v>
      </c>
      <c r="DM64" s="53">
        <v>6.6144999999999996</v>
      </c>
      <c r="DN64" s="53">
        <v>0.88639999999999997</v>
      </c>
      <c r="DO64" s="53">
        <v>0.3377</v>
      </c>
      <c r="DP64" s="47">
        <f t="shared" si="137"/>
        <v>0.27560416666666665</v>
      </c>
      <c r="DQ64" s="53">
        <f t="shared" si="54"/>
        <v>36.802300000000002</v>
      </c>
      <c r="DS64" s="3">
        <f t="shared" si="55"/>
        <v>6.4299999999999358E-2</v>
      </c>
      <c r="DU64">
        <v>54</v>
      </c>
      <c r="DV64" s="115">
        <v>9874</v>
      </c>
      <c r="DW64" s="53">
        <f>Sheet3!B$45</f>
        <v>6.6546000000000003</v>
      </c>
      <c r="DX64" s="53">
        <f>Sheet3!C$45</f>
        <v>0.89170000000000005</v>
      </c>
      <c r="DY64" s="53">
        <f>Sheet3!D$45</f>
        <v>0.33979999999999999</v>
      </c>
      <c r="DZ64" s="47">
        <f t="shared" si="138"/>
        <v>0.27727499999999999</v>
      </c>
      <c r="EA64" s="53">
        <f t="shared" si="112"/>
        <v>36.800200000000004</v>
      </c>
      <c r="EB64" s="3"/>
      <c r="EE64">
        <v>54</v>
      </c>
      <c r="EF64" s="118">
        <v>9874</v>
      </c>
      <c r="EG64" s="9">
        <v>6.7172000000000001</v>
      </c>
      <c r="EH64" s="9">
        <v>0.90010000000000001</v>
      </c>
      <c r="EI64" s="9">
        <v>0.34289999999999998</v>
      </c>
      <c r="EJ64" s="47">
        <f t="shared" si="10"/>
        <v>0.27988333333333332</v>
      </c>
      <c r="EK64" s="53">
        <f t="shared" si="56"/>
        <v>36.7971</v>
      </c>
      <c r="EM64" s="3">
        <f t="shared" si="57"/>
        <v>-3.1000000000034333E-3</v>
      </c>
      <c r="EN64" s="3"/>
      <c r="EO64">
        <v>54</v>
      </c>
      <c r="EP64" s="121">
        <v>9874</v>
      </c>
      <c r="EQ64" s="122">
        <v>6.8415999999999997</v>
      </c>
      <c r="ER64" s="122">
        <v>0.91679999999999995</v>
      </c>
      <c r="ES64" s="129">
        <v>0.3493</v>
      </c>
      <c r="ET64" s="130">
        <f t="shared" si="11"/>
        <v>0.28506666666666663</v>
      </c>
      <c r="EU64" s="131">
        <f t="shared" si="58"/>
        <v>36.790700000000001</v>
      </c>
      <c r="EX64" s="3"/>
      <c r="EY64">
        <v>54</v>
      </c>
      <c r="EZ64" s="135">
        <v>9874</v>
      </c>
      <c r="FA64" s="135">
        <v>6.9002999999999997</v>
      </c>
      <c r="FB64" s="135">
        <v>0.92469999999999997</v>
      </c>
      <c r="FC64" s="135">
        <v>0.3523</v>
      </c>
      <c r="FD64" s="136">
        <f t="shared" si="12"/>
        <v>0.2875125</v>
      </c>
      <c r="FE64" s="131">
        <f t="shared" si="59"/>
        <v>36.787700000000001</v>
      </c>
      <c r="FG64" s="123">
        <f t="shared" si="60"/>
        <v>-3.0000000000001137E-3</v>
      </c>
      <c r="FH64" s="3"/>
      <c r="FI64">
        <v>54</v>
      </c>
      <c r="FJ64" s="145">
        <v>9874</v>
      </c>
      <c r="FK64" s="9">
        <v>6.9785000000000004</v>
      </c>
      <c r="FL64" s="9">
        <v>0.93510000000000004</v>
      </c>
      <c r="FM64" s="9">
        <v>0.35630000000000001</v>
      </c>
      <c r="FN64" s="146">
        <f t="shared" si="113"/>
        <v>0.29077083333333337</v>
      </c>
      <c r="FO64" s="131">
        <f t="shared" si="61"/>
        <v>36.783700000000003</v>
      </c>
      <c r="FP64" s="123">
        <f t="shared" si="62"/>
        <v>-3.9999999999977831E-3</v>
      </c>
      <c r="FS64">
        <v>54</v>
      </c>
      <c r="FT64" s="147">
        <v>9874</v>
      </c>
      <c r="FU64" s="148">
        <v>6.9946000000000002</v>
      </c>
      <c r="FV64" s="148">
        <v>0.93730000000000002</v>
      </c>
      <c r="FW64" s="148">
        <v>0.35709999999999997</v>
      </c>
      <c r="FX64" s="150">
        <f t="shared" si="114"/>
        <v>0.29144166666666665</v>
      </c>
      <c r="FY64" s="131">
        <f t="shared" si="115"/>
        <v>36.782899999999998</v>
      </c>
      <c r="FZ64">
        <f t="shared" si="63"/>
        <v>1.6099999999999781E-2</v>
      </c>
      <c r="GC64">
        <v>54</v>
      </c>
      <c r="GD64" s="151">
        <v>9874</v>
      </c>
      <c r="GE64" s="151">
        <v>7.0343999999999998</v>
      </c>
      <c r="GF64" s="151">
        <v>0.94259999999999999</v>
      </c>
      <c r="GG64" s="151">
        <v>0.35909999999999997</v>
      </c>
      <c r="GH64" s="153">
        <f t="shared" si="132"/>
        <v>0.29309999999999997</v>
      </c>
      <c r="GI64" s="131">
        <f t="shared" si="64"/>
        <v>36.780900000000003</v>
      </c>
      <c r="GJ64">
        <f t="shared" si="142"/>
        <v>3.9799999999999613E-2</v>
      </c>
      <c r="GM64">
        <v>54</v>
      </c>
      <c r="GN64" s="155">
        <v>9874</v>
      </c>
      <c r="GO64" s="155">
        <v>7.1186999999999996</v>
      </c>
      <c r="GP64" s="155">
        <v>0.95389999999999997</v>
      </c>
      <c r="GQ64" s="155">
        <v>0.3634</v>
      </c>
      <c r="GR64" s="58">
        <f t="shared" si="65"/>
        <v>0.2966125</v>
      </c>
      <c r="GS64" s="131">
        <f t="shared" si="66"/>
        <v>36.776600000000002</v>
      </c>
      <c r="GT64">
        <f t="shared" si="143"/>
        <v>8.429999999999982E-2</v>
      </c>
      <c r="GW64">
        <v>54</v>
      </c>
      <c r="GX64" s="157">
        <v>9874</v>
      </c>
      <c r="GY64" s="161">
        <f>VLOOKUP(GX64,Sheet3!$AJ$7:$AN$83,2,0)</f>
        <v>7.2256999999999998</v>
      </c>
      <c r="GZ64" s="161">
        <f>VLOOKUP(GX64,Sheet3!$AJ$7:$AN$83,3,0)</f>
        <v>0.96830000000000005</v>
      </c>
      <c r="HA64" s="161">
        <f>VLOOKUP(GX64,Sheet3!$AJ$7:$AN$83,4,0)</f>
        <v>0.36890000000000001</v>
      </c>
      <c r="HB64" s="162">
        <f t="shared" si="17"/>
        <v>0.30107083333333334</v>
      </c>
      <c r="HC64" s="131">
        <f t="shared" si="116"/>
        <v>36.771100000000004</v>
      </c>
      <c r="HD64" s="159">
        <f t="shared" si="144"/>
        <v>0.10700000000000021</v>
      </c>
      <c r="HE64" s="159">
        <f t="shared" si="145"/>
        <v>5.5000000000000049E-3</v>
      </c>
      <c r="HG64" s="159"/>
      <c r="HH64" s="159">
        <v>54</v>
      </c>
      <c r="HI64" s="158">
        <v>9874</v>
      </c>
      <c r="HJ64" s="161">
        <v>7.2689000000000004</v>
      </c>
      <c r="HK64" s="161">
        <v>0.97409999999999997</v>
      </c>
      <c r="HL64" s="161">
        <v>0.37109999999999999</v>
      </c>
      <c r="HM64" s="162">
        <f t="shared" si="18"/>
        <v>0.30287083333333337</v>
      </c>
      <c r="HN64" s="131">
        <f t="shared" si="67"/>
        <v>36.768900000000002</v>
      </c>
      <c r="HO64" s="159">
        <f t="shared" si="68"/>
        <v>4.3200000000000571E-2</v>
      </c>
      <c r="HQ64" s="183"/>
      <c r="HR64" s="183">
        <v>54</v>
      </c>
      <c r="HS64" s="178">
        <v>9874</v>
      </c>
      <c r="HT64" s="184">
        <v>7.2969999999999997</v>
      </c>
      <c r="HU64" s="184">
        <v>0.9778</v>
      </c>
      <c r="HV64" s="184">
        <v>0.37259999999999999</v>
      </c>
      <c r="HW64" s="171">
        <f t="shared" si="19"/>
        <v>0.30404166666666665</v>
      </c>
      <c r="HX64" s="53">
        <f t="shared" si="69"/>
        <v>36.767400000000002</v>
      </c>
      <c r="HY64" s="183">
        <f t="shared" si="70"/>
        <v>2.8099999999999348E-2</v>
      </c>
      <c r="IA64" s="194"/>
      <c r="IB64" s="194">
        <v>54</v>
      </c>
      <c r="IC64" s="193">
        <v>9874</v>
      </c>
      <c r="ID64" s="161">
        <v>7.3091999999999997</v>
      </c>
      <c r="IE64" s="184">
        <v>0.97950000000000004</v>
      </c>
      <c r="IF64" s="184">
        <v>0.37319999999999998</v>
      </c>
      <c r="IG64" s="171">
        <f t="shared" si="71"/>
        <v>0.30454999999999999</v>
      </c>
      <c r="IH64" s="53">
        <f t="shared" si="72"/>
        <v>36.766800000000003</v>
      </c>
      <c r="II64" s="194">
        <f t="shared" si="73"/>
        <v>1.2199999999999989E-2</v>
      </c>
      <c r="IL64" s="199">
        <v>54</v>
      </c>
      <c r="IM64" s="197">
        <v>9874</v>
      </c>
      <c r="IN64" s="161">
        <v>7.3734000000000002</v>
      </c>
      <c r="IO64" s="184">
        <v>0.98809999999999998</v>
      </c>
      <c r="IP64" s="184">
        <v>0.3765</v>
      </c>
      <c r="IQ64" s="171">
        <f t="shared" si="74"/>
        <v>0.30722500000000003</v>
      </c>
      <c r="IR64" s="53">
        <f t="shared" si="75"/>
        <v>36.763500000000001</v>
      </c>
      <c r="IS64" s="199">
        <f t="shared" si="76"/>
        <v>6.4200000000000479E-2</v>
      </c>
      <c r="IU64" s="202"/>
      <c r="IV64" s="202">
        <v>54</v>
      </c>
      <c r="IW64" s="201">
        <v>9874</v>
      </c>
      <c r="IX64" s="184">
        <v>7.46</v>
      </c>
      <c r="IY64" s="184">
        <v>0.99970000000000003</v>
      </c>
      <c r="IZ64" s="184">
        <v>0.38090000000000002</v>
      </c>
      <c r="JA64" s="162">
        <f t="shared" si="22"/>
        <v>0.31083333333333335</v>
      </c>
      <c r="JB64" s="53">
        <f t="shared" si="77"/>
        <v>36.759100000000004</v>
      </c>
      <c r="JC64" s="202">
        <f t="shared" si="78"/>
        <v>8.6599999999999788E-2</v>
      </c>
      <c r="JE64" s="204"/>
      <c r="JF64" s="204">
        <v>54</v>
      </c>
      <c r="JG64" s="203">
        <v>9874</v>
      </c>
      <c r="JH64" s="161">
        <v>7.4874999999999998</v>
      </c>
      <c r="JI64" s="184">
        <v>1.0034000000000001</v>
      </c>
      <c r="JJ64" s="184">
        <v>0.38229999999999997</v>
      </c>
      <c r="JK64" s="162">
        <f t="shared" si="79"/>
        <v>0.31197916666666664</v>
      </c>
      <c r="JL64" s="53">
        <f t="shared" si="80"/>
        <v>36.7577</v>
      </c>
      <c r="JM64" s="204">
        <f t="shared" si="117"/>
        <v>2.7499999999999858E-2</v>
      </c>
      <c r="JN64" s="204"/>
      <c r="JP64" s="209">
        <v>54</v>
      </c>
      <c r="JQ64" s="205">
        <v>9874</v>
      </c>
      <c r="JR64" s="161">
        <v>7.5095999999999998</v>
      </c>
      <c r="JS64" s="184">
        <v>1.0063</v>
      </c>
      <c r="JT64" s="184">
        <v>0.38340000000000002</v>
      </c>
      <c r="JU64" s="162">
        <f t="shared" si="81"/>
        <v>0.31290000000000001</v>
      </c>
      <c r="JV64" s="53">
        <f t="shared" si="82"/>
        <v>36.756599999999999</v>
      </c>
      <c r="JW64" s="209">
        <f t="shared" si="118"/>
        <v>2.2100000000000009E-2</v>
      </c>
      <c r="JX64" s="213"/>
      <c r="JY64" s="213"/>
      <c r="JZ64" s="213">
        <v>54</v>
      </c>
      <c r="KA64" s="206">
        <v>9874</v>
      </c>
      <c r="KB64" s="184">
        <v>7.5614999999999997</v>
      </c>
      <c r="KC64" s="184">
        <v>1.0133000000000001</v>
      </c>
      <c r="KD64" s="184">
        <v>0.3861</v>
      </c>
      <c r="KE64" s="162">
        <f t="shared" si="83"/>
        <v>0.31506249999999997</v>
      </c>
      <c r="KF64" s="53">
        <f t="shared" si="84"/>
        <v>36.753900000000002</v>
      </c>
      <c r="KG64" s="213">
        <f t="shared" si="119"/>
        <v>5.1899999999999835E-2</v>
      </c>
      <c r="KI64" s="219"/>
      <c r="KJ64" s="219">
        <v>54</v>
      </c>
      <c r="KK64" s="214">
        <v>9874</v>
      </c>
      <c r="KL64" s="161">
        <v>7.5788000000000002</v>
      </c>
      <c r="KM64" s="161">
        <v>1.0156000000000001</v>
      </c>
      <c r="KN64" s="161">
        <v>0.38690000000000002</v>
      </c>
      <c r="KO64" s="162">
        <f t="shared" si="24"/>
        <v>0.31578333333333336</v>
      </c>
      <c r="KP64" s="53">
        <f t="shared" si="85"/>
        <v>36.753100000000003</v>
      </c>
      <c r="KQ64" s="219">
        <f t="shared" si="120"/>
        <v>1.7300000000000537E-2</v>
      </c>
      <c r="KT64" s="223">
        <v>54</v>
      </c>
      <c r="KU64" s="216">
        <v>9874</v>
      </c>
      <c r="KV64" s="161">
        <v>7.5969999999999995</v>
      </c>
      <c r="KW64" s="161">
        <v>1.018</v>
      </c>
      <c r="KX64" s="161">
        <v>0.38790000000000002</v>
      </c>
      <c r="KY64" s="162">
        <f t="shared" si="86"/>
        <v>0.31654166666666667</v>
      </c>
      <c r="KZ64" s="53">
        <f t="shared" si="87"/>
        <v>36.752099999999999</v>
      </c>
      <c r="LA64" s="223">
        <f t="shared" si="121"/>
        <v>1.8199999999999328E-2</v>
      </c>
      <c r="LD64" s="228">
        <v>54</v>
      </c>
      <c r="LE64" s="221">
        <v>9874</v>
      </c>
      <c r="LF64" s="161">
        <v>7.6123000000000003</v>
      </c>
      <c r="LG64" s="161">
        <v>1.0201</v>
      </c>
      <c r="LH64" s="161">
        <v>0.3886</v>
      </c>
      <c r="LI64" s="162">
        <f t="shared" si="88"/>
        <v>0.31717916666666668</v>
      </c>
      <c r="LJ64" s="53">
        <f t="shared" si="89"/>
        <v>36.751400000000004</v>
      </c>
      <c r="LK64" s="228">
        <f t="shared" si="122"/>
        <v>1.5300000000000757E-2</v>
      </c>
      <c r="LL64" s="231"/>
      <c r="LM64" s="231"/>
      <c r="LN64" s="231">
        <v>54</v>
      </c>
      <c r="LO64" s="226">
        <v>9874</v>
      </c>
      <c r="LP64" s="184">
        <v>7.6337000000000002</v>
      </c>
      <c r="LQ64" s="184">
        <v>1.0228999999999999</v>
      </c>
      <c r="LR64" s="184">
        <v>0.38969999999999999</v>
      </c>
      <c r="LS64" s="162">
        <f t="shared" si="90"/>
        <v>0.31807083333333336</v>
      </c>
      <c r="LT64" s="53">
        <f t="shared" si="91"/>
        <v>36.750300000000003</v>
      </c>
      <c r="LU64" s="231">
        <f t="shared" si="123"/>
        <v>2.1399999999999864E-2</v>
      </c>
      <c r="LW64" s="231"/>
      <c r="LX64" s="231">
        <v>54</v>
      </c>
      <c r="LY64" s="234">
        <v>9874</v>
      </c>
      <c r="LZ64" s="184">
        <v>7.6577000000000002</v>
      </c>
      <c r="MA64" s="184">
        <v>1.0262</v>
      </c>
      <c r="MB64" s="184">
        <v>0.39100000000000001</v>
      </c>
      <c r="MC64" s="162">
        <f t="shared" si="92"/>
        <v>0.31907083333333336</v>
      </c>
      <c r="MD64" s="53">
        <f t="shared" si="93"/>
        <v>36.749000000000002</v>
      </c>
      <c r="ME64" s="231">
        <f t="shared" si="124"/>
        <v>2.4000000000000021E-2</v>
      </c>
      <c r="MF64" s="231"/>
      <c r="MG64" s="231"/>
      <c r="MH64" s="231">
        <v>54</v>
      </c>
      <c r="MI64" s="236">
        <v>9874</v>
      </c>
      <c r="MJ64" s="184">
        <v>7.6814</v>
      </c>
      <c r="MK64" s="184">
        <v>1.0293000000000001</v>
      </c>
      <c r="ML64" s="184">
        <v>0.39219999999999999</v>
      </c>
      <c r="MM64" s="162">
        <f t="shared" si="94"/>
        <v>0.32005833333333333</v>
      </c>
      <c r="MN64" s="53">
        <f t="shared" si="95"/>
        <v>36.747799999999998</v>
      </c>
      <c r="MO64" s="231">
        <f t="shared" si="125"/>
        <v>2.3699999999999832E-2</v>
      </c>
      <c r="MP64" s="231"/>
      <c r="MQ64" s="231"/>
      <c r="MR64" s="231">
        <v>54</v>
      </c>
      <c r="MS64" s="238">
        <v>9874</v>
      </c>
      <c r="MT64" s="184">
        <v>7.7266000000000004</v>
      </c>
      <c r="MU64" s="184">
        <v>1.0354000000000001</v>
      </c>
      <c r="MV64" s="184">
        <v>0.39450000000000002</v>
      </c>
      <c r="MW64" s="162">
        <f t="shared" si="96"/>
        <v>0.32194166666666668</v>
      </c>
      <c r="MX64" s="53">
        <f t="shared" si="97"/>
        <v>36.7455</v>
      </c>
      <c r="MY64" s="231">
        <f t="shared" si="126"/>
        <v>4.5200000000000351E-2</v>
      </c>
      <c r="MZ64" s="246"/>
      <c r="NA64" s="246"/>
      <c r="NB64" s="246">
        <v>54</v>
      </c>
      <c r="NC64" s="242">
        <v>9874</v>
      </c>
      <c r="ND64" s="184">
        <v>7.7728000000000002</v>
      </c>
      <c r="NE64" s="184">
        <v>1.0416000000000001</v>
      </c>
      <c r="NF64" s="184">
        <v>0.39679999999999999</v>
      </c>
      <c r="NG64" s="162">
        <f t="shared" si="98"/>
        <v>0.32386666666666669</v>
      </c>
      <c r="NH64" s="53">
        <f t="shared" si="99"/>
        <v>36.743200000000002</v>
      </c>
      <c r="NI64" s="232">
        <f t="shared" si="127"/>
        <v>4.6199999999999797E-2</v>
      </c>
      <c r="NK64" s="250"/>
      <c r="NL64" s="250">
        <v>54</v>
      </c>
      <c r="NM64" s="244">
        <v>9874</v>
      </c>
      <c r="NN64" s="184">
        <v>7.7864000000000004</v>
      </c>
      <c r="NO64" s="184">
        <v>1.0434000000000001</v>
      </c>
      <c r="NP64" s="184">
        <v>0.39750000000000002</v>
      </c>
      <c r="NQ64" s="162">
        <f t="shared" si="133"/>
        <v>0.32443333333333335</v>
      </c>
      <c r="NR64" s="53">
        <f t="shared" si="101"/>
        <v>36.7425</v>
      </c>
      <c r="NS64" s="232">
        <f t="shared" si="128"/>
        <v>1.3600000000000279E-2</v>
      </c>
      <c r="NU64" s="250"/>
      <c r="NV64" s="250">
        <v>54</v>
      </c>
      <c r="NW64" s="248">
        <v>9874</v>
      </c>
      <c r="NX64" s="184">
        <v>7.8079999999999998</v>
      </c>
      <c r="NY64" s="184">
        <v>1.0463</v>
      </c>
      <c r="NZ64" s="184">
        <v>0.39860000000000001</v>
      </c>
      <c r="OA64" s="162">
        <f t="shared" si="134"/>
        <v>0.32533333333333331</v>
      </c>
      <c r="OB64" s="53">
        <f t="shared" si="103"/>
        <v>36.741399999999999</v>
      </c>
      <c r="OC64" s="232">
        <f t="shared" si="129"/>
        <v>2.1599999999999397E-2</v>
      </c>
      <c r="OE64" s="250"/>
      <c r="OF64" s="250">
        <v>54</v>
      </c>
      <c r="OG64" s="251">
        <v>9874</v>
      </c>
      <c r="OH64" s="184">
        <v>7.8188000000000004</v>
      </c>
      <c r="OI64" s="184">
        <v>1.0477000000000001</v>
      </c>
      <c r="OJ64" s="184">
        <v>0.3992</v>
      </c>
      <c r="OK64" s="162">
        <f t="shared" si="135"/>
        <v>0.32578333333333337</v>
      </c>
      <c r="OL64" s="53">
        <f t="shared" si="105"/>
        <v>36.7408</v>
      </c>
      <c r="OM64" s="232">
        <f t="shared" si="130"/>
        <v>1.0800000000000587E-2</v>
      </c>
      <c r="OP64" s="250">
        <v>54</v>
      </c>
      <c r="OQ64" s="253">
        <v>9874</v>
      </c>
      <c r="OR64" s="184">
        <f>VLOOKUP(OQ64,Sheet4!A12:F88,3,0)</f>
        <v>7.8436000000000003</v>
      </c>
      <c r="OS64" s="184">
        <f>VLOOKUP(OQ64,Sheet4!A12:F88,4,0)</f>
        <v>1.0510999999999999</v>
      </c>
      <c r="OT64" s="184">
        <f>VLOOKUP(OQ64,Sheet4!A12:F88,5,0)</f>
        <v>0.40050000000000002</v>
      </c>
      <c r="OU64" s="162">
        <f t="shared" si="106"/>
        <v>0.3268166666666667</v>
      </c>
      <c r="OV64" s="53">
        <f t="shared" si="107"/>
        <v>36.7395</v>
      </c>
      <c r="OW64" s="232">
        <f t="shared" si="131"/>
        <v>2.4799999999999933E-2</v>
      </c>
    </row>
    <row r="65" spans="1:413" ht="15.75" x14ac:dyDescent="0.25">
      <c r="A65">
        <v>57</v>
      </c>
      <c r="B65" s="1">
        <v>9635</v>
      </c>
      <c r="C65" s="1" t="s">
        <v>1</v>
      </c>
      <c r="D65" s="2">
        <v>37.65</v>
      </c>
      <c r="E65" s="8"/>
      <c r="F65" s="8"/>
      <c r="G65" s="8"/>
      <c r="H65" s="8"/>
      <c r="J65" s="15">
        <v>9635</v>
      </c>
      <c r="K65" s="15">
        <v>10.567500000000001</v>
      </c>
      <c r="L65" s="15">
        <v>1.4160999999999999</v>
      </c>
      <c r="M65" s="15">
        <v>0.53949999999999998</v>
      </c>
      <c r="N65" s="24">
        <f t="shared" si="42"/>
        <v>0.44031250000000005</v>
      </c>
      <c r="O65" s="10">
        <f t="shared" si="139"/>
        <v>37.110500000000002</v>
      </c>
      <c r="P65" s="18"/>
      <c r="R65" s="20">
        <v>9635</v>
      </c>
      <c r="S65" s="9">
        <v>10.622400000000001</v>
      </c>
      <c r="T65" s="9">
        <v>1.4234</v>
      </c>
      <c r="U65" s="9">
        <v>0.5423</v>
      </c>
      <c r="V65" s="24">
        <f t="shared" si="43"/>
        <v>0.44260000000000005</v>
      </c>
      <c r="W65" s="10">
        <f t="shared" si="140"/>
        <v>37.107700000000001</v>
      </c>
      <c r="X65" s="18"/>
      <c r="Z65" s="27">
        <v>9635</v>
      </c>
      <c r="AA65" s="9">
        <v>10.757300000000001</v>
      </c>
      <c r="AB65" s="9">
        <v>1.4415</v>
      </c>
      <c r="AC65" s="9">
        <v>0.54920000000000002</v>
      </c>
      <c r="AD65" s="24">
        <f t="shared" si="45"/>
        <v>0.44822083333333335</v>
      </c>
      <c r="AE65" s="10">
        <f t="shared" si="46"/>
        <v>37.1008</v>
      </c>
      <c r="AF65" s="79"/>
      <c r="AG65">
        <v>57</v>
      </c>
      <c r="AH65" s="1">
        <v>9635</v>
      </c>
      <c r="AI65" s="1" t="s">
        <v>1</v>
      </c>
      <c r="AJ65" s="2">
        <v>37.65</v>
      </c>
      <c r="AL65" s="32">
        <v>9635</v>
      </c>
      <c r="AM65" s="9">
        <v>10.9047</v>
      </c>
      <c r="AN65" s="9">
        <v>1.4613</v>
      </c>
      <c r="AO65" s="9">
        <v>0.55669999999999997</v>
      </c>
      <c r="AP65" s="37">
        <f t="shared" si="0"/>
        <v>0.4543625</v>
      </c>
      <c r="AQ65" s="53">
        <f t="shared" si="108"/>
        <v>37.093299999999999</v>
      </c>
      <c r="AT65" s="39"/>
      <c r="AU65" s="38">
        <v>9635</v>
      </c>
      <c r="AV65" s="9">
        <v>10.9674</v>
      </c>
      <c r="AW65" s="43">
        <v>1.4697</v>
      </c>
      <c r="AX65" s="43">
        <v>0.55989999999999995</v>
      </c>
      <c r="AY65" s="47">
        <f t="shared" si="47"/>
        <v>0.45697499999999996</v>
      </c>
      <c r="AZ65" s="56">
        <f t="shared" si="109"/>
        <v>37.0901</v>
      </c>
      <c r="BD65" s="54">
        <v>9635</v>
      </c>
      <c r="BE65" s="53">
        <v>10.974500000000001</v>
      </c>
      <c r="BF65" s="58">
        <v>1.4705999999999999</v>
      </c>
      <c r="BG65" s="58">
        <v>0.56030000000000002</v>
      </c>
      <c r="BH65" s="47">
        <f t="shared" si="48"/>
        <v>0.45727083333333335</v>
      </c>
      <c r="BI65" s="56">
        <f t="shared" si="49"/>
        <v>37.089700000000001</v>
      </c>
      <c r="BJ65" s="88"/>
      <c r="BK65" s="88"/>
      <c r="BL65" s="88"/>
      <c r="BN65" s="9">
        <v>9635</v>
      </c>
      <c r="BO65" s="53">
        <v>11.000999999999999</v>
      </c>
      <c r="BP65" s="53">
        <v>1.4742</v>
      </c>
      <c r="BQ65" s="53">
        <v>0.56169999999999998</v>
      </c>
      <c r="BR65" s="53">
        <f t="shared" si="50"/>
        <v>0.45837499999999998</v>
      </c>
      <c r="BS65" s="53">
        <f t="shared" si="51"/>
        <v>37.088299999999997</v>
      </c>
      <c r="BV65" s="88"/>
      <c r="BX65" s="93">
        <v>9635</v>
      </c>
      <c r="BY65" s="9">
        <v>11.053100000000001</v>
      </c>
      <c r="BZ65" s="9">
        <v>1.4812000000000001</v>
      </c>
      <c r="CA65" s="9">
        <v>0.56430000000000002</v>
      </c>
      <c r="CB65" s="58">
        <f t="shared" si="52"/>
        <v>0.46054583333333338</v>
      </c>
      <c r="CC65" s="53">
        <f t="shared" si="110"/>
        <v>37.085699999999996</v>
      </c>
      <c r="CF65" s="88"/>
      <c r="CG65">
        <v>55</v>
      </c>
      <c r="CH65" s="93">
        <v>9635</v>
      </c>
      <c r="CI65" s="93">
        <v>11.097899999999999</v>
      </c>
      <c r="CJ65" s="9">
        <v>1.4872000000000001</v>
      </c>
      <c r="CK65" s="9">
        <v>0.56659999999999999</v>
      </c>
      <c r="CL65" s="47">
        <f t="shared" si="5"/>
        <v>0.46241249999999995</v>
      </c>
      <c r="CM65" s="53">
        <f t="shared" si="53"/>
        <v>37.083399999999997</v>
      </c>
      <c r="CQ65">
        <v>55</v>
      </c>
      <c r="CR65" s="98">
        <v>9635</v>
      </c>
      <c r="CS65" s="101">
        <v>11.154199999999999</v>
      </c>
      <c r="CT65" s="101">
        <v>1.4946999999999999</v>
      </c>
      <c r="CU65" s="101">
        <v>0.56950000000000001</v>
      </c>
      <c r="CV65" s="47">
        <f t="shared" si="6"/>
        <v>0.46475833333333333</v>
      </c>
      <c r="CW65" s="53">
        <f t="shared" si="141"/>
        <v>37.080500000000001</v>
      </c>
      <c r="DA65">
        <v>55</v>
      </c>
      <c r="DB65" s="106">
        <v>9635</v>
      </c>
      <c r="DC65" s="107">
        <v>11.159700000000001</v>
      </c>
      <c r="DD65" s="107">
        <v>1.4954000000000001</v>
      </c>
      <c r="DE65" s="107">
        <v>0.56979999999999997</v>
      </c>
      <c r="DF65" s="47">
        <f t="shared" si="136"/>
        <v>0.46498750000000005</v>
      </c>
      <c r="DG65" s="53">
        <f t="shared" si="111"/>
        <v>37.080199999999998</v>
      </c>
      <c r="DK65">
        <v>55</v>
      </c>
      <c r="DL65" s="110">
        <v>9635</v>
      </c>
      <c r="DM65" s="53">
        <v>11.224</v>
      </c>
      <c r="DN65" s="53">
        <v>1.5041</v>
      </c>
      <c r="DO65" s="53">
        <v>0.57299999999999995</v>
      </c>
      <c r="DP65" s="47">
        <f t="shared" si="137"/>
        <v>0.46766666666666667</v>
      </c>
      <c r="DQ65" s="53">
        <f t="shared" si="54"/>
        <v>37.076999999999998</v>
      </c>
      <c r="DS65" s="3">
        <f t="shared" si="55"/>
        <v>6.4299999999999358E-2</v>
      </c>
      <c r="DU65">
        <v>55</v>
      </c>
      <c r="DV65" s="115">
        <v>9635</v>
      </c>
      <c r="DW65" s="53">
        <f>Sheet3!B$33</f>
        <v>11.264099999999999</v>
      </c>
      <c r="DX65" s="53">
        <f>Sheet3!C$33</f>
        <v>1.5094000000000001</v>
      </c>
      <c r="DY65" s="53">
        <f>Sheet3!D$33</f>
        <v>0.57509999999999994</v>
      </c>
      <c r="DZ65" s="47">
        <f t="shared" si="138"/>
        <v>0.46933749999999996</v>
      </c>
      <c r="EA65" s="53">
        <f t="shared" si="112"/>
        <v>37.0749</v>
      </c>
      <c r="EB65" s="3"/>
      <c r="EE65">
        <v>55</v>
      </c>
      <c r="EF65" s="118">
        <v>9635</v>
      </c>
      <c r="EG65" s="9">
        <v>11.326700000000001</v>
      </c>
      <c r="EH65" s="9">
        <v>1.5178</v>
      </c>
      <c r="EI65" s="9">
        <v>0.57830000000000004</v>
      </c>
      <c r="EJ65" s="47">
        <f t="shared" si="10"/>
        <v>0.47194583333333334</v>
      </c>
      <c r="EK65" s="53">
        <f t="shared" si="56"/>
        <v>37.0717</v>
      </c>
      <c r="EM65" s="3">
        <f t="shared" si="57"/>
        <v>-3.1999999999996476E-3</v>
      </c>
      <c r="EN65" s="3"/>
      <c r="EO65">
        <v>55</v>
      </c>
      <c r="EP65" s="121">
        <v>9635</v>
      </c>
      <c r="EQ65" s="122">
        <v>11.4511</v>
      </c>
      <c r="ER65" s="122">
        <v>1.5345</v>
      </c>
      <c r="ES65" s="129">
        <v>0.58460000000000001</v>
      </c>
      <c r="ET65" s="130">
        <f t="shared" si="11"/>
        <v>0.47712916666666666</v>
      </c>
      <c r="EU65" s="131">
        <f t="shared" si="58"/>
        <v>37.065399999999997</v>
      </c>
      <c r="EX65" s="3"/>
      <c r="EY65">
        <v>55</v>
      </c>
      <c r="EZ65" s="135">
        <v>9635</v>
      </c>
      <c r="FA65" s="135">
        <v>11.5098</v>
      </c>
      <c r="FB65" s="135">
        <v>1.5424</v>
      </c>
      <c r="FC65" s="135">
        <v>0.58760000000000001</v>
      </c>
      <c r="FD65" s="136">
        <f t="shared" si="12"/>
        <v>0.47957500000000003</v>
      </c>
      <c r="FE65" s="131">
        <f t="shared" si="59"/>
        <v>37.062399999999997</v>
      </c>
      <c r="FG65" s="123">
        <f t="shared" si="60"/>
        <v>-3.0000000000001137E-3</v>
      </c>
      <c r="FH65" s="3"/>
      <c r="FI65">
        <v>55</v>
      </c>
      <c r="FJ65" s="145">
        <v>9635</v>
      </c>
      <c r="FK65" s="9">
        <v>11.587999999999999</v>
      </c>
      <c r="FL65" s="9">
        <v>1.5528</v>
      </c>
      <c r="FM65" s="9">
        <v>0.59160000000000001</v>
      </c>
      <c r="FN65" s="146">
        <f t="shared" si="113"/>
        <v>0.48283333333333328</v>
      </c>
      <c r="FO65" s="131">
        <f t="shared" si="61"/>
        <v>37.058399999999999</v>
      </c>
      <c r="FP65" s="123">
        <f t="shared" si="62"/>
        <v>-3.9999999999977831E-3</v>
      </c>
      <c r="FS65">
        <v>55</v>
      </c>
      <c r="FT65" s="147">
        <v>9635</v>
      </c>
      <c r="FU65" s="148">
        <v>11.604100000000001</v>
      </c>
      <c r="FV65" s="148">
        <v>1.5549999999999999</v>
      </c>
      <c r="FW65" s="148">
        <v>0.59250000000000003</v>
      </c>
      <c r="FX65" s="150">
        <f t="shared" si="114"/>
        <v>0.48350416666666668</v>
      </c>
      <c r="FY65" s="131">
        <f t="shared" si="115"/>
        <v>37.057499999999997</v>
      </c>
      <c r="FZ65">
        <f t="shared" si="63"/>
        <v>1.6100000000001558E-2</v>
      </c>
      <c r="GC65">
        <v>55</v>
      </c>
      <c r="GD65" s="151">
        <v>9635</v>
      </c>
      <c r="GE65" s="151">
        <v>11.6439</v>
      </c>
      <c r="GF65" s="151">
        <v>1.5603</v>
      </c>
      <c r="GG65" s="151">
        <v>0.59450000000000003</v>
      </c>
      <c r="GH65" s="153">
        <f t="shared" si="132"/>
        <v>0.4851625</v>
      </c>
      <c r="GI65" s="131">
        <f t="shared" si="64"/>
        <v>37.055499999999995</v>
      </c>
      <c r="GJ65">
        <f t="shared" si="142"/>
        <v>3.9799999999999613E-2</v>
      </c>
      <c r="GM65">
        <v>55</v>
      </c>
      <c r="GN65" s="155">
        <v>9635</v>
      </c>
      <c r="GO65" s="155">
        <v>11.728199999999999</v>
      </c>
      <c r="GP65" s="155">
        <v>1.5716000000000001</v>
      </c>
      <c r="GQ65" s="155">
        <v>0.5988</v>
      </c>
      <c r="GR65" s="58">
        <f t="shared" si="65"/>
        <v>0.48867499999999997</v>
      </c>
      <c r="GS65" s="131">
        <f t="shared" si="66"/>
        <v>37.051200000000001</v>
      </c>
      <c r="GT65">
        <f t="shared" si="143"/>
        <v>8.4299999999998931E-2</v>
      </c>
      <c r="GW65">
        <v>55</v>
      </c>
      <c r="GX65" s="157">
        <v>9635</v>
      </c>
      <c r="GY65" s="161">
        <f>VLOOKUP(GX65,Sheet3!$AJ$7:$AN$83,2,0)</f>
        <v>11.8352</v>
      </c>
      <c r="GZ65" s="161">
        <f>VLOOKUP(GX65,Sheet3!$AJ$7:$AN$83,3,0)</f>
        <v>1.5860000000000001</v>
      </c>
      <c r="HA65" s="161">
        <f>VLOOKUP(GX65,Sheet3!$AJ$7:$AN$83,4,0)</f>
        <v>0.60429999999999995</v>
      </c>
      <c r="HB65" s="162">
        <f t="shared" si="17"/>
        <v>0.49313333333333337</v>
      </c>
      <c r="HC65" s="131">
        <f t="shared" si="116"/>
        <v>37.045699999999997</v>
      </c>
      <c r="HD65" s="159">
        <f t="shared" si="144"/>
        <v>0.10700000000000109</v>
      </c>
      <c r="HE65" s="159">
        <f t="shared" si="145"/>
        <v>5.4999999999999494E-3</v>
      </c>
      <c r="HG65" s="159"/>
      <c r="HH65" s="159">
        <v>55</v>
      </c>
      <c r="HI65" s="158">
        <v>9635</v>
      </c>
      <c r="HJ65" s="161">
        <v>11.878399999999999</v>
      </c>
      <c r="HK65" s="161">
        <v>1.5918000000000001</v>
      </c>
      <c r="HL65" s="161">
        <v>0.60650000000000004</v>
      </c>
      <c r="HM65" s="162">
        <f t="shared" si="18"/>
        <v>0.49493333333333328</v>
      </c>
      <c r="HN65" s="131">
        <f t="shared" si="67"/>
        <v>37.043500000000002</v>
      </c>
      <c r="HO65" s="159">
        <f t="shared" si="68"/>
        <v>4.3199999999998795E-2</v>
      </c>
      <c r="HQ65" s="183"/>
      <c r="HR65" s="183">
        <v>55</v>
      </c>
      <c r="HS65" s="178">
        <v>9635</v>
      </c>
      <c r="HT65" s="184">
        <v>11.906499999999999</v>
      </c>
      <c r="HU65" s="184">
        <v>1.5954999999999999</v>
      </c>
      <c r="HV65" s="184">
        <v>0.6079</v>
      </c>
      <c r="HW65" s="171">
        <f t="shared" si="19"/>
        <v>0.49610416666666662</v>
      </c>
      <c r="HX65" s="53">
        <f t="shared" si="69"/>
        <v>37.042099999999998</v>
      </c>
      <c r="HY65" s="183">
        <f t="shared" si="70"/>
        <v>2.8100000000000236E-2</v>
      </c>
      <c r="IA65" s="194"/>
      <c r="IB65" s="194">
        <v>55</v>
      </c>
      <c r="IC65" s="193">
        <v>9635</v>
      </c>
      <c r="ID65" s="161">
        <v>11.918699999999999</v>
      </c>
      <c r="IE65" s="184">
        <v>1.5972</v>
      </c>
      <c r="IF65" s="184">
        <v>0.60850000000000004</v>
      </c>
      <c r="IG65" s="171">
        <f t="shared" si="71"/>
        <v>0.49661249999999996</v>
      </c>
      <c r="IH65" s="53">
        <f t="shared" si="72"/>
        <v>37.041499999999999</v>
      </c>
      <c r="II65" s="194">
        <f t="shared" si="73"/>
        <v>1.2199999999999989E-2</v>
      </c>
      <c r="IL65" s="199">
        <v>55</v>
      </c>
      <c r="IM65" s="197">
        <v>9635</v>
      </c>
      <c r="IN65" s="161">
        <v>11.982900000000001</v>
      </c>
      <c r="IO65" s="184">
        <v>1.6057999999999999</v>
      </c>
      <c r="IP65" s="184">
        <v>0.61180000000000001</v>
      </c>
      <c r="IQ65" s="171">
        <f t="shared" si="74"/>
        <v>0.49928750000000005</v>
      </c>
      <c r="IR65" s="53">
        <f t="shared" si="75"/>
        <v>37.038199999999996</v>
      </c>
      <c r="IS65" s="199">
        <f t="shared" si="76"/>
        <v>6.4200000000001367E-2</v>
      </c>
      <c r="IU65" s="202"/>
      <c r="IV65" s="202">
        <v>55</v>
      </c>
      <c r="IW65" s="201">
        <v>9635</v>
      </c>
      <c r="IX65" s="184">
        <v>12.0695</v>
      </c>
      <c r="IY65" s="184">
        <v>1.6173999999999999</v>
      </c>
      <c r="IZ65" s="184">
        <v>0.61619999999999997</v>
      </c>
      <c r="JA65" s="162">
        <f t="shared" si="22"/>
        <v>0.50289583333333332</v>
      </c>
      <c r="JB65" s="53">
        <f t="shared" si="77"/>
        <v>37.033799999999999</v>
      </c>
      <c r="JC65" s="202">
        <f t="shared" si="78"/>
        <v>8.65999999999989E-2</v>
      </c>
      <c r="JE65" s="204"/>
      <c r="JF65" s="204">
        <v>55</v>
      </c>
      <c r="JG65" s="203">
        <v>9635</v>
      </c>
      <c r="JH65" s="161">
        <v>12.097</v>
      </c>
      <c r="JI65" s="184">
        <v>1.621</v>
      </c>
      <c r="JJ65" s="184">
        <v>0.61760000000000004</v>
      </c>
      <c r="JK65" s="162">
        <f t="shared" si="79"/>
        <v>0.50404166666666661</v>
      </c>
      <c r="JL65" s="53">
        <f t="shared" si="80"/>
        <v>37.032399999999996</v>
      </c>
      <c r="JM65" s="204">
        <f t="shared" si="117"/>
        <v>2.7499999999999858E-2</v>
      </c>
      <c r="JN65" s="204"/>
      <c r="JP65" s="209">
        <v>55</v>
      </c>
      <c r="JQ65" s="205">
        <v>9635</v>
      </c>
      <c r="JR65" s="161">
        <v>12.1191</v>
      </c>
      <c r="JS65" s="184">
        <v>1.6240000000000001</v>
      </c>
      <c r="JT65" s="184">
        <v>0.61870000000000003</v>
      </c>
      <c r="JU65" s="162">
        <f t="shared" si="81"/>
        <v>0.50496249999999998</v>
      </c>
      <c r="JV65" s="53">
        <f t="shared" si="82"/>
        <v>37.031300000000002</v>
      </c>
      <c r="JW65" s="209">
        <f t="shared" si="118"/>
        <v>2.2100000000000009E-2</v>
      </c>
      <c r="JX65" s="213"/>
      <c r="JY65" s="213"/>
      <c r="JZ65" s="213">
        <v>55</v>
      </c>
      <c r="KA65" s="206">
        <v>9635</v>
      </c>
      <c r="KB65" s="184">
        <v>12.170999999999999</v>
      </c>
      <c r="KC65" s="184">
        <v>1.631</v>
      </c>
      <c r="KD65" s="184">
        <v>0.62139999999999995</v>
      </c>
      <c r="KE65" s="162">
        <f t="shared" si="83"/>
        <v>0.50712499999999994</v>
      </c>
      <c r="KF65" s="53">
        <f t="shared" si="84"/>
        <v>37.028599999999997</v>
      </c>
      <c r="KG65" s="213">
        <f t="shared" si="119"/>
        <v>5.1899999999999835E-2</v>
      </c>
      <c r="KI65" s="219"/>
      <c r="KJ65" s="219">
        <v>55</v>
      </c>
      <c r="KK65" s="214">
        <v>9635</v>
      </c>
      <c r="KL65" s="161">
        <v>12.1883</v>
      </c>
      <c r="KM65" s="161">
        <v>1.6333</v>
      </c>
      <c r="KN65" s="161">
        <v>0.62229999999999996</v>
      </c>
      <c r="KO65" s="162">
        <f t="shared" si="24"/>
        <v>0.50784583333333333</v>
      </c>
      <c r="KP65" s="53">
        <f t="shared" si="85"/>
        <v>37.027699999999996</v>
      </c>
      <c r="KQ65" s="219">
        <f t="shared" si="120"/>
        <v>1.7300000000000537E-2</v>
      </c>
      <c r="KT65" s="223">
        <v>55</v>
      </c>
      <c r="KU65" s="216">
        <v>9635</v>
      </c>
      <c r="KV65" s="161">
        <v>12.2065</v>
      </c>
      <c r="KW65" s="161">
        <v>1.6356999999999999</v>
      </c>
      <c r="KX65" s="161">
        <v>0.62319999999999998</v>
      </c>
      <c r="KY65" s="162">
        <f t="shared" si="86"/>
        <v>0.50860416666666663</v>
      </c>
      <c r="KZ65" s="53">
        <f t="shared" si="87"/>
        <v>37.026800000000001</v>
      </c>
      <c r="LA65" s="223">
        <f t="shared" si="121"/>
        <v>1.8200000000000216E-2</v>
      </c>
      <c r="LD65" s="228">
        <v>55</v>
      </c>
      <c r="LE65" s="221">
        <v>9635</v>
      </c>
      <c r="LF65" s="161">
        <v>12.2218</v>
      </c>
      <c r="LG65" s="161">
        <v>1.6377999999999999</v>
      </c>
      <c r="LH65" s="161">
        <v>0.624</v>
      </c>
      <c r="LI65" s="162">
        <f t="shared" si="88"/>
        <v>0.5092416666666667</v>
      </c>
      <c r="LJ65" s="53">
        <f t="shared" si="89"/>
        <v>37.025999999999996</v>
      </c>
      <c r="LK65" s="228">
        <f t="shared" si="122"/>
        <v>1.5299999999999869E-2</v>
      </c>
      <c r="LL65" s="231"/>
      <c r="LM65" s="231"/>
      <c r="LN65" s="231">
        <v>55</v>
      </c>
      <c r="LO65" s="226">
        <v>9635</v>
      </c>
      <c r="LP65" s="184">
        <v>12.2432</v>
      </c>
      <c r="LQ65" s="184">
        <v>1.6406000000000001</v>
      </c>
      <c r="LR65" s="184">
        <v>0.62509999999999999</v>
      </c>
      <c r="LS65" s="162">
        <f t="shared" si="90"/>
        <v>0.51013333333333333</v>
      </c>
      <c r="LT65" s="53">
        <f t="shared" si="91"/>
        <v>37.024899999999995</v>
      </c>
      <c r="LU65" s="231">
        <f t="shared" si="123"/>
        <v>2.1399999999999864E-2</v>
      </c>
      <c r="LW65" s="231"/>
      <c r="LX65" s="231">
        <v>55</v>
      </c>
      <c r="LY65" s="234">
        <v>9635</v>
      </c>
      <c r="LZ65" s="184">
        <v>12.267200000000001</v>
      </c>
      <c r="MA65" s="184">
        <v>1.6438999999999999</v>
      </c>
      <c r="MB65" s="184">
        <v>0.62629999999999997</v>
      </c>
      <c r="MC65" s="162">
        <f t="shared" si="92"/>
        <v>0.51113333333333333</v>
      </c>
      <c r="MD65" s="53">
        <f t="shared" si="93"/>
        <v>37.023699999999998</v>
      </c>
      <c r="ME65" s="231">
        <f t="shared" si="124"/>
        <v>2.4000000000000909E-2</v>
      </c>
      <c r="MF65" s="231"/>
      <c r="MG65" s="231"/>
      <c r="MH65" s="231">
        <v>55</v>
      </c>
      <c r="MI65" s="236">
        <v>9635</v>
      </c>
      <c r="MJ65" s="184">
        <v>12.290900000000001</v>
      </c>
      <c r="MK65" s="184">
        <v>1.647</v>
      </c>
      <c r="ML65" s="184">
        <v>0.62749999999999995</v>
      </c>
      <c r="MM65" s="162">
        <f t="shared" si="94"/>
        <v>0.51212083333333336</v>
      </c>
      <c r="MN65" s="53">
        <f t="shared" si="95"/>
        <v>37.022500000000001</v>
      </c>
      <c r="MO65" s="231">
        <f t="shared" si="125"/>
        <v>2.3699999999999832E-2</v>
      </c>
      <c r="MP65" s="231"/>
      <c r="MQ65" s="231"/>
      <c r="MR65" s="231">
        <v>55</v>
      </c>
      <c r="MS65" s="238">
        <v>9635</v>
      </c>
      <c r="MT65" s="184">
        <v>12.3361</v>
      </c>
      <c r="MU65" s="184">
        <v>1.6531</v>
      </c>
      <c r="MV65" s="184">
        <v>0.62980000000000003</v>
      </c>
      <c r="MW65" s="162">
        <f t="shared" si="96"/>
        <v>0.51400416666666671</v>
      </c>
      <c r="MX65" s="53">
        <f t="shared" si="97"/>
        <v>37.020199999999996</v>
      </c>
      <c r="MY65" s="231">
        <f t="shared" si="126"/>
        <v>4.5199999999999463E-2</v>
      </c>
      <c r="MZ65" s="246"/>
      <c r="NA65" s="246"/>
      <c r="NB65" s="246">
        <v>55</v>
      </c>
      <c r="NC65" s="242">
        <v>9635</v>
      </c>
      <c r="ND65" s="184">
        <v>12.382300000000001</v>
      </c>
      <c r="NE65" s="184">
        <v>1.6593</v>
      </c>
      <c r="NF65" s="184">
        <v>0.63219999999999998</v>
      </c>
      <c r="NG65" s="162">
        <f t="shared" si="98"/>
        <v>0.51592916666666666</v>
      </c>
      <c r="NH65" s="53">
        <f t="shared" si="99"/>
        <v>37.017800000000001</v>
      </c>
      <c r="NI65" s="232">
        <f t="shared" si="127"/>
        <v>4.6200000000000685E-2</v>
      </c>
      <c r="NK65" s="250"/>
      <c r="NL65" s="250">
        <v>55</v>
      </c>
      <c r="NM65" s="244">
        <v>9635</v>
      </c>
      <c r="NN65" s="184">
        <v>12.395899999999999</v>
      </c>
      <c r="NO65" s="184">
        <v>1.6611</v>
      </c>
      <c r="NP65" s="184">
        <v>0.63290000000000002</v>
      </c>
      <c r="NQ65" s="162">
        <f t="shared" si="133"/>
        <v>0.51649583333333327</v>
      </c>
      <c r="NR65" s="53">
        <f t="shared" si="101"/>
        <v>37.017099999999999</v>
      </c>
      <c r="NS65" s="232">
        <f t="shared" si="128"/>
        <v>1.3599999999998502E-2</v>
      </c>
      <c r="NU65" s="250"/>
      <c r="NV65" s="250">
        <v>55</v>
      </c>
      <c r="NW65" s="248">
        <v>9635</v>
      </c>
      <c r="NX65" s="184">
        <v>12.4175</v>
      </c>
      <c r="NY65" s="184">
        <v>1.6639999999999999</v>
      </c>
      <c r="NZ65" s="184">
        <v>0.63400000000000001</v>
      </c>
      <c r="OA65" s="162">
        <f t="shared" si="134"/>
        <v>0.51739583333333339</v>
      </c>
      <c r="OB65" s="53">
        <f t="shared" si="103"/>
        <v>37.015999999999998</v>
      </c>
      <c r="OC65" s="232">
        <f t="shared" si="129"/>
        <v>2.1600000000001174E-2</v>
      </c>
      <c r="OE65" s="250"/>
      <c r="OF65" s="250">
        <v>55</v>
      </c>
      <c r="OG65" s="251">
        <v>9635</v>
      </c>
      <c r="OH65" s="184">
        <v>12.4283</v>
      </c>
      <c r="OI65" s="184">
        <v>1.6654</v>
      </c>
      <c r="OJ65" s="184">
        <v>0.63449999999999995</v>
      </c>
      <c r="OK65" s="162">
        <f t="shared" si="135"/>
        <v>0.51784583333333334</v>
      </c>
      <c r="OL65" s="53">
        <f t="shared" si="105"/>
        <v>37.015499999999996</v>
      </c>
      <c r="OM65" s="232">
        <f t="shared" si="130"/>
        <v>1.0799999999999699E-2</v>
      </c>
      <c r="OP65" s="250">
        <v>55</v>
      </c>
      <c r="OQ65" s="253">
        <v>9635</v>
      </c>
      <c r="OR65" s="184">
        <f>VLOOKUP(OQ65,Sheet4!A13:F89,3,0)</f>
        <v>12.453099999999999</v>
      </c>
      <c r="OS65" s="184">
        <f>VLOOKUP(OQ65,Sheet4!A13:F89,4,0)</f>
        <v>1.6688000000000001</v>
      </c>
      <c r="OT65" s="184">
        <f>VLOOKUP(OQ65,Sheet4!A13:F89,5,0)</f>
        <v>0.63580000000000003</v>
      </c>
      <c r="OU65" s="162">
        <f t="shared" si="106"/>
        <v>0.51887916666666667</v>
      </c>
      <c r="OV65" s="53">
        <f t="shared" si="107"/>
        <v>37.014199999999995</v>
      </c>
      <c r="OW65" s="232">
        <f t="shared" si="131"/>
        <v>2.4799999999999045E-2</v>
      </c>
    </row>
    <row r="66" spans="1:413" ht="15.75" x14ac:dyDescent="0.25">
      <c r="A66">
        <v>58</v>
      </c>
      <c r="B66" s="1">
        <v>9637</v>
      </c>
      <c r="C66" s="1" t="s">
        <v>1</v>
      </c>
      <c r="D66" s="2">
        <v>37.65</v>
      </c>
      <c r="E66" s="8"/>
      <c r="F66" s="8"/>
      <c r="G66" s="8"/>
      <c r="H66" s="8"/>
      <c r="J66" s="15">
        <v>9637</v>
      </c>
      <c r="K66" s="15">
        <v>6.2839</v>
      </c>
      <c r="L66" s="15">
        <v>0.84209999999999996</v>
      </c>
      <c r="M66" s="15">
        <v>0.32079999999999997</v>
      </c>
      <c r="N66" s="24">
        <f t="shared" si="42"/>
        <v>0.26182916666666667</v>
      </c>
      <c r="O66" s="10">
        <f t="shared" si="139"/>
        <v>37.3292</v>
      </c>
      <c r="P66" s="18"/>
      <c r="R66" s="20">
        <v>9637</v>
      </c>
      <c r="S66" s="9">
        <v>6.3388</v>
      </c>
      <c r="T66" s="9">
        <v>0.84940000000000004</v>
      </c>
      <c r="U66" s="9">
        <v>0.3236</v>
      </c>
      <c r="V66" s="24">
        <f t="shared" si="43"/>
        <v>0.26411666666666667</v>
      </c>
      <c r="W66" s="10">
        <f t="shared" si="140"/>
        <v>37.3264</v>
      </c>
      <c r="X66" s="18"/>
      <c r="Z66" s="27">
        <v>9637</v>
      </c>
      <c r="AA66" s="9">
        <v>6.4737</v>
      </c>
      <c r="AB66" s="9">
        <v>0.86750000000000005</v>
      </c>
      <c r="AC66" s="9">
        <v>0.33050000000000002</v>
      </c>
      <c r="AD66" s="24">
        <f t="shared" si="45"/>
        <v>0.26973750000000002</v>
      </c>
      <c r="AE66" s="10">
        <f t="shared" si="46"/>
        <v>37.319499999999998</v>
      </c>
      <c r="AF66" s="79"/>
      <c r="AG66">
        <v>58</v>
      </c>
      <c r="AH66" s="1">
        <v>9637</v>
      </c>
      <c r="AI66" s="1" t="s">
        <v>1</v>
      </c>
      <c r="AJ66" s="2">
        <v>37.65</v>
      </c>
      <c r="AL66" s="32">
        <v>9637</v>
      </c>
      <c r="AM66" s="9">
        <v>6.6211000000000002</v>
      </c>
      <c r="AN66" s="9">
        <v>0.88729999999999998</v>
      </c>
      <c r="AO66" s="9">
        <v>0.33800000000000002</v>
      </c>
      <c r="AP66" s="37">
        <f t="shared" si="0"/>
        <v>0.27587916666666668</v>
      </c>
      <c r="AQ66" s="53">
        <f t="shared" si="108"/>
        <v>37.311999999999998</v>
      </c>
      <c r="AT66" s="39"/>
      <c r="AU66" s="38">
        <v>9637</v>
      </c>
      <c r="AV66" s="9">
        <v>6.6837999999999997</v>
      </c>
      <c r="AW66" s="43">
        <v>0.89570000000000005</v>
      </c>
      <c r="AX66" s="43">
        <v>0.3412</v>
      </c>
      <c r="AY66" s="47">
        <f t="shared" si="47"/>
        <v>0.27849166666666664</v>
      </c>
      <c r="AZ66" s="56">
        <f t="shared" si="109"/>
        <v>37.308799999999998</v>
      </c>
      <c r="BD66" s="54">
        <v>9637</v>
      </c>
      <c r="BE66" s="53">
        <v>6.6909000000000001</v>
      </c>
      <c r="BF66" s="58">
        <v>0.89659999999999995</v>
      </c>
      <c r="BG66" s="58">
        <v>0.34160000000000001</v>
      </c>
      <c r="BH66" s="47">
        <f t="shared" si="48"/>
        <v>0.27878750000000002</v>
      </c>
      <c r="BI66" s="56">
        <f t="shared" si="49"/>
        <v>37.308399999999999</v>
      </c>
      <c r="BJ66" s="88"/>
      <c r="BK66" s="88"/>
      <c r="BL66" s="88"/>
      <c r="BN66" s="9">
        <v>9637</v>
      </c>
      <c r="BO66" s="53">
        <v>6.7173999999999996</v>
      </c>
      <c r="BP66" s="53">
        <v>0.9002</v>
      </c>
      <c r="BQ66" s="53">
        <v>0.34300000000000003</v>
      </c>
      <c r="BR66" s="53">
        <f t="shared" si="50"/>
        <v>0.27989166666666665</v>
      </c>
      <c r="BS66" s="53">
        <f t="shared" si="51"/>
        <v>37.306999999999995</v>
      </c>
      <c r="BV66" s="88"/>
      <c r="BX66" s="93">
        <v>9637</v>
      </c>
      <c r="BY66" s="9">
        <v>6.7694999999999999</v>
      </c>
      <c r="BZ66" s="9">
        <v>0.90710000000000002</v>
      </c>
      <c r="CA66" s="9">
        <v>0.34560000000000002</v>
      </c>
      <c r="CB66" s="58">
        <f t="shared" si="52"/>
        <v>0.28206249999999999</v>
      </c>
      <c r="CC66" s="53">
        <f t="shared" si="110"/>
        <v>37.304400000000001</v>
      </c>
      <c r="CF66" s="88"/>
      <c r="CG66">
        <v>56</v>
      </c>
      <c r="CH66" s="93">
        <v>9637</v>
      </c>
      <c r="CI66" s="93">
        <v>6.8143000000000002</v>
      </c>
      <c r="CJ66" s="9">
        <v>0.91310000000000002</v>
      </c>
      <c r="CK66" s="9">
        <v>0.34789999999999999</v>
      </c>
      <c r="CL66" s="47">
        <f t="shared" si="5"/>
        <v>0.28392916666666668</v>
      </c>
      <c r="CM66" s="53">
        <f t="shared" si="53"/>
        <v>37.302099999999996</v>
      </c>
      <c r="CQ66">
        <v>56</v>
      </c>
      <c r="CR66" s="98">
        <v>9637</v>
      </c>
      <c r="CS66" s="101">
        <v>6.8705999999999996</v>
      </c>
      <c r="CT66" s="101">
        <v>0.92069999999999996</v>
      </c>
      <c r="CU66" s="101">
        <v>0.3508</v>
      </c>
      <c r="CV66" s="47">
        <f t="shared" si="6"/>
        <v>0.286275</v>
      </c>
      <c r="CW66" s="53">
        <f t="shared" si="141"/>
        <v>37.299199999999999</v>
      </c>
      <c r="DA66">
        <v>56</v>
      </c>
      <c r="DB66" s="106">
        <v>9637</v>
      </c>
      <c r="DC66" s="107">
        <v>6.8761000000000001</v>
      </c>
      <c r="DD66" s="107">
        <v>0.9214</v>
      </c>
      <c r="DE66" s="107">
        <v>0.35110000000000002</v>
      </c>
      <c r="DF66" s="47">
        <f t="shared" si="136"/>
        <v>0.28650416666666667</v>
      </c>
      <c r="DG66" s="53">
        <f t="shared" si="111"/>
        <v>37.298899999999996</v>
      </c>
      <c r="DK66">
        <v>56</v>
      </c>
      <c r="DL66" s="110">
        <v>9637</v>
      </c>
      <c r="DM66" s="53">
        <v>6.9404000000000003</v>
      </c>
      <c r="DN66" s="53">
        <v>0.93</v>
      </c>
      <c r="DO66" s="53">
        <v>0.3543</v>
      </c>
      <c r="DP66" s="47">
        <f t="shared" si="137"/>
        <v>0.28918333333333335</v>
      </c>
      <c r="DQ66" s="53">
        <f t="shared" si="54"/>
        <v>37.295699999999997</v>
      </c>
      <c r="DS66" s="3">
        <f t="shared" si="55"/>
        <v>6.4300000000000246E-2</v>
      </c>
      <c r="DU66">
        <v>56</v>
      </c>
      <c r="DV66" s="115">
        <v>9637</v>
      </c>
      <c r="DW66" s="53">
        <f>Sheet3!B$35</f>
        <v>6.9805000000000001</v>
      </c>
      <c r="DX66" s="53">
        <f>Sheet3!C$35</f>
        <v>0.93540000000000001</v>
      </c>
      <c r="DY66" s="53">
        <f>Sheet3!D$35</f>
        <v>0.35639999999999999</v>
      </c>
      <c r="DZ66" s="47">
        <f t="shared" si="138"/>
        <v>0.29085416666666669</v>
      </c>
      <c r="EA66" s="53">
        <f t="shared" si="112"/>
        <v>37.293599999999998</v>
      </c>
      <c r="EB66" s="3"/>
      <c r="EE66">
        <v>56</v>
      </c>
      <c r="EF66" s="118">
        <v>9637</v>
      </c>
      <c r="EG66" s="9">
        <v>7.0430999999999999</v>
      </c>
      <c r="EH66" s="9">
        <v>0.94379999999999997</v>
      </c>
      <c r="EI66" s="9">
        <v>0.35959999999999998</v>
      </c>
      <c r="EJ66" s="47">
        <f t="shared" si="10"/>
        <v>0.29346250000000002</v>
      </c>
      <c r="EK66" s="53">
        <f t="shared" si="56"/>
        <v>37.290399999999998</v>
      </c>
      <c r="EM66" s="3">
        <f t="shared" si="57"/>
        <v>-3.1999999999996476E-3</v>
      </c>
      <c r="EN66" s="3"/>
      <c r="EO66">
        <v>56</v>
      </c>
      <c r="EP66" s="121">
        <v>9637</v>
      </c>
      <c r="EQ66" s="122">
        <v>7.1675000000000004</v>
      </c>
      <c r="ER66" s="122">
        <v>0.96050000000000002</v>
      </c>
      <c r="ES66" s="129">
        <v>0.3659</v>
      </c>
      <c r="ET66" s="130">
        <f t="shared" si="11"/>
        <v>0.29864583333333333</v>
      </c>
      <c r="EU66" s="131">
        <f t="shared" si="58"/>
        <v>37.284099999999995</v>
      </c>
      <c r="EX66" s="3"/>
      <c r="EY66">
        <v>56</v>
      </c>
      <c r="EZ66" s="135">
        <v>9637</v>
      </c>
      <c r="FA66" s="135">
        <v>7.2262000000000004</v>
      </c>
      <c r="FB66" s="135">
        <v>0.96830000000000005</v>
      </c>
      <c r="FC66" s="135">
        <v>0.36890000000000001</v>
      </c>
      <c r="FD66" s="136">
        <f t="shared" si="12"/>
        <v>0.3010916666666667</v>
      </c>
      <c r="FE66" s="131">
        <f t="shared" si="59"/>
        <v>37.281099999999995</v>
      </c>
      <c r="FG66" s="123">
        <f t="shared" si="60"/>
        <v>-3.0000000000001137E-3</v>
      </c>
      <c r="FH66" s="3"/>
      <c r="FI66">
        <v>56</v>
      </c>
      <c r="FJ66" s="145">
        <v>9637</v>
      </c>
      <c r="FK66" s="9">
        <v>7.3044000000000002</v>
      </c>
      <c r="FL66" s="9">
        <v>0.9788</v>
      </c>
      <c r="FM66" s="9">
        <v>0.37290000000000001</v>
      </c>
      <c r="FN66" s="146">
        <f t="shared" si="113"/>
        <v>0.30435000000000001</v>
      </c>
      <c r="FO66" s="131">
        <f t="shared" si="61"/>
        <v>37.277099999999997</v>
      </c>
      <c r="FP66" s="123">
        <f t="shared" si="62"/>
        <v>-3.9999999999977831E-3</v>
      </c>
      <c r="FS66">
        <v>56</v>
      </c>
      <c r="FT66" s="147">
        <v>9637</v>
      </c>
      <c r="FU66" s="148">
        <v>7.3205</v>
      </c>
      <c r="FV66" s="148">
        <v>0.98099999999999998</v>
      </c>
      <c r="FW66" s="148">
        <v>0.37380000000000002</v>
      </c>
      <c r="FX66" s="150">
        <f t="shared" si="114"/>
        <v>0.30502083333333335</v>
      </c>
      <c r="FY66" s="131">
        <f t="shared" si="115"/>
        <v>37.276199999999996</v>
      </c>
      <c r="FZ66">
        <f t="shared" si="63"/>
        <v>1.6099999999999781E-2</v>
      </c>
      <c r="GC66">
        <v>56</v>
      </c>
      <c r="GD66" s="151">
        <v>9637</v>
      </c>
      <c r="GE66" s="151">
        <v>7.3602999999999996</v>
      </c>
      <c r="GF66" s="151">
        <v>0.98629999999999995</v>
      </c>
      <c r="GG66" s="151">
        <v>0.37580000000000002</v>
      </c>
      <c r="GH66" s="153">
        <f t="shared" si="132"/>
        <v>0.30667916666666667</v>
      </c>
      <c r="GI66" s="131">
        <f t="shared" si="64"/>
        <v>37.2742</v>
      </c>
      <c r="GJ66">
        <f t="shared" si="142"/>
        <v>3.9799999999999613E-2</v>
      </c>
      <c r="GM66">
        <v>56</v>
      </c>
      <c r="GN66" s="155">
        <v>9637</v>
      </c>
      <c r="GO66" s="155">
        <v>7.4446000000000003</v>
      </c>
      <c r="GP66" s="155">
        <v>0.99760000000000004</v>
      </c>
      <c r="GQ66" s="155">
        <v>0.38009999999999999</v>
      </c>
      <c r="GR66" s="58">
        <f t="shared" si="65"/>
        <v>0.3101916666666667</v>
      </c>
      <c r="GS66" s="131">
        <f t="shared" si="66"/>
        <v>37.2699</v>
      </c>
      <c r="GT66">
        <f t="shared" si="143"/>
        <v>8.4300000000000708E-2</v>
      </c>
      <c r="GW66">
        <v>56</v>
      </c>
      <c r="GX66" s="157">
        <v>9637</v>
      </c>
      <c r="GY66" s="161">
        <f>VLOOKUP(GX66,Sheet3!$AJ$7:$AN$83,2,0)</f>
        <v>7.5515999999999996</v>
      </c>
      <c r="GZ66" s="161">
        <f>VLOOKUP(GX66,Sheet3!$AJ$7:$AN$83,3,0)</f>
        <v>1.0119</v>
      </c>
      <c r="HA66" s="161">
        <f>VLOOKUP(GX66,Sheet3!$AJ$7:$AN$83,4,0)</f>
        <v>0.3856</v>
      </c>
      <c r="HB66" s="162">
        <f t="shared" si="17"/>
        <v>0.31464999999999999</v>
      </c>
      <c r="HC66" s="131">
        <f t="shared" si="116"/>
        <v>37.264400000000002</v>
      </c>
      <c r="HD66" s="159">
        <f t="shared" si="144"/>
        <v>0.10699999999999932</v>
      </c>
      <c r="HE66" s="159">
        <f t="shared" si="145"/>
        <v>5.5000000000000049E-3</v>
      </c>
      <c r="HG66" s="159"/>
      <c r="HH66" s="159">
        <v>56</v>
      </c>
      <c r="HI66" s="158">
        <v>9637</v>
      </c>
      <c r="HJ66" s="161">
        <v>7.5948000000000002</v>
      </c>
      <c r="HK66" s="161">
        <v>1.0177</v>
      </c>
      <c r="HL66" s="161">
        <v>0.38779999999999998</v>
      </c>
      <c r="HM66" s="162">
        <f t="shared" si="18"/>
        <v>0.31645000000000001</v>
      </c>
      <c r="HN66" s="131">
        <f t="shared" si="67"/>
        <v>37.2622</v>
      </c>
      <c r="HO66" s="159">
        <f t="shared" si="68"/>
        <v>4.3200000000000571E-2</v>
      </c>
      <c r="HQ66" s="183"/>
      <c r="HR66" s="183">
        <v>56</v>
      </c>
      <c r="HS66" s="178">
        <v>9637</v>
      </c>
      <c r="HT66" s="184">
        <v>7.6228999999999996</v>
      </c>
      <c r="HU66" s="184">
        <v>1.0215000000000001</v>
      </c>
      <c r="HV66" s="184">
        <v>0.38919999999999999</v>
      </c>
      <c r="HW66" s="171">
        <f t="shared" si="19"/>
        <v>0.3176208333333333</v>
      </c>
      <c r="HX66" s="53">
        <f t="shared" si="69"/>
        <v>37.260799999999996</v>
      </c>
      <c r="HY66" s="183">
        <f t="shared" si="70"/>
        <v>2.8099999999999348E-2</v>
      </c>
      <c r="IA66" s="194"/>
      <c r="IB66" s="194">
        <v>56</v>
      </c>
      <c r="IC66" s="193">
        <v>9637</v>
      </c>
      <c r="ID66" s="161">
        <v>7.6351000000000004</v>
      </c>
      <c r="IE66" s="184">
        <v>1.0230999999999999</v>
      </c>
      <c r="IF66" s="184">
        <v>0.38979999999999998</v>
      </c>
      <c r="IG66" s="171">
        <f t="shared" si="71"/>
        <v>0.31812916666666669</v>
      </c>
      <c r="IH66" s="53">
        <f t="shared" si="72"/>
        <v>37.260199999999998</v>
      </c>
      <c r="II66" s="194">
        <f t="shared" si="73"/>
        <v>1.2200000000000877E-2</v>
      </c>
      <c r="IL66" s="199">
        <v>56</v>
      </c>
      <c r="IM66" s="197">
        <v>9637</v>
      </c>
      <c r="IN66" s="161">
        <v>7.6993</v>
      </c>
      <c r="IO66" s="184">
        <v>1.0317000000000001</v>
      </c>
      <c r="IP66" s="184">
        <v>0.3931</v>
      </c>
      <c r="IQ66" s="171">
        <f t="shared" si="74"/>
        <v>0.32080416666666667</v>
      </c>
      <c r="IR66" s="53">
        <f t="shared" si="75"/>
        <v>37.256900000000002</v>
      </c>
      <c r="IS66" s="199">
        <f t="shared" si="76"/>
        <v>6.4199999999999591E-2</v>
      </c>
      <c r="IU66" s="202"/>
      <c r="IV66" s="202">
        <v>56</v>
      </c>
      <c r="IW66" s="201">
        <v>9637</v>
      </c>
      <c r="IX66" s="184">
        <v>7.7858999999999998</v>
      </c>
      <c r="IY66" s="184">
        <v>1.0432999999999999</v>
      </c>
      <c r="IZ66" s="184">
        <v>0.39750000000000002</v>
      </c>
      <c r="JA66" s="162">
        <f t="shared" si="22"/>
        <v>0.32441249999999999</v>
      </c>
      <c r="JB66" s="53">
        <f t="shared" si="77"/>
        <v>37.252499999999998</v>
      </c>
      <c r="JC66" s="202">
        <f t="shared" si="78"/>
        <v>8.6599999999999788E-2</v>
      </c>
      <c r="JE66" s="204"/>
      <c r="JF66" s="204">
        <v>56</v>
      </c>
      <c r="JG66" s="203">
        <v>9637</v>
      </c>
      <c r="JH66" s="161">
        <v>7.8133999999999997</v>
      </c>
      <c r="JI66" s="184">
        <v>1.0469999999999999</v>
      </c>
      <c r="JJ66" s="184">
        <v>0.39889999999999998</v>
      </c>
      <c r="JK66" s="162">
        <f t="shared" si="79"/>
        <v>0.32555833333333334</v>
      </c>
      <c r="JL66" s="53">
        <f t="shared" si="80"/>
        <v>37.251100000000001</v>
      </c>
      <c r="JM66" s="204">
        <f t="shared" si="117"/>
        <v>2.7499999999999858E-2</v>
      </c>
      <c r="JN66" s="204"/>
      <c r="JP66" s="209">
        <v>56</v>
      </c>
      <c r="JQ66" s="205">
        <v>9637</v>
      </c>
      <c r="JR66" s="161">
        <v>7.8354999999999997</v>
      </c>
      <c r="JS66" s="184">
        <v>1.05</v>
      </c>
      <c r="JT66" s="184">
        <v>0.4</v>
      </c>
      <c r="JU66" s="162">
        <f t="shared" si="81"/>
        <v>0.32647916666666665</v>
      </c>
      <c r="JV66" s="53">
        <f t="shared" si="82"/>
        <v>37.25</v>
      </c>
      <c r="JW66" s="209">
        <f t="shared" si="118"/>
        <v>2.2100000000000009E-2</v>
      </c>
      <c r="JX66" s="213"/>
      <c r="JY66" s="213"/>
      <c r="JZ66" s="213">
        <v>56</v>
      </c>
      <c r="KA66" s="206">
        <v>9637</v>
      </c>
      <c r="KB66" s="184">
        <v>7.8874000000000004</v>
      </c>
      <c r="KC66" s="184">
        <v>1.0569</v>
      </c>
      <c r="KD66" s="184">
        <v>0.4027</v>
      </c>
      <c r="KE66" s="162">
        <f t="shared" si="83"/>
        <v>0.32864166666666667</v>
      </c>
      <c r="KF66" s="53">
        <f t="shared" si="84"/>
        <v>37.247299999999996</v>
      </c>
      <c r="KG66" s="213">
        <f t="shared" si="119"/>
        <v>5.1900000000000723E-2</v>
      </c>
      <c r="KI66" s="219"/>
      <c r="KJ66" s="219">
        <v>56</v>
      </c>
      <c r="KK66" s="214">
        <v>9637</v>
      </c>
      <c r="KL66" s="161">
        <v>7.9047000000000001</v>
      </c>
      <c r="KM66" s="161">
        <v>1.0592999999999999</v>
      </c>
      <c r="KN66" s="161">
        <v>0.40360000000000001</v>
      </c>
      <c r="KO66" s="162">
        <f t="shared" si="24"/>
        <v>0.3293625</v>
      </c>
      <c r="KP66" s="53">
        <f t="shared" si="85"/>
        <v>37.246400000000001</v>
      </c>
      <c r="KQ66" s="219">
        <f t="shared" si="120"/>
        <v>1.7299999999999649E-2</v>
      </c>
      <c r="KT66" s="223">
        <v>56</v>
      </c>
      <c r="KU66" s="216">
        <v>9637</v>
      </c>
      <c r="KV66" s="161">
        <v>7.9229000000000003</v>
      </c>
      <c r="KW66" s="161">
        <v>1.0617000000000001</v>
      </c>
      <c r="KX66" s="161">
        <v>0.40450000000000003</v>
      </c>
      <c r="KY66" s="162">
        <f t="shared" si="86"/>
        <v>0.33012083333333336</v>
      </c>
      <c r="KZ66" s="53">
        <f t="shared" si="87"/>
        <v>37.2455</v>
      </c>
      <c r="LA66" s="223">
        <f t="shared" si="121"/>
        <v>1.8200000000000216E-2</v>
      </c>
      <c r="LD66" s="228">
        <v>56</v>
      </c>
      <c r="LE66" s="221">
        <v>9637</v>
      </c>
      <c r="LF66" s="161">
        <v>7.9382000000000001</v>
      </c>
      <c r="LG66" s="161">
        <v>1.0637000000000001</v>
      </c>
      <c r="LH66" s="161">
        <v>0.40529999999999999</v>
      </c>
      <c r="LI66" s="162">
        <f t="shared" si="88"/>
        <v>0.33075833333333332</v>
      </c>
      <c r="LJ66" s="53">
        <f t="shared" si="89"/>
        <v>37.244700000000002</v>
      </c>
      <c r="LK66" s="228">
        <f t="shared" si="122"/>
        <v>1.5299999999999869E-2</v>
      </c>
      <c r="LL66" s="231"/>
      <c r="LM66" s="231"/>
      <c r="LN66" s="231">
        <v>56</v>
      </c>
      <c r="LO66" s="226">
        <v>9637</v>
      </c>
      <c r="LP66" s="184">
        <v>7.9596</v>
      </c>
      <c r="LQ66" s="184">
        <v>1.0666</v>
      </c>
      <c r="LR66" s="184">
        <v>0.40639999999999998</v>
      </c>
      <c r="LS66" s="162">
        <f t="shared" si="90"/>
        <v>0.33165</v>
      </c>
      <c r="LT66" s="53">
        <f t="shared" si="91"/>
        <v>37.243600000000001</v>
      </c>
      <c r="LU66" s="231">
        <f t="shared" si="123"/>
        <v>2.1399999999999864E-2</v>
      </c>
      <c r="LW66" s="231"/>
      <c r="LX66" s="231">
        <v>56</v>
      </c>
      <c r="LY66" s="234">
        <v>9637</v>
      </c>
      <c r="LZ66" s="184">
        <v>7.9836</v>
      </c>
      <c r="MA66" s="184">
        <v>1.0698000000000001</v>
      </c>
      <c r="MB66" s="184">
        <v>0.40760000000000002</v>
      </c>
      <c r="MC66" s="162">
        <f t="shared" si="92"/>
        <v>0.33265</v>
      </c>
      <c r="MD66" s="53">
        <f t="shared" si="93"/>
        <v>37.242399999999996</v>
      </c>
      <c r="ME66" s="231">
        <f t="shared" si="124"/>
        <v>2.4000000000000021E-2</v>
      </c>
      <c r="MF66" s="231"/>
      <c r="MG66" s="231"/>
      <c r="MH66" s="231">
        <v>56</v>
      </c>
      <c r="MI66" s="236">
        <v>9637</v>
      </c>
      <c r="MJ66" s="184">
        <v>8.0073000000000008</v>
      </c>
      <c r="MK66" s="184">
        <v>1.073</v>
      </c>
      <c r="ML66" s="184">
        <v>0.4088</v>
      </c>
      <c r="MM66" s="162">
        <f t="shared" si="94"/>
        <v>0.33363750000000003</v>
      </c>
      <c r="MN66" s="53">
        <f t="shared" si="95"/>
        <v>37.241199999999999</v>
      </c>
      <c r="MO66" s="231">
        <f t="shared" si="125"/>
        <v>2.370000000000072E-2</v>
      </c>
      <c r="MP66" s="231"/>
      <c r="MQ66" s="231"/>
      <c r="MR66" s="231">
        <v>56</v>
      </c>
      <c r="MS66" s="238">
        <v>9637</v>
      </c>
      <c r="MT66" s="184">
        <v>8.0525000000000002</v>
      </c>
      <c r="MU66" s="184">
        <v>1.0790999999999999</v>
      </c>
      <c r="MV66" s="184">
        <v>0.41110000000000002</v>
      </c>
      <c r="MW66" s="162">
        <f t="shared" si="96"/>
        <v>0.33552083333333332</v>
      </c>
      <c r="MX66" s="53">
        <f t="shared" si="97"/>
        <v>37.238900000000001</v>
      </c>
      <c r="MY66" s="231">
        <f t="shared" si="126"/>
        <v>4.5199999999999463E-2</v>
      </c>
      <c r="MZ66" s="246"/>
      <c r="NA66" s="246"/>
      <c r="NB66" s="246">
        <v>56</v>
      </c>
      <c r="NC66" s="242">
        <v>9637</v>
      </c>
      <c r="ND66" s="184">
        <v>8.0986999999999991</v>
      </c>
      <c r="NE66" s="184">
        <v>1.0852999999999999</v>
      </c>
      <c r="NF66" s="184">
        <v>0.41349999999999998</v>
      </c>
      <c r="NG66" s="162">
        <f t="shared" si="98"/>
        <v>0.33744583333333328</v>
      </c>
      <c r="NH66" s="53">
        <f t="shared" si="99"/>
        <v>37.236499999999999</v>
      </c>
      <c r="NI66" s="232">
        <f t="shared" si="127"/>
        <v>4.6199999999998909E-2</v>
      </c>
      <c r="NK66" s="250"/>
      <c r="NL66" s="250">
        <v>56</v>
      </c>
      <c r="NM66" s="244">
        <v>9637</v>
      </c>
      <c r="NN66" s="184">
        <v>8.1122999999999994</v>
      </c>
      <c r="NO66" s="184">
        <v>1.0871</v>
      </c>
      <c r="NP66" s="184">
        <v>0.41420000000000001</v>
      </c>
      <c r="NQ66" s="162">
        <f t="shared" si="133"/>
        <v>0.33801249999999999</v>
      </c>
      <c r="NR66" s="53">
        <f t="shared" si="101"/>
        <v>37.235799999999998</v>
      </c>
      <c r="NS66" s="232">
        <f t="shared" si="128"/>
        <v>1.3600000000000279E-2</v>
      </c>
      <c r="NU66" s="250"/>
      <c r="NV66" s="250">
        <v>56</v>
      </c>
      <c r="NW66" s="248">
        <v>9637</v>
      </c>
      <c r="NX66" s="184">
        <v>8.1339000000000006</v>
      </c>
      <c r="NY66" s="184">
        <v>1.0900000000000001</v>
      </c>
      <c r="NZ66" s="184">
        <v>0.4153</v>
      </c>
      <c r="OA66" s="162">
        <f t="shared" si="134"/>
        <v>0.33891250000000001</v>
      </c>
      <c r="OB66" s="53">
        <f t="shared" si="103"/>
        <v>37.234699999999997</v>
      </c>
      <c r="OC66" s="232">
        <f t="shared" si="129"/>
        <v>2.1600000000001174E-2</v>
      </c>
      <c r="OE66" s="250"/>
      <c r="OF66" s="250">
        <v>56</v>
      </c>
      <c r="OG66" s="251">
        <v>9637</v>
      </c>
      <c r="OH66" s="184">
        <v>8.1447000000000003</v>
      </c>
      <c r="OI66" s="184">
        <v>1.0913999999999999</v>
      </c>
      <c r="OJ66" s="184">
        <v>0.4158</v>
      </c>
      <c r="OK66" s="162">
        <f t="shared" si="135"/>
        <v>0.33936250000000001</v>
      </c>
      <c r="OL66" s="53">
        <f t="shared" si="105"/>
        <v>37.234200000000001</v>
      </c>
      <c r="OM66" s="232">
        <f t="shared" si="130"/>
        <v>1.0799999999999699E-2</v>
      </c>
      <c r="OP66" s="250">
        <v>56</v>
      </c>
      <c r="OQ66" s="253">
        <v>9637</v>
      </c>
      <c r="OR66" s="184">
        <f>VLOOKUP(OQ66,Sheet4!A14:F90,3,0)</f>
        <v>8.1694999999999993</v>
      </c>
      <c r="OS66" s="184">
        <f>VLOOKUP(OQ66,Sheet4!A14:F90,4,0)</f>
        <v>1.0947</v>
      </c>
      <c r="OT66" s="184">
        <f>VLOOKUP(OQ66,Sheet4!A14:F90,5,0)</f>
        <v>0.41710000000000003</v>
      </c>
      <c r="OU66" s="162">
        <f t="shared" si="106"/>
        <v>0.34039583333333329</v>
      </c>
      <c r="OV66" s="53">
        <f t="shared" si="107"/>
        <v>37.232900000000001</v>
      </c>
      <c r="OW66" s="232">
        <f t="shared" si="131"/>
        <v>2.4799999999999045E-2</v>
      </c>
    </row>
    <row r="67" spans="1:413" ht="15.75" x14ac:dyDescent="0.25">
      <c r="A67">
        <v>59</v>
      </c>
      <c r="B67" s="1">
        <v>9350</v>
      </c>
      <c r="C67" s="1" t="s">
        <v>1</v>
      </c>
      <c r="D67" s="2">
        <v>38.090000000000003</v>
      </c>
      <c r="E67" s="8"/>
      <c r="F67" s="8"/>
      <c r="G67" s="8"/>
      <c r="H67" s="8"/>
      <c r="J67" s="15">
        <v>9350</v>
      </c>
      <c r="K67" s="15">
        <v>14.734299999999999</v>
      </c>
      <c r="L67" s="15">
        <v>1.9744999999999999</v>
      </c>
      <c r="M67" s="15">
        <v>0.75229999999999997</v>
      </c>
      <c r="N67" s="24">
        <f t="shared" si="42"/>
        <v>0.61392916666666664</v>
      </c>
      <c r="O67" s="10">
        <f t="shared" si="139"/>
        <v>37.337700000000005</v>
      </c>
      <c r="P67" s="18"/>
      <c r="R67" s="20">
        <v>9350</v>
      </c>
      <c r="S67" s="9">
        <v>14.789199999999999</v>
      </c>
      <c r="T67" s="9">
        <v>1.9818</v>
      </c>
      <c r="U67" s="9">
        <v>0.75509999999999999</v>
      </c>
      <c r="V67" s="24">
        <f t="shared" si="43"/>
        <v>0.61621666666666663</v>
      </c>
      <c r="W67" s="10">
        <f t="shared" si="140"/>
        <v>37.334900000000005</v>
      </c>
      <c r="X67" s="18"/>
      <c r="Z67" s="27">
        <v>9350</v>
      </c>
      <c r="AA67" s="9">
        <v>14.924099999999999</v>
      </c>
      <c r="AB67" s="9">
        <v>1.9999</v>
      </c>
      <c r="AC67" s="9">
        <v>0.76200000000000001</v>
      </c>
      <c r="AD67" s="24">
        <f t="shared" si="45"/>
        <v>0.62183749999999993</v>
      </c>
      <c r="AE67" s="10">
        <f t="shared" si="46"/>
        <v>37.328000000000003</v>
      </c>
      <c r="AF67" s="79"/>
      <c r="AG67">
        <v>59</v>
      </c>
      <c r="AH67" s="1">
        <v>9350</v>
      </c>
      <c r="AI67" s="1" t="s">
        <v>1</v>
      </c>
      <c r="AJ67" s="2">
        <v>38.090000000000003</v>
      </c>
      <c r="AL67" s="32">
        <v>9350</v>
      </c>
      <c r="AM67" s="9">
        <v>15.0715</v>
      </c>
      <c r="AN67" s="9">
        <v>2.0196000000000001</v>
      </c>
      <c r="AO67" s="9">
        <v>0.76949999999999996</v>
      </c>
      <c r="AP67" s="37">
        <f t="shared" si="0"/>
        <v>0.62797916666666664</v>
      </c>
      <c r="AQ67" s="53">
        <f t="shared" si="108"/>
        <v>37.320500000000003</v>
      </c>
      <c r="AT67" s="39"/>
      <c r="AU67" s="38">
        <v>9350</v>
      </c>
      <c r="AV67" s="9">
        <v>15.1342</v>
      </c>
      <c r="AW67" s="43">
        <v>2.028</v>
      </c>
      <c r="AX67" s="43">
        <v>0.77270000000000005</v>
      </c>
      <c r="AY67" s="47">
        <f t="shared" si="47"/>
        <v>0.63059166666666666</v>
      </c>
      <c r="AZ67" s="56">
        <f t="shared" si="109"/>
        <v>37.317300000000003</v>
      </c>
      <c r="BD67" s="54">
        <v>9350</v>
      </c>
      <c r="BE67" s="53">
        <v>15.141299999999999</v>
      </c>
      <c r="BF67" s="58">
        <v>2.0289999999999999</v>
      </c>
      <c r="BG67" s="58">
        <v>0.77300000000000002</v>
      </c>
      <c r="BH67" s="47">
        <f t="shared" si="48"/>
        <v>0.63088749999999993</v>
      </c>
      <c r="BI67" s="56">
        <f t="shared" si="49"/>
        <v>37.317</v>
      </c>
      <c r="BJ67" s="88"/>
      <c r="BK67" s="88"/>
      <c r="BL67" s="88"/>
      <c r="BN67" s="9">
        <v>9350</v>
      </c>
      <c r="BO67" s="53">
        <v>15.1678</v>
      </c>
      <c r="BP67" s="53">
        <v>2.0325000000000002</v>
      </c>
      <c r="BQ67" s="53">
        <v>0.77439999999999998</v>
      </c>
      <c r="BR67" s="53">
        <f t="shared" si="50"/>
        <v>0.63199166666666662</v>
      </c>
      <c r="BS67" s="53">
        <f t="shared" si="51"/>
        <v>37.315600000000003</v>
      </c>
      <c r="BV67" s="88"/>
      <c r="BX67" s="93">
        <v>9350</v>
      </c>
      <c r="BY67" s="9">
        <v>15.219900000000001</v>
      </c>
      <c r="BZ67" s="9">
        <v>2.0394999999999999</v>
      </c>
      <c r="CA67" s="9">
        <v>0.77710000000000001</v>
      </c>
      <c r="CB67" s="58">
        <f t="shared" si="52"/>
        <v>0.63416250000000007</v>
      </c>
      <c r="CC67" s="53">
        <f t="shared" si="110"/>
        <v>37.312900000000006</v>
      </c>
      <c r="CF67" s="88"/>
      <c r="CG67">
        <v>57</v>
      </c>
      <c r="CH67" s="93">
        <v>9350</v>
      </c>
      <c r="CI67" s="93">
        <v>15.264699999999999</v>
      </c>
      <c r="CJ67" s="9">
        <v>2.0455000000000001</v>
      </c>
      <c r="CK67" s="9">
        <v>0.77929999999999999</v>
      </c>
      <c r="CL67" s="47">
        <f t="shared" si="5"/>
        <v>0.63602916666666665</v>
      </c>
      <c r="CM67" s="53">
        <f t="shared" si="53"/>
        <v>37.310700000000004</v>
      </c>
      <c r="CQ67">
        <v>57</v>
      </c>
      <c r="CR67" s="98">
        <v>9350</v>
      </c>
      <c r="CS67" s="101">
        <v>15.321</v>
      </c>
      <c r="CT67" s="101">
        <v>2.0531000000000001</v>
      </c>
      <c r="CU67" s="101">
        <v>0.78220000000000001</v>
      </c>
      <c r="CV67" s="47">
        <f t="shared" si="6"/>
        <v>0.63837500000000003</v>
      </c>
      <c r="CW67" s="53">
        <f t="shared" si="141"/>
        <v>37.3078</v>
      </c>
      <c r="DA67">
        <v>57</v>
      </c>
      <c r="DB67" s="106">
        <v>9350</v>
      </c>
      <c r="DC67" s="107">
        <v>15.326499999999999</v>
      </c>
      <c r="DD67" s="107">
        <v>2.0537999999999998</v>
      </c>
      <c r="DE67" s="107">
        <v>0.78249999999999997</v>
      </c>
      <c r="DF67" s="47">
        <f t="shared" si="136"/>
        <v>0.63860416666666664</v>
      </c>
      <c r="DG67" s="53">
        <f t="shared" si="111"/>
        <v>37.307500000000005</v>
      </c>
      <c r="DK67">
        <v>57</v>
      </c>
      <c r="DL67" s="110">
        <v>9350</v>
      </c>
      <c r="DM67" s="53">
        <v>15.3908</v>
      </c>
      <c r="DN67" s="53">
        <v>2.0623999999999998</v>
      </c>
      <c r="DO67" s="53">
        <v>0.78580000000000005</v>
      </c>
      <c r="DP67" s="47">
        <f t="shared" si="137"/>
        <v>0.64128333333333332</v>
      </c>
      <c r="DQ67" s="53">
        <f t="shared" si="54"/>
        <v>37.304200000000002</v>
      </c>
      <c r="DS67" s="3">
        <f t="shared" si="55"/>
        <v>6.4300000000001134E-2</v>
      </c>
      <c r="DU67">
        <v>57</v>
      </c>
      <c r="DV67" s="115">
        <v>9350</v>
      </c>
      <c r="DW67" s="53">
        <f>Sheet3!B$12</f>
        <v>15.430899999999999</v>
      </c>
      <c r="DX67" s="53">
        <f>Sheet3!C$12</f>
        <v>2.0678000000000001</v>
      </c>
      <c r="DY67" s="53">
        <f>Sheet3!D$12</f>
        <v>0.78779999999999994</v>
      </c>
      <c r="DZ67" s="47">
        <f t="shared" si="138"/>
        <v>0.6429541666666666</v>
      </c>
      <c r="EA67" s="53">
        <f t="shared" si="112"/>
        <v>37.302200000000006</v>
      </c>
      <c r="EB67" s="3"/>
      <c r="EE67">
        <v>57</v>
      </c>
      <c r="EF67" s="118">
        <v>9350</v>
      </c>
      <c r="EG67" s="9">
        <v>15.493499999999999</v>
      </c>
      <c r="EH67" s="9">
        <v>2.0762</v>
      </c>
      <c r="EI67" s="9">
        <v>0.79100000000000004</v>
      </c>
      <c r="EJ67" s="47">
        <f t="shared" si="10"/>
        <v>0.64556249999999993</v>
      </c>
      <c r="EK67" s="53">
        <f t="shared" si="56"/>
        <v>37.299000000000007</v>
      </c>
      <c r="EM67" s="3">
        <f t="shared" si="57"/>
        <v>-3.1999999999996476E-3</v>
      </c>
      <c r="EN67" s="3"/>
      <c r="EO67">
        <v>57</v>
      </c>
      <c r="EP67" s="121">
        <v>9350</v>
      </c>
      <c r="EQ67" s="122">
        <v>15.617900000000001</v>
      </c>
      <c r="ER67" s="122">
        <v>2.0929000000000002</v>
      </c>
      <c r="ES67" s="129">
        <v>0.7974</v>
      </c>
      <c r="ET67" s="130">
        <f t="shared" si="11"/>
        <v>0.65074583333333336</v>
      </c>
      <c r="EU67" s="131">
        <f t="shared" si="58"/>
        <v>37.2926</v>
      </c>
      <c r="EX67" s="3"/>
      <c r="EY67">
        <v>57</v>
      </c>
      <c r="EZ67" s="135">
        <v>9350</v>
      </c>
      <c r="FA67" s="135">
        <v>15.676600000000001</v>
      </c>
      <c r="FB67" s="135">
        <v>2.1006999999999998</v>
      </c>
      <c r="FC67" s="135">
        <v>0.8004</v>
      </c>
      <c r="FD67" s="136">
        <f t="shared" si="12"/>
        <v>0.65319166666666673</v>
      </c>
      <c r="FE67" s="131">
        <f t="shared" si="59"/>
        <v>37.2896</v>
      </c>
      <c r="FG67" s="123">
        <f t="shared" si="60"/>
        <v>-3.0000000000001137E-3</v>
      </c>
      <c r="FH67" s="3"/>
      <c r="FI67">
        <v>57</v>
      </c>
      <c r="FJ67" s="145">
        <v>9350</v>
      </c>
      <c r="FK67" s="9">
        <v>15.754799999999999</v>
      </c>
      <c r="FL67" s="9">
        <v>2.1112000000000002</v>
      </c>
      <c r="FM67" s="9">
        <v>0.8044</v>
      </c>
      <c r="FN67" s="146">
        <f t="shared" si="113"/>
        <v>0.65644999999999998</v>
      </c>
      <c r="FO67" s="131">
        <f t="shared" si="61"/>
        <v>37.285600000000002</v>
      </c>
      <c r="FP67" s="123">
        <f t="shared" si="62"/>
        <v>-3.9999999999977831E-3</v>
      </c>
      <c r="FS67">
        <v>57</v>
      </c>
      <c r="FT67" s="147">
        <v>9350</v>
      </c>
      <c r="FU67" s="148">
        <v>15.770899999999999</v>
      </c>
      <c r="FV67" s="148">
        <v>2.1133999999999999</v>
      </c>
      <c r="FW67" s="148">
        <v>0.80520000000000003</v>
      </c>
      <c r="FX67" s="150">
        <f t="shared" si="114"/>
        <v>0.65712083333333327</v>
      </c>
      <c r="FY67" s="131">
        <f t="shared" si="115"/>
        <v>37.284800000000004</v>
      </c>
      <c r="FZ67">
        <f t="shared" si="63"/>
        <v>1.6099999999999781E-2</v>
      </c>
      <c r="GC67">
        <v>57</v>
      </c>
      <c r="GD67" s="151">
        <v>9350</v>
      </c>
      <c r="GE67" s="151">
        <v>15.810700000000001</v>
      </c>
      <c r="GF67" s="151">
        <v>2.1187</v>
      </c>
      <c r="GG67" s="151">
        <v>0.80720000000000003</v>
      </c>
      <c r="GH67" s="153">
        <f t="shared" si="132"/>
        <v>0.65877916666666669</v>
      </c>
      <c r="GI67" s="131">
        <f t="shared" si="64"/>
        <v>37.282800000000002</v>
      </c>
      <c r="GJ67">
        <f t="shared" si="142"/>
        <v>3.980000000000139E-2</v>
      </c>
      <c r="GM67">
        <v>57</v>
      </c>
      <c r="GN67" s="155">
        <v>9350</v>
      </c>
      <c r="GO67" s="155">
        <v>15.895</v>
      </c>
      <c r="GP67" s="155">
        <v>2.13</v>
      </c>
      <c r="GQ67" s="155">
        <v>0.8115</v>
      </c>
      <c r="GR67" s="58">
        <f t="shared" si="65"/>
        <v>0.66229166666666661</v>
      </c>
      <c r="GS67" s="131">
        <f t="shared" si="66"/>
        <v>37.278500000000001</v>
      </c>
      <c r="GT67">
        <f t="shared" si="143"/>
        <v>8.4299999999998931E-2</v>
      </c>
      <c r="GW67">
        <v>57</v>
      </c>
      <c r="GX67" s="157">
        <v>9350</v>
      </c>
      <c r="GY67" s="161">
        <f>VLOOKUP(GX67,Sheet3!$AJ$7:$AN$83,2,0)</f>
        <v>16.001999999999999</v>
      </c>
      <c r="GZ67" s="161">
        <f>VLOOKUP(GX67,Sheet3!$AJ$7:$AN$83,3,0)</f>
        <v>2.1442999999999999</v>
      </c>
      <c r="HA67" s="161">
        <f>VLOOKUP(GX67,Sheet3!$AJ$7:$AN$83,4,0)</f>
        <v>0.81699999999999995</v>
      </c>
      <c r="HB67" s="162">
        <f t="shared" si="17"/>
        <v>0.66674999999999995</v>
      </c>
      <c r="HC67" s="131">
        <f t="shared" si="116"/>
        <v>37.273000000000003</v>
      </c>
      <c r="HD67" s="159">
        <f t="shared" si="144"/>
        <v>0.10699999999999932</v>
      </c>
      <c r="HE67" s="159">
        <f t="shared" si="145"/>
        <v>5.4999999999999494E-3</v>
      </c>
      <c r="HG67" s="159"/>
      <c r="HH67" s="159">
        <v>57</v>
      </c>
      <c r="HI67" s="158">
        <v>9350</v>
      </c>
      <c r="HJ67" s="161">
        <v>16.045200000000001</v>
      </c>
      <c r="HK67" s="161">
        <v>2.1501000000000001</v>
      </c>
      <c r="HL67" s="161">
        <v>0.81920000000000004</v>
      </c>
      <c r="HM67" s="162">
        <f t="shared" si="18"/>
        <v>0.66855000000000009</v>
      </c>
      <c r="HN67" s="131">
        <f t="shared" si="67"/>
        <v>37.270800000000001</v>
      </c>
      <c r="HO67" s="159">
        <f t="shared" si="68"/>
        <v>4.3200000000002348E-2</v>
      </c>
      <c r="HQ67" s="183"/>
      <c r="HR67" s="183">
        <v>57</v>
      </c>
      <c r="HS67" s="178">
        <v>9350</v>
      </c>
      <c r="HT67" s="184">
        <v>16.0733</v>
      </c>
      <c r="HU67" s="184">
        <v>2.1539000000000001</v>
      </c>
      <c r="HV67" s="184">
        <v>0.8206</v>
      </c>
      <c r="HW67" s="171">
        <f t="shared" si="19"/>
        <v>0.66972083333333332</v>
      </c>
      <c r="HX67" s="53">
        <f t="shared" si="69"/>
        <v>37.269400000000005</v>
      </c>
      <c r="HY67" s="183">
        <f t="shared" si="70"/>
        <v>2.809999999999846E-2</v>
      </c>
      <c r="IA67" s="194"/>
      <c r="IB67" s="194">
        <v>57</v>
      </c>
      <c r="IC67" s="193">
        <v>9350</v>
      </c>
      <c r="ID67" s="161">
        <v>16.0855</v>
      </c>
      <c r="IE67" s="184">
        <v>2.1555</v>
      </c>
      <c r="IF67" s="184">
        <v>0.82130000000000003</v>
      </c>
      <c r="IG67" s="171">
        <f t="shared" si="71"/>
        <v>0.67022916666666665</v>
      </c>
      <c r="IH67" s="53">
        <f t="shared" si="72"/>
        <v>37.268700000000003</v>
      </c>
      <c r="II67" s="194">
        <f t="shared" si="73"/>
        <v>1.2199999999999989E-2</v>
      </c>
      <c r="IL67" s="199">
        <v>57</v>
      </c>
      <c r="IM67" s="197">
        <v>9350</v>
      </c>
      <c r="IN67" s="161">
        <v>16.149699999999999</v>
      </c>
      <c r="IO67" s="184">
        <v>2.1640999999999999</v>
      </c>
      <c r="IP67" s="184">
        <v>0.82450000000000001</v>
      </c>
      <c r="IQ67" s="171">
        <f t="shared" si="74"/>
        <v>0.67290416666666664</v>
      </c>
      <c r="IR67" s="53">
        <f t="shared" si="75"/>
        <v>37.265500000000003</v>
      </c>
      <c r="IS67" s="199">
        <f t="shared" si="76"/>
        <v>6.4199999999999591E-2</v>
      </c>
      <c r="IU67" s="202"/>
      <c r="IV67" s="202">
        <v>57</v>
      </c>
      <c r="IW67" s="201">
        <v>9350</v>
      </c>
      <c r="IX67" s="184">
        <v>16.2363</v>
      </c>
      <c r="IY67" s="184">
        <v>2.1757</v>
      </c>
      <c r="IZ67" s="184">
        <v>0.82899999999999996</v>
      </c>
      <c r="JA67" s="162">
        <f t="shared" si="22"/>
        <v>0.67651249999999996</v>
      </c>
      <c r="JB67" s="53">
        <f t="shared" si="77"/>
        <v>37.261000000000003</v>
      </c>
      <c r="JC67" s="202">
        <f t="shared" si="78"/>
        <v>8.6600000000000676E-2</v>
      </c>
      <c r="JE67" s="204"/>
      <c r="JF67" s="204">
        <v>57</v>
      </c>
      <c r="JG67" s="203">
        <v>9350</v>
      </c>
      <c r="JH67" s="161">
        <v>16.2638</v>
      </c>
      <c r="JI67" s="184">
        <v>2.1793999999999998</v>
      </c>
      <c r="JJ67" s="184">
        <v>0.83040000000000003</v>
      </c>
      <c r="JK67" s="162">
        <f t="shared" si="79"/>
        <v>0.67765833333333336</v>
      </c>
      <c r="JL67" s="53">
        <f t="shared" si="80"/>
        <v>37.259600000000006</v>
      </c>
      <c r="JM67" s="204">
        <f t="shared" si="117"/>
        <v>2.7499999999999858E-2</v>
      </c>
      <c r="JN67" s="204"/>
      <c r="JP67" s="209">
        <v>57</v>
      </c>
      <c r="JQ67" s="205">
        <v>9350</v>
      </c>
      <c r="JR67" s="161">
        <v>16.285900000000002</v>
      </c>
      <c r="JS67" s="184">
        <v>2.1823999999999999</v>
      </c>
      <c r="JT67" s="184">
        <v>0.83150000000000002</v>
      </c>
      <c r="JU67" s="162">
        <f t="shared" si="81"/>
        <v>0.67857916666666673</v>
      </c>
      <c r="JV67" s="53">
        <f t="shared" si="82"/>
        <v>37.258500000000005</v>
      </c>
      <c r="JW67" s="209">
        <f t="shared" si="118"/>
        <v>2.2100000000001785E-2</v>
      </c>
      <c r="JX67" s="213"/>
      <c r="JY67" s="213"/>
      <c r="JZ67" s="213">
        <v>57</v>
      </c>
      <c r="KA67" s="206">
        <v>9350</v>
      </c>
      <c r="KB67" s="184">
        <v>16.337800000000001</v>
      </c>
      <c r="KC67" s="184">
        <v>2.1892999999999998</v>
      </c>
      <c r="KD67" s="184">
        <v>0.83409999999999995</v>
      </c>
      <c r="KE67" s="162">
        <f t="shared" si="83"/>
        <v>0.68074166666666669</v>
      </c>
      <c r="KF67" s="53">
        <f t="shared" si="84"/>
        <v>37.255900000000004</v>
      </c>
      <c r="KG67" s="213">
        <f t="shared" si="119"/>
        <v>5.1899999999999835E-2</v>
      </c>
      <c r="KI67" s="219"/>
      <c r="KJ67" s="219">
        <v>57</v>
      </c>
      <c r="KK67" s="214">
        <v>9350</v>
      </c>
      <c r="KL67" s="161">
        <v>16.3551</v>
      </c>
      <c r="KM67" s="161">
        <v>2.1916000000000002</v>
      </c>
      <c r="KN67" s="161">
        <v>0.83499999999999996</v>
      </c>
      <c r="KO67" s="162">
        <f t="shared" si="24"/>
        <v>0.68146249999999997</v>
      </c>
      <c r="KP67" s="53">
        <f t="shared" si="85"/>
        <v>37.255000000000003</v>
      </c>
      <c r="KQ67" s="219">
        <f t="shared" si="120"/>
        <v>1.7299999999998761E-2</v>
      </c>
      <c r="KT67" s="223">
        <v>57</v>
      </c>
      <c r="KU67" s="216">
        <v>9350</v>
      </c>
      <c r="KV67" s="161">
        <v>16.3733</v>
      </c>
      <c r="KW67" s="161">
        <v>2.1940999999999997</v>
      </c>
      <c r="KX67" s="161">
        <v>0.83589999999999998</v>
      </c>
      <c r="KY67" s="162">
        <f t="shared" si="86"/>
        <v>0.68222083333333339</v>
      </c>
      <c r="KZ67" s="53">
        <f t="shared" si="87"/>
        <v>37.254100000000001</v>
      </c>
      <c r="LA67" s="223">
        <f t="shared" si="121"/>
        <v>1.8200000000000216E-2</v>
      </c>
      <c r="LD67" s="228">
        <v>57</v>
      </c>
      <c r="LE67" s="221">
        <v>9350</v>
      </c>
      <c r="LF67" s="161">
        <v>16.3886</v>
      </c>
      <c r="LG67" s="161">
        <v>2.1960999999999999</v>
      </c>
      <c r="LH67" s="161">
        <v>0.8367</v>
      </c>
      <c r="LI67" s="162">
        <f t="shared" si="88"/>
        <v>0.68285833333333334</v>
      </c>
      <c r="LJ67" s="53">
        <f t="shared" si="89"/>
        <v>37.253300000000003</v>
      </c>
      <c r="LK67" s="228">
        <f t="shared" si="122"/>
        <v>1.5299999999999869E-2</v>
      </c>
      <c r="LL67" s="231"/>
      <c r="LM67" s="231"/>
      <c r="LN67" s="231">
        <v>57</v>
      </c>
      <c r="LO67" s="226">
        <v>9350</v>
      </c>
      <c r="LP67" s="184">
        <v>16.41</v>
      </c>
      <c r="LQ67" s="184">
        <v>2.1989999999999998</v>
      </c>
      <c r="LR67" s="184">
        <v>0.83779999999999999</v>
      </c>
      <c r="LS67" s="162">
        <f t="shared" si="90"/>
        <v>0.68374999999999997</v>
      </c>
      <c r="LT67" s="53">
        <f t="shared" si="91"/>
        <v>37.252200000000002</v>
      </c>
      <c r="LU67" s="231">
        <f t="shared" si="123"/>
        <v>2.1399999999999864E-2</v>
      </c>
      <c r="LW67" s="231"/>
      <c r="LX67" s="231">
        <v>57</v>
      </c>
      <c r="LY67" s="234">
        <v>9350</v>
      </c>
      <c r="LZ67" s="184">
        <v>16.434000000000001</v>
      </c>
      <c r="MA67" s="184">
        <v>2.2021999999999999</v>
      </c>
      <c r="MB67" s="184">
        <v>0.83899999999999997</v>
      </c>
      <c r="MC67" s="162">
        <f t="shared" si="92"/>
        <v>0.68475000000000008</v>
      </c>
      <c r="MD67" s="53">
        <f t="shared" si="93"/>
        <v>37.251000000000005</v>
      </c>
      <c r="ME67" s="231">
        <f t="shared" si="124"/>
        <v>2.4000000000000909E-2</v>
      </c>
      <c r="MF67" s="231"/>
      <c r="MG67" s="231"/>
      <c r="MH67" s="231">
        <v>57</v>
      </c>
      <c r="MI67" s="236">
        <v>9350</v>
      </c>
      <c r="MJ67" s="184">
        <v>16.457699999999999</v>
      </c>
      <c r="MK67" s="184">
        <v>2.2054</v>
      </c>
      <c r="ML67" s="184">
        <v>0.84030000000000005</v>
      </c>
      <c r="MM67" s="162">
        <f t="shared" si="94"/>
        <v>0.6857375</v>
      </c>
      <c r="MN67" s="53">
        <f t="shared" si="95"/>
        <v>37.249700000000004</v>
      </c>
      <c r="MO67" s="231">
        <f t="shared" si="125"/>
        <v>2.3699999999998056E-2</v>
      </c>
      <c r="MP67" s="231"/>
      <c r="MQ67" s="231"/>
      <c r="MR67" s="231">
        <v>57</v>
      </c>
      <c r="MS67" s="238">
        <v>9350</v>
      </c>
      <c r="MT67" s="184">
        <v>16.5029</v>
      </c>
      <c r="MU67" s="184">
        <v>2.2115</v>
      </c>
      <c r="MV67" s="184">
        <v>0.84260000000000002</v>
      </c>
      <c r="MW67" s="162">
        <f t="shared" si="96"/>
        <v>0.68762083333333335</v>
      </c>
      <c r="MX67" s="53">
        <f t="shared" si="97"/>
        <v>37.247400000000006</v>
      </c>
      <c r="MY67" s="231">
        <f t="shared" si="126"/>
        <v>4.5200000000001239E-2</v>
      </c>
      <c r="MZ67" s="246"/>
      <c r="NA67" s="246"/>
      <c r="NB67" s="246">
        <v>57</v>
      </c>
      <c r="NC67" s="242">
        <v>9350</v>
      </c>
      <c r="ND67" s="184">
        <v>16.549099999999999</v>
      </c>
      <c r="NE67" s="184">
        <v>2.2176</v>
      </c>
      <c r="NF67" s="184">
        <v>0.84489999999999998</v>
      </c>
      <c r="NG67" s="162">
        <f t="shared" si="98"/>
        <v>0.6895458333333333</v>
      </c>
      <c r="NH67" s="53">
        <f t="shared" si="99"/>
        <v>37.245100000000001</v>
      </c>
      <c r="NI67" s="232">
        <f t="shared" si="127"/>
        <v>4.6199999999998909E-2</v>
      </c>
      <c r="NK67" s="250"/>
      <c r="NL67" s="250">
        <v>57</v>
      </c>
      <c r="NM67" s="244">
        <v>9350</v>
      </c>
      <c r="NN67" s="184">
        <v>16.5627</v>
      </c>
      <c r="NO67" s="184">
        <v>2.2195</v>
      </c>
      <c r="NP67" s="184">
        <v>0.84560000000000002</v>
      </c>
      <c r="NQ67" s="162">
        <f t="shared" si="133"/>
        <v>0.69011250000000002</v>
      </c>
      <c r="NR67" s="53">
        <f t="shared" si="101"/>
        <v>37.244400000000006</v>
      </c>
      <c r="NS67" s="232">
        <f t="shared" si="128"/>
        <v>1.3600000000000279E-2</v>
      </c>
      <c r="NU67" s="250"/>
      <c r="NV67" s="250">
        <v>57</v>
      </c>
      <c r="NW67" s="248">
        <v>9350</v>
      </c>
      <c r="NX67" s="184">
        <v>16.584299999999999</v>
      </c>
      <c r="NY67" s="184">
        <v>2.2223999999999999</v>
      </c>
      <c r="NZ67" s="184">
        <v>0.84670000000000001</v>
      </c>
      <c r="OA67" s="162">
        <f t="shared" si="134"/>
        <v>0.69101249999999992</v>
      </c>
      <c r="OB67" s="53">
        <f t="shared" si="103"/>
        <v>37.243300000000005</v>
      </c>
      <c r="OC67" s="232">
        <f t="shared" si="129"/>
        <v>2.1599999999999397E-2</v>
      </c>
      <c r="OE67" s="250"/>
      <c r="OF67" s="250">
        <v>57</v>
      </c>
      <c r="OG67" s="251">
        <v>9350</v>
      </c>
      <c r="OH67" s="184">
        <v>16.595099999999999</v>
      </c>
      <c r="OI67" s="184">
        <v>2.2238000000000002</v>
      </c>
      <c r="OJ67" s="184">
        <v>0.84730000000000005</v>
      </c>
      <c r="OK67" s="162">
        <f t="shared" si="135"/>
        <v>0.69146249999999998</v>
      </c>
      <c r="OL67" s="53">
        <f t="shared" si="105"/>
        <v>37.242700000000006</v>
      </c>
      <c r="OM67" s="232">
        <f t="shared" si="130"/>
        <v>1.0799999999999699E-2</v>
      </c>
      <c r="OP67" s="250">
        <v>57</v>
      </c>
      <c r="OQ67" s="253">
        <v>9350</v>
      </c>
      <c r="OR67" s="184">
        <f>VLOOKUP(OQ67,Sheet4!A9:F85,3,0)</f>
        <v>16.619900000000001</v>
      </c>
      <c r="OS67" s="184">
        <f>VLOOKUP(OQ67,Sheet4!A9:F85,4,0)</f>
        <v>2.2271000000000001</v>
      </c>
      <c r="OT67" s="184">
        <f>VLOOKUP(OQ67,Sheet4!A9:F85,5,0)</f>
        <v>0.84850000000000003</v>
      </c>
      <c r="OU67" s="162">
        <f t="shared" si="106"/>
        <v>0.69249583333333342</v>
      </c>
      <c r="OV67" s="53">
        <f t="shared" si="107"/>
        <v>37.241500000000002</v>
      </c>
      <c r="OW67" s="232">
        <f t="shared" si="131"/>
        <v>2.4800000000002598E-2</v>
      </c>
    </row>
    <row r="68" spans="1:413" ht="15.75" x14ac:dyDescent="0.25">
      <c r="A68">
        <v>60</v>
      </c>
      <c r="B68" s="1">
        <v>9540</v>
      </c>
      <c r="C68" s="1" t="s">
        <v>1</v>
      </c>
      <c r="D68" s="2">
        <v>36.85</v>
      </c>
      <c r="E68" s="8"/>
      <c r="F68" s="8"/>
      <c r="G68" s="8"/>
      <c r="H68" s="8"/>
      <c r="J68" s="15">
        <v>9540</v>
      </c>
      <c r="K68" s="15">
        <v>13.6081</v>
      </c>
      <c r="L68" s="15">
        <v>1.8234999999999999</v>
      </c>
      <c r="M68" s="15">
        <v>0.69479999999999997</v>
      </c>
      <c r="N68" s="24">
        <f t="shared" si="42"/>
        <v>0.56700416666666664</v>
      </c>
      <c r="O68" s="10">
        <f t="shared" si="139"/>
        <v>36.155200000000001</v>
      </c>
      <c r="P68" s="18"/>
      <c r="R68" s="20">
        <v>9540</v>
      </c>
      <c r="S68" s="9">
        <v>13.649800000000001</v>
      </c>
      <c r="T68" s="9">
        <v>1.8290999999999999</v>
      </c>
      <c r="U68" s="9">
        <v>0.69689999999999996</v>
      </c>
      <c r="V68" s="24">
        <f t="shared" si="43"/>
        <v>0.5687416666666667</v>
      </c>
      <c r="W68" s="10">
        <f t="shared" si="140"/>
        <v>36.153100000000002</v>
      </c>
      <c r="X68" s="18"/>
      <c r="Z68" s="27">
        <v>9540</v>
      </c>
      <c r="AA68" s="9">
        <v>13.7523</v>
      </c>
      <c r="AB68" s="9">
        <v>1.8429</v>
      </c>
      <c r="AC68" s="9">
        <v>0.70209999999999995</v>
      </c>
      <c r="AD68" s="24">
        <f t="shared" si="45"/>
        <v>0.57301250000000004</v>
      </c>
      <c r="AE68" s="10">
        <f t="shared" si="46"/>
        <v>36.1479</v>
      </c>
      <c r="AF68" s="79"/>
      <c r="AG68">
        <v>60</v>
      </c>
      <c r="AH68" s="1">
        <v>9540</v>
      </c>
      <c r="AI68" s="1" t="s">
        <v>1</v>
      </c>
      <c r="AJ68" s="2">
        <v>36.85</v>
      </c>
      <c r="AL68" s="32">
        <v>9540</v>
      </c>
      <c r="AM68" s="9">
        <v>13.863200000000001</v>
      </c>
      <c r="AN68" s="9">
        <v>1.8576999999999999</v>
      </c>
      <c r="AO68" s="9">
        <v>0.70779999999999998</v>
      </c>
      <c r="AP68" s="37">
        <f t="shared" si="0"/>
        <v>0.57763333333333333</v>
      </c>
      <c r="AQ68" s="53">
        <f t="shared" si="108"/>
        <v>36.142200000000003</v>
      </c>
      <c r="AT68" s="39"/>
      <c r="AU68" s="38">
        <v>9540</v>
      </c>
      <c r="AV68" s="9">
        <v>13.910299999999999</v>
      </c>
      <c r="AW68" s="43">
        <v>1.8640000000000001</v>
      </c>
      <c r="AX68" s="43">
        <v>0.71020000000000005</v>
      </c>
      <c r="AY68" s="47">
        <f t="shared" si="47"/>
        <v>0.57959583333333331</v>
      </c>
      <c r="AZ68" s="56">
        <f t="shared" si="109"/>
        <v>36.139800000000001</v>
      </c>
      <c r="BD68" s="54">
        <v>9540</v>
      </c>
      <c r="BE68" s="53">
        <v>13.9156</v>
      </c>
      <c r="BF68" s="58">
        <v>1.8647</v>
      </c>
      <c r="BG68" s="58">
        <v>0.71050000000000002</v>
      </c>
      <c r="BH68" s="47">
        <f t="shared" si="48"/>
        <v>0.57981666666666665</v>
      </c>
      <c r="BI68" s="56">
        <f t="shared" si="49"/>
        <v>36.139499999999998</v>
      </c>
      <c r="BJ68" s="88"/>
      <c r="BK68" s="88"/>
      <c r="BL68" s="88"/>
      <c r="BN68" s="9">
        <v>9540</v>
      </c>
      <c r="BO68" s="53">
        <v>13.935499999999999</v>
      </c>
      <c r="BP68" s="53">
        <v>1.8673999999999999</v>
      </c>
      <c r="BQ68" s="53">
        <v>0.71150000000000002</v>
      </c>
      <c r="BR68" s="53">
        <f t="shared" si="50"/>
        <v>0.58064583333333331</v>
      </c>
      <c r="BS68" s="53">
        <f t="shared" si="51"/>
        <v>36.138500000000001</v>
      </c>
      <c r="BV68" s="88"/>
      <c r="BX68" s="93">
        <v>9540</v>
      </c>
      <c r="BY68" s="9">
        <v>13.9747</v>
      </c>
      <c r="BZ68" s="9">
        <v>1.8727</v>
      </c>
      <c r="CA68" s="9">
        <v>0.71350000000000002</v>
      </c>
      <c r="CB68" s="58">
        <f t="shared" si="52"/>
        <v>0.58227916666666668</v>
      </c>
      <c r="CC68" s="53">
        <f t="shared" si="110"/>
        <v>36.136499999999998</v>
      </c>
      <c r="CF68" s="88"/>
      <c r="CG68">
        <v>58</v>
      </c>
      <c r="CH68" s="93">
        <v>9540</v>
      </c>
      <c r="CI68" s="93">
        <v>14.0084</v>
      </c>
      <c r="CJ68" s="9">
        <v>1.8772</v>
      </c>
      <c r="CK68" s="9">
        <v>0.71519999999999995</v>
      </c>
      <c r="CL68" s="47">
        <f t="shared" si="5"/>
        <v>0.58368333333333333</v>
      </c>
      <c r="CM68" s="53">
        <f t="shared" si="53"/>
        <v>36.134799999999998</v>
      </c>
      <c r="CQ68">
        <v>58</v>
      </c>
      <c r="CR68" s="98">
        <v>9540</v>
      </c>
      <c r="CS68" s="101">
        <v>14.050800000000001</v>
      </c>
      <c r="CT68" s="101">
        <v>1.8829</v>
      </c>
      <c r="CU68" s="101">
        <v>0.71740000000000004</v>
      </c>
      <c r="CV68" s="47">
        <f t="shared" si="6"/>
        <v>0.58545000000000003</v>
      </c>
      <c r="CW68" s="53">
        <f t="shared" si="141"/>
        <v>36.132600000000004</v>
      </c>
      <c r="DA68">
        <v>58</v>
      </c>
      <c r="DB68" s="106">
        <v>9540</v>
      </c>
      <c r="DC68" s="107">
        <v>14.055</v>
      </c>
      <c r="DD68" s="107">
        <v>1.8834</v>
      </c>
      <c r="DE68" s="107">
        <v>0.71760000000000002</v>
      </c>
      <c r="DF68" s="47">
        <f t="shared" si="136"/>
        <v>0.58562499999999995</v>
      </c>
      <c r="DG68" s="53">
        <f t="shared" si="111"/>
        <v>36.132400000000004</v>
      </c>
      <c r="DK68">
        <v>58</v>
      </c>
      <c r="DL68" s="110">
        <v>9540</v>
      </c>
      <c r="DM68" s="53">
        <v>14.103300000000001</v>
      </c>
      <c r="DN68" s="53">
        <v>1.8898999999999999</v>
      </c>
      <c r="DO68" s="53">
        <v>0.72009999999999996</v>
      </c>
      <c r="DP68" s="47">
        <f t="shared" si="137"/>
        <v>0.58763750000000003</v>
      </c>
      <c r="DQ68" s="53">
        <f t="shared" si="54"/>
        <v>36.129899999999999</v>
      </c>
      <c r="DS68" s="3">
        <f t="shared" si="55"/>
        <v>4.830000000000112E-2</v>
      </c>
      <c r="DU68">
        <v>58</v>
      </c>
      <c r="DV68" s="115">
        <v>9540</v>
      </c>
      <c r="DW68" s="53">
        <f>Sheet3!B$22</f>
        <v>14.1334</v>
      </c>
      <c r="DX68" s="53">
        <f>Sheet3!C$22</f>
        <v>1.8938999999999999</v>
      </c>
      <c r="DY68" s="53">
        <f>Sheet3!D$22</f>
        <v>0.72160000000000002</v>
      </c>
      <c r="DZ68" s="47">
        <f t="shared" si="138"/>
        <v>0.5888916666666667</v>
      </c>
      <c r="EA68" s="53">
        <f t="shared" si="112"/>
        <v>36.128399999999999</v>
      </c>
      <c r="EB68" s="3"/>
      <c r="EE68">
        <v>58</v>
      </c>
      <c r="EF68" s="118">
        <v>9540</v>
      </c>
      <c r="EG68" s="9">
        <v>14.1805</v>
      </c>
      <c r="EH68" s="9">
        <v>1.9001999999999999</v>
      </c>
      <c r="EI68" s="9">
        <v>0.72399999999999998</v>
      </c>
      <c r="EJ68" s="47">
        <f t="shared" si="10"/>
        <v>0.59085416666666668</v>
      </c>
      <c r="EK68" s="53">
        <f t="shared" si="56"/>
        <v>36.126000000000005</v>
      </c>
      <c r="EM68" s="3">
        <f t="shared" si="57"/>
        <v>-2.3999999999944066E-3</v>
      </c>
      <c r="EN68" s="3"/>
      <c r="EO68">
        <v>58</v>
      </c>
      <c r="EP68" s="121">
        <v>9540</v>
      </c>
      <c r="EQ68" s="122">
        <v>14.274100000000001</v>
      </c>
      <c r="ER68" s="122">
        <v>1.9128000000000001</v>
      </c>
      <c r="ES68" s="129">
        <v>0.7288</v>
      </c>
      <c r="ET68" s="130">
        <f t="shared" si="11"/>
        <v>0.59475416666666669</v>
      </c>
      <c r="EU68" s="131">
        <f t="shared" si="58"/>
        <v>36.121200000000002</v>
      </c>
      <c r="EX68" s="3"/>
      <c r="EY68">
        <v>58</v>
      </c>
      <c r="EZ68" s="135">
        <v>9540</v>
      </c>
      <c r="FA68" s="135">
        <v>14.318199999999999</v>
      </c>
      <c r="FB68" s="135">
        <v>1.9187000000000001</v>
      </c>
      <c r="FC68" s="135">
        <v>0.73099999999999998</v>
      </c>
      <c r="FD68" s="136">
        <f t="shared" si="12"/>
        <v>0.59659166666666663</v>
      </c>
      <c r="FE68" s="131">
        <f t="shared" si="59"/>
        <v>36.119</v>
      </c>
      <c r="FG68" s="123">
        <f t="shared" si="60"/>
        <v>-2.2000000000019782E-3</v>
      </c>
      <c r="FH68" s="3"/>
      <c r="FI68">
        <v>58</v>
      </c>
      <c r="FJ68" s="145">
        <v>9540</v>
      </c>
      <c r="FK68" s="9">
        <v>14.377000000000001</v>
      </c>
      <c r="FL68" s="9">
        <v>1.9266000000000001</v>
      </c>
      <c r="FM68" s="9">
        <v>0.73399999999999999</v>
      </c>
      <c r="FN68" s="146">
        <f t="shared" si="113"/>
        <v>0.59904166666666669</v>
      </c>
      <c r="FO68" s="131">
        <f t="shared" si="61"/>
        <v>36.116</v>
      </c>
      <c r="FP68" s="123">
        <f t="shared" si="62"/>
        <v>-3.0000000000001137E-3</v>
      </c>
      <c r="FS68">
        <v>58</v>
      </c>
      <c r="FT68" s="147">
        <v>9540</v>
      </c>
      <c r="FU68" s="148">
        <v>14.389099999999999</v>
      </c>
      <c r="FV68" s="148">
        <v>1.9281999999999999</v>
      </c>
      <c r="FW68" s="148">
        <v>0.73460000000000003</v>
      </c>
      <c r="FX68" s="150">
        <f t="shared" si="114"/>
        <v>0.59954583333333333</v>
      </c>
      <c r="FY68" s="131">
        <f t="shared" si="115"/>
        <v>36.115400000000001</v>
      </c>
      <c r="FZ68">
        <f t="shared" si="63"/>
        <v>1.2099999999998445E-2</v>
      </c>
      <c r="GC68">
        <v>58</v>
      </c>
      <c r="GD68" s="151">
        <v>9540</v>
      </c>
      <c r="GE68" s="151">
        <v>14.419</v>
      </c>
      <c r="GF68" s="151">
        <v>1.9321999999999999</v>
      </c>
      <c r="GG68" s="151">
        <v>0.73619999999999997</v>
      </c>
      <c r="GH68" s="153">
        <f t="shared" si="132"/>
        <v>0.60079166666666672</v>
      </c>
      <c r="GI68" s="131">
        <f t="shared" si="64"/>
        <v>36.113800000000005</v>
      </c>
      <c r="GJ68">
        <f t="shared" si="142"/>
        <v>2.990000000000137E-2</v>
      </c>
      <c r="GM68">
        <v>58</v>
      </c>
      <c r="GN68" s="155">
        <v>9540</v>
      </c>
      <c r="GO68" s="155">
        <v>14.4824</v>
      </c>
      <c r="GP68" s="155">
        <v>1.9407000000000001</v>
      </c>
      <c r="GQ68" s="155">
        <v>0.73939999999999995</v>
      </c>
      <c r="GR68" s="58">
        <f t="shared" si="65"/>
        <v>0.60343333333333338</v>
      </c>
      <c r="GS68" s="131">
        <f t="shared" si="66"/>
        <v>36.110599999999998</v>
      </c>
      <c r="GT68">
        <f t="shared" si="143"/>
        <v>6.3399999999999679E-2</v>
      </c>
      <c r="GW68">
        <v>58</v>
      </c>
      <c r="GX68" s="157">
        <v>9540</v>
      </c>
      <c r="GY68" s="161">
        <f>VLOOKUP(GX68,Sheet3!$AJ$7:$AN$83,2,0)</f>
        <v>14.562900000000001</v>
      </c>
      <c r="GZ68" s="161">
        <f>VLOOKUP(GX68,Sheet3!$AJ$7:$AN$83,3,0)</f>
        <v>1.9515</v>
      </c>
      <c r="HA68" s="161">
        <f>VLOOKUP(GX68,Sheet3!$AJ$7:$AN$83,4,0)</f>
        <v>0.74350000000000005</v>
      </c>
      <c r="HB68" s="162">
        <f t="shared" si="17"/>
        <v>0.60678750000000004</v>
      </c>
      <c r="HC68" s="131">
        <f t="shared" si="116"/>
        <v>36.106500000000004</v>
      </c>
      <c r="HD68" s="159">
        <f t="shared" si="144"/>
        <v>8.0500000000000682E-2</v>
      </c>
      <c r="HE68" s="159">
        <f t="shared" si="145"/>
        <v>4.1000000000001036E-3</v>
      </c>
      <c r="HG68" s="159"/>
      <c r="HH68" s="159">
        <v>58</v>
      </c>
      <c r="HI68" s="158">
        <v>9540</v>
      </c>
      <c r="HJ68" s="161">
        <v>14.5954</v>
      </c>
      <c r="HK68" s="161">
        <v>1.9558</v>
      </c>
      <c r="HL68" s="161">
        <v>0.74519999999999997</v>
      </c>
      <c r="HM68" s="162">
        <f t="shared" si="18"/>
        <v>0.60814166666666669</v>
      </c>
      <c r="HN68" s="131">
        <f t="shared" si="67"/>
        <v>36.104800000000004</v>
      </c>
      <c r="HO68" s="159">
        <f t="shared" si="68"/>
        <v>3.2499999999998863E-2</v>
      </c>
      <c r="HQ68" s="183"/>
      <c r="HR68" s="183">
        <v>58</v>
      </c>
      <c r="HS68" s="178">
        <v>9540</v>
      </c>
      <c r="HT68" s="184">
        <v>14.6166</v>
      </c>
      <c r="HU68" s="184">
        <v>1.9587000000000001</v>
      </c>
      <c r="HV68" s="184">
        <v>0.74629999999999996</v>
      </c>
      <c r="HW68" s="171">
        <f t="shared" si="19"/>
        <v>0.60902500000000004</v>
      </c>
      <c r="HX68" s="53">
        <f t="shared" si="69"/>
        <v>36.103700000000003</v>
      </c>
      <c r="HY68" s="183">
        <f t="shared" si="70"/>
        <v>2.120000000000033E-2</v>
      </c>
      <c r="IA68" s="194"/>
      <c r="IB68" s="194">
        <v>58</v>
      </c>
      <c r="IC68" s="193">
        <v>9540</v>
      </c>
      <c r="ID68" s="161">
        <v>14.6258</v>
      </c>
      <c r="IE68" s="184">
        <v>1.9599</v>
      </c>
      <c r="IF68" s="184">
        <v>0.74670000000000003</v>
      </c>
      <c r="IG68" s="171">
        <f t="shared" si="71"/>
        <v>0.60940833333333333</v>
      </c>
      <c r="IH68" s="53">
        <f t="shared" si="72"/>
        <v>36.103300000000004</v>
      </c>
      <c r="II68" s="194">
        <f t="shared" si="73"/>
        <v>9.1999999999998749E-3</v>
      </c>
      <c r="IL68" s="199">
        <v>58</v>
      </c>
      <c r="IM68" s="197">
        <v>9540</v>
      </c>
      <c r="IN68" s="161">
        <v>14.673999999999999</v>
      </c>
      <c r="IO68" s="184">
        <v>1.9663999999999999</v>
      </c>
      <c r="IP68" s="184">
        <v>0.74919999999999998</v>
      </c>
      <c r="IQ68" s="171">
        <f t="shared" si="74"/>
        <v>0.61141666666666661</v>
      </c>
      <c r="IR68" s="53">
        <f t="shared" si="75"/>
        <v>36.1008</v>
      </c>
      <c r="IS68" s="199">
        <f t="shared" si="76"/>
        <v>4.8199999999999577E-2</v>
      </c>
      <c r="IU68" s="202"/>
      <c r="IV68" s="202">
        <v>58</v>
      </c>
      <c r="IW68" s="201">
        <v>9540</v>
      </c>
      <c r="IX68" s="184">
        <v>14.739100000000001</v>
      </c>
      <c r="IY68" s="184">
        <v>1.9751000000000001</v>
      </c>
      <c r="IZ68" s="184">
        <v>0.75249999999999995</v>
      </c>
      <c r="JA68" s="162">
        <f t="shared" si="22"/>
        <v>0.61412916666666673</v>
      </c>
      <c r="JB68" s="53">
        <f t="shared" si="77"/>
        <v>36.097500000000004</v>
      </c>
      <c r="JC68" s="202">
        <f t="shared" si="78"/>
        <v>6.5100000000001046E-2</v>
      </c>
      <c r="JE68" s="204"/>
      <c r="JF68" s="204">
        <v>58</v>
      </c>
      <c r="JG68" s="203">
        <v>9540</v>
      </c>
      <c r="JH68" s="161">
        <v>14.7598</v>
      </c>
      <c r="JI68" s="184">
        <v>1.9779</v>
      </c>
      <c r="JJ68" s="184">
        <v>0.75360000000000005</v>
      </c>
      <c r="JK68" s="162">
        <f t="shared" si="79"/>
        <v>0.61499166666666671</v>
      </c>
      <c r="JL68" s="53">
        <f t="shared" si="80"/>
        <v>36.096400000000003</v>
      </c>
      <c r="JM68" s="204">
        <f t="shared" si="117"/>
        <v>2.0699999999999719E-2</v>
      </c>
      <c r="JN68" s="204"/>
      <c r="JP68" s="209">
        <v>58</v>
      </c>
      <c r="JQ68" s="205">
        <v>9540</v>
      </c>
      <c r="JR68" s="161">
        <v>14.776400000000001</v>
      </c>
      <c r="JS68" s="184">
        <v>1.9801</v>
      </c>
      <c r="JT68" s="184">
        <v>0.75439999999999996</v>
      </c>
      <c r="JU68" s="162">
        <f t="shared" si="81"/>
        <v>0.61568333333333336</v>
      </c>
      <c r="JV68" s="53">
        <f t="shared" si="82"/>
        <v>36.095600000000005</v>
      </c>
      <c r="JW68" s="209">
        <f t="shared" si="118"/>
        <v>1.6600000000000392E-2</v>
      </c>
      <c r="JX68" s="213"/>
      <c r="JY68" s="213"/>
      <c r="JZ68" s="213">
        <v>58</v>
      </c>
      <c r="KA68" s="206">
        <v>9540</v>
      </c>
      <c r="KB68" s="184">
        <v>14.8154</v>
      </c>
      <c r="KC68" s="184">
        <v>1.9853000000000001</v>
      </c>
      <c r="KD68" s="184">
        <v>0.75639999999999996</v>
      </c>
      <c r="KE68" s="162">
        <f t="shared" si="83"/>
        <v>0.61730833333333335</v>
      </c>
      <c r="KF68" s="53">
        <f t="shared" si="84"/>
        <v>36.093600000000002</v>
      </c>
      <c r="KG68" s="213">
        <f t="shared" si="119"/>
        <v>3.8999999999999702E-2</v>
      </c>
      <c r="KI68" s="219"/>
      <c r="KJ68" s="219">
        <v>58</v>
      </c>
      <c r="KK68" s="214">
        <v>9540</v>
      </c>
      <c r="KL68" s="161">
        <v>14.8284</v>
      </c>
      <c r="KM68" s="161">
        <v>1.9871000000000001</v>
      </c>
      <c r="KN68" s="161">
        <v>0.7571</v>
      </c>
      <c r="KO68" s="162">
        <f t="shared" si="24"/>
        <v>0.61785000000000001</v>
      </c>
      <c r="KP68" s="53">
        <f t="shared" si="85"/>
        <v>36.0929</v>
      </c>
      <c r="KQ68" s="219">
        <f t="shared" si="120"/>
        <v>1.2999999999999901E-2</v>
      </c>
      <c r="KT68" s="223">
        <v>58</v>
      </c>
      <c r="KU68" s="216">
        <v>9540</v>
      </c>
      <c r="KV68" s="161">
        <v>14.842099999999999</v>
      </c>
      <c r="KW68" s="161">
        <v>1.9888999999999999</v>
      </c>
      <c r="KX68" s="161">
        <v>0.75780000000000003</v>
      </c>
      <c r="KY68" s="162">
        <f t="shared" si="86"/>
        <v>0.61842083333333331</v>
      </c>
      <c r="KZ68" s="53">
        <f t="shared" si="87"/>
        <v>36.092199999999998</v>
      </c>
      <c r="LA68" s="223">
        <f t="shared" si="121"/>
        <v>1.3699999999998269E-2</v>
      </c>
      <c r="LD68" s="228">
        <v>58</v>
      </c>
      <c r="LE68" s="221">
        <v>9540</v>
      </c>
      <c r="LF68" s="161">
        <v>14.8536</v>
      </c>
      <c r="LG68" s="161">
        <v>1.9903999999999999</v>
      </c>
      <c r="LH68" s="161">
        <v>0.75839999999999996</v>
      </c>
      <c r="LI68" s="162">
        <f t="shared" si="88"/>
        <v>0.61890000000000001</v>
      </c>
      <c r="LJ68" s="53">
        <f t="shared" si="89"/>
        <v>36.0916</v>
      </c>
      <c r="LK68" s="228">
        <f t="shared" si="122"/>
        <v>1.150000000000162E-2</v>
      </c>
      <c r="LL68" s="231"/>
      <c r="LM68" s="231"/>
      <c r="LN68" s="231">
        <v>58</v>
      </c>
      <c r="LO68" s="226">
        <v>9540</v>
      </c>
      <c r="LP68" s="184">
        <v>14.8697</v>
      </c>
      <c r="LQ68" s="184">
        <v>1.9925999999999999</v>
      </c>
      <c r="LR68" s="184">
        <v>0.75919999999999999</v>
      </c>
      <c r="LS68" s="162">
        <f t="shared" si="90"/>
        <v>0.61957083333333329</v>
      </c>
      <c r="LT68" s="53">
        <f t="shared" si="91"/>
        <v>36.090800000000002</v>
      </c>
      <c r="LU68" s="231">
        <f t="shared" si="123"/>
        <v>1.6099999999999781E-2</v>
      </c>
      <c r="LW68" s="231"/>
      <c r="LX68" s="231">
        <v>58</v>
      </c>
      <c r="LY68" s="234">
        <v>9540</v>
      </c>
      <c r="LZ68" s="184">
        <v>14.8878</v>
      </c>
      <c r="MA68" s="184">
        <v>1.9950000000000001</v>
      </c>
      <c r="MB68" s="184">
        <v>0.7601</v>
      </c>
      <c r="MC68" s="162">
        <f t="shared" si="92"/>
        <v>0.62032500000000002</v>
      </c>
      <c r="MD68" s="53">
        <f t="shared" si="93"/>
        <v>36.0899</v>
      </c>
      <c r="ME68" s="231">
        <f t="shared" si="124"/>
        <v>1.8100000000000449E-2</v>
      </c>
      <c r="MF68" s="231"/>
      <c r="MG68" s="231"/>
      <c r="MH68" s="231">
        <v>58</v>
      </c>
      <c r="MI68" s="236">
        <v>9540</v>
      </c>
      <c r="MJ68" s="184">
        <v>14.9056</v>
      </c>
      <c r="MK68" s="184">
        <v>1.9974000000000001</v>
      </c>
      <c r="ML68" s="184">
        <v>0.76100000000000001</v>
      </c>
      <c r="MM68" s="162">
        <f t="shared" si="94"/>
        <v>0.62106666666666666</v>
      </c>
      <c r="MN68" s="53">
        <f t="shared" si="95"/>
        <v>36.088999999999999</v>
      </c>
      <c r="MO68" s="231">
        <f t="shared" si="125"/>
        <v>1.7799999999999372E-2</v>
      </c>
      <c r="MP68" s="231"/>
      <c r="MQ68" s="231"/>
      <c r="MR68" s="231">
        <v>58</v>
      </c>
      <c r="MS68" s="238">
        <v>9540</v>
      </c>
      <c r="MT68" s="184">
        <v>14.9396</v>
      </c>
      <c r="MU68" s="184">
        <v>2.0019999999999998</v>
      </c>
      <c r="MV68" s="184">
        <v>0.76270000000000004</v>
      </c>
      <c r="MW68" s="162">
        <f t="shared" si="96"/>
        <v>0.62248333333333339</v>
      </c>
      <c r="MX68" s="53">
        <f t="shared" si="97"/>
        <v>36.087299999999999</v>
      </c>
      <c r="MY68" s="231">
        <f t="shared" si="126"/>
        <v>3.4000000000000696E-2</v>
      </c>
      <c r="MZ68" s="246"/>
      <c r="NA68" s="246"/>
      <c r="NB68" s="246">
        <v>58</v>
      </c>
      <c r="NC68" s="242">
        <v>9540</v>
      </c>
      <c r="ND68" s="184">
        <v>14.974299999999999</v>
      </c>
      <c r="NE68" s="184">
        <v>2.0066000000000002</v>
      </c>
      <c r="NF68" s="184">
        <v>0.76449999999999996</v>
      </c>
      <c r="NG68" s="162">
        <f t="shared" si="98"/>
        <v>0.62392916666666665</v>
      </c>
      <c r="NH68" s="53">
        <f t="shared" si="99"/>
        <v>36.085500000000003</v>
      </c>
      <c r="NI68" s="232">
        <f t="shared" si="127"/>
        <v>3.4699999999999065E-2</v>
      </c>
      <c r="NK68" s="250"/>
      <c r="NL68" s="250">
        <v>58</v>
      </c>
      <c r="NM68" s="244">
        <v>9540</v>
      </c>
      <c r="NN68" s="184">
        <v>14.984500000000001</v>
      </c>
      <c r="NO68" s="184">
        <v>2.008</v>
      </c>
      <c r="NP68" s="184">
        <v>0.76500000000000001</v>
      </c>
      <c r="NQ68" s="162">
        <f t="shared" si="133"/>
        <v>0.62435416666666665</v>
      </c>
      <c r="NR68" s="53">
        <f t="shared" si="101"/>
        <v>36.085000000000001</v>
      </c>
      <c r="NS68" s="232">
        <f t="shared" si="128"/>
        <v>1.0200000000001097E-2</v>
      </c>
      <c r="NU68" s="250"/>
      <c r="NV68" s="250">
        <v>58</v>
      </c>
      <c r="NW68" s="248">
        <v>9540</v>
      </c>
      <c r="NX68" s="184">
        <v>15.0007</v>
      </c>
      <c r="NY68" s="184">
        <v>2.0102000000000002</v>
      </c>
      <c r="NZ68" s="184">
        <v>0.76590000000000003</v>
      </c>
      <c r="OA68" s="162">
        <f t="shared" si="134"/>
        <v>0.62502916666666664</v>
      </c>
      <c r="OB68" s="53">
        <f t="shared" si="103"/>
        <v>36.084099999999999</v>
      </c>
      <c r="OC68" s="232">
        <f t="shared" si="129"/>
        <v>1.6199999999999548E-2</v>
      </c>
      <c r="OE68" s="250"/>
      <c r="OF68" s="250">
        <v>58</v>
      </c>
      <c r="OG68" s="251">
        <v>9540</v>
      </c>
      <c r="OH68" s="184">
        <v>15.008800000000001</v>
      </c>
      <c r="OI68" s="184">
        <v>2.0112000000000001</v>
      </c>
      <c r="OJ68" s="184">
        <v>0.76629999999999998</v>
      </c>
      <c r="OK68" s="162">
        <f t="shared" si="135"/>
        <v>0.62536666666666674</v>
      </c>
      <c r="OL68" s="53">
        <f t="shared" si="105"/>
        <v>36.0837</v>
      </c>
      <c r="OM68" s="232">
        <f t="shared" si="130"/>
        <v>8.1000000000006622E-3</v>
      </c>
      <c r="OP68" s="250">
        <v>58</v>
      </c>
      <c r="OQ68" s="253">
        <v>9540</v>
      </c>
      <c r="OR68" s="184">
        <f>VLOOKUP(OQ68,Sheet4!A10:F86,3,0)</f>
        <v>15.0274</v>
      </c>
      <c r="OS68" s="184">
        <f>VLOOKUP(OQ68,Sheet4!A10:F86,4,0)</f>
        <v>2.0137</v>
      </c>
      <c r="OT68" s="184">
        <f>VLOOKUP(OQ68,Sheet4!A10:F86,5,0)</f>
        <v>0.76719999999999999</v>
      </c>
      <c r="OU68" s="162">
        <f t="shared" si="106"/>
        <v>0.62614166666666671</v>
      </c>
      <c r="OV68" s="53">
        <f t="shared" si="107"/>
        <v>36.082799999999999</v>
      </c>
      <c r="OW68" s="232">
        <f t="shared" si="131"/>
        <v>1.8599999999999284E-2</v>
      </c>
    </row>
    <row r="69" spans="1:413" ht="15.75" x14ac:dyDescent="0.25">
      <c r="A69">
        <v>61</v>
      </c>
      <c r="B69" s="1">
        <v>9876</v>
      </c>
      <c r="C69" s="1" t="s">
        <v>1</v>
      </c>
      <c r="D69" s="2">
        <v>37</v>
      </c>
      <c r="E69" s="8"/>
      <c r="F69" s="8"/>
      <c r="G69" s="8"/>
      <c r="H69" s="8"/>
      <c r="J69" s="15">
        <v>9876</v>
      </c>
      <c r="K69" s="15">
        <v>5.9961000000000002</v>
      </c>
      <c r="L69" s="15">
        <v>0.80349999999999999</v>
      </c>
      <c r="M69" s="15">
        <v>0.30609999999999998</v>
      </c>
      <c r="N69" s="24">
        <f t="shared" si="42"/>
        <v>0.24983750000000002</v>
      </c>
      <c r="O69" s="10">
        <f t="shared" si="139"/>
        <v>36.693899999999999</v>
      </c>
      <c r="P69" s="18"/>
      <c r="R69" s="20">
        <v>9876</v>
      </c>
      <c r="S69" s="9">
        <v>6.0377999999999998</v>
      </c>
      <c r="T69" s="9">
        <v>0.80910000000000004</v>
      </c>
      <c r="U69" s="9">
        <v>0.30830000000000002</v>
      </c>
      <c r="V69" s="24">
        <f t="shared" si="43"/>
        <v>0.25157499999999999</v>
      </c>
      <c r="W69" s="10">
        <f t="shared" si="140"/>
        <v>36.691699999999997</v>
      </c>
      <c r="X69" s="18"/>
      <c r="Z69" s="27">
        <v>9876</v>
      </c>
      <c r="AA69" s="9">
        <v>6.1402999999999999</v>
      </c>
      <c r="AB69" s="9">
        <v>0.82279999999999998</v>
      </c>
      <c r="AC69" s="9">
        <v>0.3135</v>
      </c>
      <c r="AD69" s="24">
        <f t="shared" si="45"/>
        <v>0.25584583333333333</v>
      </c>
      <c r="AE69" s="10">
        <f t="shared" si="46"/>
        <v>36.686500000000002</v>
      </c>
      <c r="AF69" s="79"/>
      <c r="AG69">
        <v>61</v>
      </c>
      <c r="AH69" s="1">
        <v>9876</v>
      </c>
      <c r="AI69" s="1" t="s">
        <v>1</v>
      </c>
      <c r="AJ69" s="2">
        <v>37</v>
      </c>
      <c r="AL69" s="32">
        <v>9876</v>
      </c>
      <c r="AM69" s="9">
        <v>6.2511999999999999</v>
      </c>
      <c r="AN69" s="9">
        <v>0.8377</v>
      </c>
      <c r="AO69" s="9">
        <v>0.31919999999999998</v>
      </c>
      <c r="AP69" s="37">
        <f t="shared" si="0"/>
        <v>0.26046666666666668</v>
      </c>
      <c r="AQ69" s="53">
        <f t="shared" si="108"/>
        <v>36.680799999999998</v>
      </c>
      <c r="AT69" s="39"/>
      <c r="AU69" s="38">
        <v>9876</v>
      </c>
      <c r="AV69" s="9">
        <v>6.2983000000000002</v>
      </c>
      <c r="AW69" s="43">
        <v>0.84399999999999997</v>
      </c>
      <c r="AX69" s="43">
        <v>0.3216</v>
      </c>
      <c r="AY69" s="47">
        <f t="shared" si="47"/>
        <v>0.26242916666666666</v>
      </c>
      <c r="AZ69" s="56">
        <f t="shared" si="109"/>
        <v>36.678400000000003</v>
      </c>
      <c r="BD69" s="54">
        <v>9876</v>
      </c>
      <c r="BE69" s="53">
        <v>6.3036000000000003</v>
      </c>
      <c r="BF69" s="58">
        <v>0.84470000000000001</v>
      </c>
      <c r="BG69" s="58">
        <v>0.32179999999999997</v>
      </c>
      <c r="BH69" s="47">
        <f t="shared" si="48"/>
        <v>0.26264999999999999</v>
      </c>
      <c r="BI69" s="56">
        <f t="shared" si="49"/>
        <v>36.678199999999997</v>
      </c>
      <c r="BJ69" s="88"/>
      <c r="BK69" s="88"/>
      <c r="BL69" s="88"/>
      <c r="BN69" s="9">
        <v>9876</v>
      </c>
      <c r="BO69" s="53">
        <v>6.3235000000000001</v>
      </c>
      <c r="BP69" s="53">
        <v>0.84740000000000004</v>
      </c>
      <c r="BQ69" s="53">
        <v>0.32279999999999998</v>
      </c>
      <c r="BR69" s="53">
        <f t="shared" si="50"/>
        <v>0.26347916666666665</v>
      </c>
      <c r="BS69" s="53">
        <f t="shared" si="51"/>
        <v>36.677199999999999</v>
      </c>
      <c r="BV69" s="88"/>
      <c r="BX69" s="93">
        <v>9876</v>
      </c>
      <c r="BY69" s="9">
        <v>6.3627000000000002</v>
      </c>
      <c r="BZ69" s="9">
        <v>0.85260000000000002</v>
      </c>
      <c r="CA69" s="9">
        <v>0.32490000000000002</v>
      </c>
      <c r="CB69" s="58">
        <f t="shared" si="52"/>
        <v>0.26511250000000003</v>
      </c>
      <c r="CC69" s="53">
        <f t="shared" si="110"/>
        <v>36.6751</v>
      </c>
      <c r="CF69" s="88"/>
      <c r="CG69">
        <v>59</v>
      </c>
      <c r="CH69" s="93">
        <v>9876</v>
      </c>
      <c r="CI69" s="93">
        <v>6.3963999999999999</v>
      </c>
      <c r="CJ69" s="9">
        <v>0.85709999999999997</v>
      </c>
      <c r="CK69" s="9">
        <v>0.3266</v>
      </c>
      <c r="CL69" s="47">
        <f t="shared" si="5"/>
        <v>0.26651666666666668</v>
      </c>
      <c r="CM69" s="53">
        <f t="shared" si="53"/>
        <v>36.673400000000001</v>
      </c>
      <c r="CQ69">
        <v>59</v>
      </c>
      <c r="CR69" s="98">
        <v>9876</v>
      </c>
      <c r="CS69" s="101">
        <v>6.4387999999999996</v>
      </c>
      <c r="CT69" s="101">
        <v>0.86280000000000001</v>
      </c>
      <c r="CU69" s="101">
        <v>0.32869999999999999</v>
      </c>
      <c r="CV69" s="47">
        <f t="shared" si="6"/>
        <v>0.26828333333333332</v>
      </c>
      <c r="CW69" s="53">
        <f t="shared" si="141"/>
        <v>36.671300000000002</v>
      </c>
      <c r="DA69">
        <v>59</v>
      </c>
      <c r="DB69" s="106">
        <v>9876</v>
      </c>
      <c r="DC69" s="107">
        <v>6.4429999999999996</v>
      </c>
      <c r="DD69" s="107">
        <v>0.86339999999999995</v>
      </c>
      <c r="DE69" s="107">
        <v>0.32900000000000001</v>
      </c>
      <c r="DF69" s="47">
        <f t="shared" si="136"/>
        <v>0.2684583333333333</v>
      </c>
      <c r="DG69" s="53">
        <f t="shared" si="111"/>
        <v>36.670999999999999</v>
      </c>
      <c r="DK69">
        <v>59</v>
      </c>
      <c r="DL69" s="110">
        <v>9876</v>
      </c>
      <c r="DM69" s="53">
        <v>6.4912999999999998</v>
      </c>
      <c r="DN69" s="53">
        <v>0.86990000000000001</v>
      </c>
      <c r="DO69" s="53">
        <v>0.33139999999999997</v>
      </c>
      <c r="DP69" s="47">
        <f t="shared" si="137"/>
        <v>0.27047083333333333</v>
      </c>
      <c r="DQ69" s="53">
        <f t="shared" si="54"/>
        <v>36.668599999999998</v>
      </c>
      <c r="DS69" s="3">
        <f t="shared" si="55"/>
        <v>4.8300000000000232E-2</v>
      </c>
      <c r="DU69">
        <v>59</v>
      </c>
      <c r="DV69" s="115">
        <v>9876</v>
      </c>
      <c r="DW69" s="53">
        <f>Sheet3!B$47</f>
        <v>6.5213999999999999</v>
      </c>
      <c r="DX69" s="53">
        <f>Sheet3!C$47</f>
        <v>0.87390000000000001</v>
      </c>
      <c r="DY69" s="53">
        <f>Sheet3!D$47</f>
        <v>0.33300000000000002</v>
      </c>
      <c r="DZ69" s="47">
        <f t="shared" si="138"/>
        <v>0.27172499999999999</v>
      </c>
      <c r="EA69" s="53">
        <f t="shared" si="112"/>
        <v>36.667000000000002</v>
      </c>
      <c r="EB69" s="3"/>
      <c r="EE69">
        <v>59</v>
      </c>
      <c r="EF69" s="118">
        <v>9876</v>
      </c>
      <c r="EG69" s="9">
        <v>6.5685000000000002</v>
      </c>
      <c r="EH69" s="9">
        <v>0.88019999999999998</v>
      </c>
      <c r="EI69" s="9">
        <v>0.33539999999999998</v>
      </c>
      <c r="EJ69" s="47">
        <f t="shared" si="10"/>
        <v>0.27368750000000003</v>
      </c>
      <c r="EK69" s="53">
        <f t="shared" si="56"/>
        <v>36.6646</v>
      </c>
      <c r="EM69" s="3">
        <f t="shared" si="57"/>
        <v>-2.400000000001512E-3</v>
      </c>
      <c r="EN69" s="3"/>
      <c r="EO69">
        <v>59</v>
      </c>
      <c r="EP69" s="121">
        <v>9876</v>
      </c>
      <c r="EQ69" s="122">
        <v>6.6620999999999997</v>
      </c>
      <c r="ER69" s="122">
        <v>0.89270000000000005</v>
      </c>
      <c r="ES69" s="129">
        <v>0.34010000000000001</v>
      </c>
      <c r="ET69" s="130">
        <f t="shared" si="11"/>
        <v>0.27758749999999999</v>
      </c>
      <c r="EU69" s="131">
        <f t="shared" si="58"/>
        <v>36.6599</v>
      </c>
      <c r="EX69" s="3"/>
      <c r="EY69">
        <v>59</v>
      </c>
      <c r="EZ69" s="135">
        <v>9876</v>
      </c>
      <c r="FA69" s="135">
        <v>6.7061999999999999</v>
      </c>
      <c r="FB69" s="135">
        <v>0.89870000000000005</v>
      </c>
      <c r="FC69" s="135">
        <v>0.34239999999999998</v>
      </c>
      <c r="FD69" s="136">
        <f t="shared" si="12"/>
        <v>0.27942499999999998</v>
      </c>
      <c r="FE69" s="131">
        <f t="shared" si="59"/>
        <v>36.657600000000002</v>
      </c>
      <c r="FG69" s="123">
        <f t="shared" si="60"/>
        <v>-2.2999999999981924E-3</v>
      </c>
      <c r="FH69" s="3"/>
      <c r="FI69">
        <v>59</v>
      </c>
      <c r="FJ69" s="145">
        <v>9876</v>
      </c>
      <c r="FK69" s="9">
        <v>6.7649999999999997</v>
      </c>
      <c r="FL69" s="9">
        <v>0.90649999999999997</v>
      </c>
      <c r="FM69" s="9">
        <v>0.34539999999999998</v>
      </c>
      <c r="FN69" s="146">
        <f t="shared" si="113"/>
        <v>0.28187499999999999</v>
      </c>
      <c r="FO69" s="131">
        <f t="shared" si="61"/>
        <v>36.654600000000002</v>
      </c>
      <c r="FP69" s="123">
        <f t="shared" si="62"/>
        <v>-3.0000000000001137E-3</v>
      </c>
      <c r="FS69">
        <v>59</v>
      </c>
      <c r="FT69" s="147">
        <v>9876</v>
      </c>
      <c r="FU69" s="148">
        <v>6.7770999999999999</v>
      </c>
      <c r="FV69" s="148">
        <v>0.90820000000000001</v>
      </c>
      <c r="FW69" s="148">
        <v>0.34599999999999997</v>
      </c>
      <c r="FX69" s="150">
        <f t="shared" si="114"/>
        <v>0.28237916666666668</v>
      </c>
      <c r="FY69" s="131">
        <f t="shared" si="115"/>
        <v>36.654000000000003</v>
      </c>
      <c r="FZ69">
        <f t="shared" si="63"/>
        <v>1.2100000000000222E-2</v>
      </c>
      <c r="GC69">
        <v>59</v>
      </c>
      <c r="GD69" s="151">
        <v>9876</v>
      </c>
      <c r="GE69" s="151">
        <v>6.8070000000000004</v>
      </c>
      <c r="GF69" s="151">
        <v>0.91220000000000001</v>
      </c>
      <c r="GG69" s="151">
        <v>0.34749999999999998</v>
      </c>
      <c r="GH69" s="153">
        <f t="shared" si="132"/>
        <v>0.28362500000000002</v>
      </c>
      <c r="GI69" s="131">
        <f t="shared" si="64"/>
        <v>36.652500000000003</v>
      </c>
      <c r="GJ69">
        <f t="shared" si="142"/>
        <v>2.9900000000000482E-2</v>
      </c>
      <c r="GM69">
        <v>59</v>
      </c>
      <c r="GN69" s="155">
        <v>9876</v>
      </c>
      <c r="GO69" s="155">
        <v>6.8704000000000001</v>
      </c>
      <c r="GP69" s="155">
        <v>0.92069999999999996</v>
      </c>
      <c r="GQ69" s="155">
        <v>0.3508</v>
      </c>
      <c r="GR69" s="58">
        <f t="shared" si="65"/>
        <v>0.28626666666666667</v>
      </c>
      <c r="GS69" s="131">
        <f t="shared" si="66"/>
        <v>36.6492</v>
      </c>
      <c r="GT69">
        <f t="shared" si="143"/>
        <v>6.3399999999999679E-2</v>
      </c>
      <c r="GW69">
        <v>59</v>
      </c>
      <c r="GX69" s="157">
        <v>9876</v>
      </c>
      <c r="GY69" s="161">
        <f>VLOOKUP(GX69,Sheet3!$AJ$7:$AN$83,2,0)</f>
        <v>6.9508999999999999</v>
      </c>
      <c r="GZ69" s="161">
        <f>VLOOKUP(GX69,Sheet3!$AJ$7:$AN$83,3,0)</f>
        <v>0.93140000000000001</v>
      </c>
      <c r="HA69" s="161">
        <f>VLOOKUP(GX69,Sheet3!$AJ$7:$AN$83,4,0)</f>
        <v>0.35489999999999999</v>
      </c>
      <c r="HB69" s="162">
        <f t="shared" si="17"/>
        <v>0.28962083333333333</v>
      </c>
      <c r="HC69" s="131">
        <f t="shared" si="116"/>
        <v>36.645099999999999</v>
      </c>
      <c r="HD69" s="159">
        <f t="shared" si="144"/>
        <v>8.0499999999999794E-2</v>
      </c>
      <c r="HE69" s="159">
        <f t="shared" si="145"/>
        <v>4.0999999999999925E-3</v>
      </c>
      <c r="HG69" s="159"/>
      <c r="HH69" s="159">
        <v>59</v>
      </c>
      <c r="HI69" s="158">
        <v>9876</v>
      </c>
      <c r="HJ69" s="161">
        <v>6.9833999999999996</v>
      </c>
      <c r="HK69" s="161">
        <v>0.93579999999999997</v>
      </c>
      <c r="HL69" s="161">
        <v>0.35649999999999998</v>
      </c>
      <c r="HM69" s="162">
        <f t="shared" si="18"/>
        <v>0.29097499999999998</v>
      </c>
      <c r="HN69" s="131">
        <f t="shared" si="67"/>
        <v>36.643500000000003</v>
      </c>
      <c r="HO69" s="159">
        <f t="shared" si="68"/>
        <v>3.2499999999999751E-2</v>
      </c>
      <c r="HQ69" s="183"/>
      <c r="HR69" s="183">
        <v>59</v>
      </c>
      <c r="HS69" s="178">
        <v>9876</v>
      </c>
      <c r="HT69" s="184">
        <v>7.0045999999999999</v>
      </c>
      <c r="HU69" s="184">
        <v>0.93859999999999999</v>
      </c>
      <c r="HV69" s="184">
        <v>0.35759999999999997</v>
      </c>
      <c r="HW69" s="171">
        <f t="shared" si="19"/>
        <v>0.29185833333333333</v>
      </c>
      <c r="HX69" s="53">
        <f t="shared" si="69"/>
        <v>36.642400000000002</v>
      </c>
      <c r="HY69" s="183">
        <f t="shared" si="70"/>
        <v>2.120000000000033E-2</v>
      </c>
      <c r="IA69" s="194"/>
      <c r="IB69" s="194">
        <v>59</v>
      </c>
      <c r="IC69" s="193">
        <v>9876</v>
      </c>
      <c r="ID69" s="161">
        <v>7.0137999999999998</v>
      </c>
      <c r="IE69" s="184">
        <v>0.93989999999999996</v>
      </c>
      <c r="IF69" s="184">
        <v>0.35809999999999997</v>
      </c>
      <c r="IG69" s="171">
        <f t="shared" si="71"/>
        <v>0.29224166666666668</v>
      </c>
      <c r="IH69" s="53">
        <f t="shared" si="72"/>
        <v>36.6419</v>
      </c>
      <c r="II69" s="194">
        <f t="shared" si="73"/>
        <v>9.1999999999998749E-3</v>
      </c>
      <c r="IL69" s="199">
        <v>59</v>
      </c>
      <c r="IM69" s="197">
        <v>9876</v>
      </c>
      <c r="IN69" s="161">
        <v>7.0620000000000003</v>
      </c>
      <c r="IO69" s="184">
        <v>0.94630000000000003</v>
      </c>
      <c r="IP69" s="184">
        <v>0.36059999999999998</v>
      </c>
      <c r="IQ69" s="171">
        <f t="shared" si="74"/>
        <v>0.29425000000000001</v>
      </c>
      <c r="IR69" s="53">
        <f t="shared" si="75"/>
        <v>36.639400000000002</v>
      </c>
      <c r="IS69" s="199">
        <f t="shared" si="76"/>
        <v>4.8200000000000465E-2</v>
      </c>
      <c r="IU69" s="202"/>
      <c r="IV69" s="202">
        <v>59</v>
      </c>
      <c r="IW69" s="201">
        <v>9876</v>
      </c>
      <c r="IX69" s="184">
        <v>7.1271000000000004</v>
      </c>
      <c r="IY69" s="184">
        <v>0.95509999999999995</v>
      </c>
      <c r="IZ69" s="184">
        <v>0.3639</v>
      </c>
      <c r="JA69" s="162">
        <f t="shared" si="22"/>
        <v>0.29696250000000002</v>
      </c>
      <c r="JB69" s="53">
        <f t="shared" si="77"/>
        <v>36.636099999999999</v>
      </c>
      <c r="JC69" s="202">
        <f t="shared" si="78"/>
        <v>6.5100000000000158E-2</v>
      </c>
      <c r="JE69" s="204"/>
      <c r="JF69" s="204">
        <v>59</v>
      </c>
      <c r="JG69" s="203">
        <v>9876</v>
      </c>
      <c r="JH69" s="161">
        <v>7.1478000000000002</v>
      </c>
      <c r="JI69" s="184">
        <v>0.95779999999999998</v>
      </c>
      <c r="JJ69" s="184">
        <v>0.3649</v>
      </c>
      <c r="JK69" s="162">
        <f t="shared" si="79"/>
        <v>0.29782500000000001</v>
      </c>
      <c r="JL69" s="53">
        <f t="shared" si="80"/>
        <v>36.635100000000001</v>
      </c>
      <c r="JM69" s="204">
        <f t="shared" si="117"/>
        <v>2.0699999999999719E-2</v>
      </c>
      <c r="JN69" s="204"/>
      <c r="JP69" s="209">
        <v>59</v>
      </c>
      <c r="JQ69" s="205">
        <v>9876</v>
      </c>
      <c r="JR69" s="161">
        <v>7.1643999999999997</v>
      </c>
      <c r="JS69" s="184">
        <v>0.96009999999999995</v>
      </c>
      <c r="JT69" s="184">
        <v>0.36580000000000001</v>
      </c>
      <c r="JU69" s="162">
        <f t="shared" si="81"/>
        <v>0.29851666666666665</v>
      </c>
      <c r="JV69" s="53">
        <f t="shared" si="82"/>
        <v>36.6342</v>
      </c>
      <c r="JW69" s="209">
        <f t="shared" si="118"/>
        <v>1.6599999999999504E-2</v>
      </c>
      <c r="JX69" s="213"/>
      <c r="JY69" s="213"/>
      <c r="JZ69" s="213">
        <v>59</v>
      </c>
      <c r="KA69" s="206">
        <v>9876</v>
      </c>
      <c r="KB69" s="184">
        <v>7.2034000000000002</v>
      </c>
      <c r="KC69" s="184">
        <v>0.96530000000000005</v>
      </c>
      <c r="KD69" s="184">
        <v>0.36780000000000002</v>
      </c>
      <c r="KE69" s="162">
        <f t="shared" si="83"/>
        <v>0.3001416666666667</v>
      </c>
      <c r="KF69" s="53">
        <f t="shared" si="84"/>
        <v>36.632199999999997</v>
      </c>
      <c r="KG69" s="213">
        <f t="shared" si="119"/>
        <v>3.900000000000059E-2</v>
      </c>
      <c r="KI69" s="219"/>
      <c r="KJ69" s="219">
        <v>59</v>
      </c>
      <c r="KK69" s="214">
        <v>9876</v>
      </c>
      <c r="KL69" s="161">
        <v>7.2164000000000001</v>
      </c>
      <c r="KM69" s="161">
        <v>0.96699999999999997</v>
      </c>
      <c r="KN69" s="161">
        <v>0.36840000000000001</v>
      </c>
      <c r="KO69" s="162">
        <f t="shared" si="24"/>
        <v>0.30068333333333336</v>
      </c>
      <c r="KP69" s="53">
        <f t="shared" si="85"/>
        <v>36.631599999999999</v>
      </c>
      <c r="KQ69" s="219">
        <f t="shared" si="120"/>
        <v>1.2999999999999901E-2</v>
      </c>
      <c r="KT69" s="223">
        <v>59</v>
      </c>
      <c r="KU69" s="216">
        <v>9876</v>
      </c>
      <c r="KV69" s="161">
        <v>7.2301000000000002</v>
      </c>
      <c r="KW69" s="161">
        <v>0.96889999999999998</v>
      </c>
      <c r="KX69" s="161">
        <v>0.36909999999999998</v>
      </c>
      <c r="KY69" s="162">
        <f t="shared" si="86"/>
        <v>0.30125416666666666</v>
      </c>
      <c r="KZ69" s="53">
        <f t="shared" si="87"/>
        <v>36.630899999999997</v>
      </c>
      <c r="LA69" s="223">
        <f t="shared" si="121"/>
        <v>1.3700000000000045E-2</v>
      </c>
      <c r="LD69" s="228">
        <v>59</v>
      </c>
      <c r="LE69" s="221">
        <v>9876</v>
      </c>
      <c r="LF69" s="161">
        <v>7.2416</v>
      </c>
      <c r="LG69" s="161">
        <v>0.97040000000000004</v>
      </c>
      <c r="LH69" s="161">
        <v>0.36969999999999997</v>
      </c>
      <c r="LI69" s="162">
        <f t="shared" si="88"/>
        <v>0.30173333333333335</v>
      </c>
      <c r="LJ69" s="53">
        <f t="shared" si="89"/>
        <v>36.630299999999998</v>
      </c>
      <c r="LK69" s="228">
        <f t="shared" si="122"/>
        <v>1.1499999999999844E-2</v>
      </c>
      <c r="LL69" s="231"/>
      <c r="LM69" s="231"/>
      <c r="LN69" s="231">
        <v>59</v>
      </c>
      <c r="LO69" s="226">
        <v>9876</v>
      </c>
      <c r="LP69" s="184">
        <v>7.2576999999999998</v>
      </c>
      <c r="LQ69" s="184">
        <v>0.97260000000000002</v>
      </c>
      <c r="LR69" s="184">
        <v>0.3705</v>
      </c>
      <c r="LS69" s="162">
        <f t="shared" si="90"/>
        <v>0.30240416666666664</v>
      </c>
      <c r="LT69" s="53">
        <f t="shared" si="91"/>
        <v>36.6295</v>
      </c>
      <c r="LU69" s="231">
        <f t="shared" si="123"/>
        <v>1.6099999999999781E-2</v>
      </c>
      <c r="LW69" s="231"/>
      <c r="LX69" s="231">
        <v>59</v>
      </c>
      <c r="LY69" s="234">
        <v>9876</v>
      </c>
      <c r="LZ69" s="184">
        <v>7.2758000000000003</v>
      </c>
      <c r="MA69" s="184">
        <v>0.97499999999999998</v>
      </c>
      <c r="MB69" s="184">
        <v>0.3715</v>
      </c>
      <c r="MC69" s="162">
        <f t="shared" si="92"/>
        <v>0.30315833333333336</v>
      </c>
      <c r="MD69" s="53">
        <f t="shared" si="93"/>
        <v>36.628500000000003</v>
      </c>
      <c r="ME69" s="231">
        <f t="shared" si="124"/>
        <v>1.8100000000000449E-2</v>
      </c>
      <c r="MF69" s="231"/>
      <c r="MG69" s="231"/>
      <c r="MH69" s="231">
        <v>59</v>
      </c>
      <c r="MI69" s="236">
        <v>9876</v>
      </c>
      <c r="MJ69" s="184">
        <v>7.2935999999999996</v>
      </c>
      <c r="MK69" s="184">
        <v>0.97740000000000005</v>
      </c>
      <c r="ML69" s="184">
        <v>0.37240000000000001</v>
      </c>
      <c r="MM69" s="162">
        <f t="shared" si="94"/>
        <v>0.3039</v>
      </c>
      <c r="MN69" s="53">
        <f t="shared" si="95"/>
        <v>36.627600000000001</v>
      </c>
      <c r="MO69" s="231">
        <f t="shared" si="125"/>
        <v>1.7799999999999372E-2</v>
      </c>
      <c r="MP69" s="231"/>
      <c r="MQ69" s="231"/>
      <c r="MR69" s="231">
        <v>59</v>
      </c>
      <c r="MS69" s="238">
        <v>9876</v>
      </c>
      <c r="MT69" s="184">
        <v>7.3276000000000003</v>
      </c>
      <c r="MU69" s="184">
        <v>0.9819</v>
      </c>
      <c r="MV69" s="184">
        <v>0.37409999999999999</v>
      </c>
      <c r="MW69" s="162">
        <f t="shared" si="96"/>
        <v>0.30531666666666668</v>
      </c>
      <c r="MX69" s="53">
        <f t="shared" si="97"/>
        <v>36.625900000000001</v>
      </c>
      <c r="MY69" s="231">
        <f t="shared" si="126"/>
        <v>3.4000000000000696E-2</v>
      </c>
      <c r="MZ69" s="246"/>
      <c r="NA69" s="246"/>
      <c r="NB69" s="246">
        <v>59</v>
      </c>
      <c r="NC69" s="242">
        <v>9876</v>
      </c>
      <c r="ND69" s="184">
        <v>7.3623000000000003</v>
      </c>
      <c r="NE69" s="184">
        <v>0.98660000000000003</v>
      </c>
      <c r="NF69" s="184">
        <v>0.37590000000000001</v>
      </c>
      <c r="NG69" s="162">
        <f t="shared" si="98"/>
        <v>0.30676249999999999</v>
      </c>
      <c r="NH69" s="53">
        <f t="shared" si="99"/>
        <v>36.624099999999999</v>
      </c>
      <c r="NI69" s="232">
        <f t="shared" si="127"/>
        <v>3.4699999999999953E-2</v>
      </c>
      <c r="NK69" s="250"/>
      <c r="NL69" s="250">
        <v>59</v>
      </c>
      <c r="NM69" s="244">
        <v>9876</v>
      </c>
      <c r="NN69" s="184">
        <v>7.3724999999999996</v>
      </c>
      <c r="NO69" s="184">
        <v>0.9879</v>
      </c>
      <c r="NP69" s="184">
        <v>0.37640000000000001</v>
      </c>
      <c r="NQ69" s="162">
        <f t="shared" si="133"/>
        <v>0.3071875</v>
      </c>
      <c r="NR69" s="53">
        <f t="shared" si="101"/>
        <v>36.623600000000003</v>
      </c>
      <c r="NS69" s="232">
        <f t="shared" si="128"/>
        <v>1.0199999999999321E-2</v>
      </c>
      <c r="NU69" s="250"/>
      <c r="NV69" s="250">
        <v>59</v>
      </c>
      <c r="NW69" s="248">
        <v>9876</v>
      </c>
      <c r="NX69" s="184">
        <v>7.3887</v>
      </c>
      <c r="NY69" s="184">
        <v>0.99009999999999998</v>
      </c>
      <c r="NZ69" s="184">
        <v>0.37719999999999998</v>
      </c>
      <c r="OA69" s="162">
        <f t="shared" si="134"/>
        <v>0.30786249999999998</v>
      </c>
      <c r="OB69" s="53">
        <f t="shared" si="103"/>
        <v>36.622799999999998</v>
      </c>
      <c r="OC69" s="232">
        <f t="shared" si="129"/>
        <v>1.6200000000000436E-2</v>
      </c>
      <c r="OE69" s="250"/>
      <c r="OF69" s="250">
        <v>59</v>
      </c>
      <c r="OG69" s="251">
        <v>9876</v>
      </c>
      <c r="OH69" s="184">
        <v>7.3967999999999998</v>
      </c>
      <c r="OI69" s="184">
        <v>0.99119999999999997</v>
      </c>
      <c r="OJ69" s="184">
        <v>0.37759999999999999</v>
      </c>
      <c r="OK69" s="162">
        <f t="shared" si="135"/>
        <v>0.30819999999999997</v>
      </c>
      <c r="OL69" s="53">
        <f t="shared" si="105"/>
        <v>36.622399999999999</v>
      </c>
      <c r="OM69" s="232">
        <f t="shared" si="130"/>
        <v>8.099999999999774E-3</v>
      </c>
      <c r="OP69" s="250">
        <v>59</v>
      </c>
      <c r="OQ69" s="253">
        <v>9876</v>
      </c>
      <c r="OR69" s="184">
        <f>VLOOKUP(OQ69,Sheet4!A11:F87,3,0)</f>
        <v>7.4154</v>
      </c>
      <c r="OS69" s="184">
        <f>VLOOKUP(OQ69,Sheet4!A11:F87,4,0)</f>
        <v>0.99370000000000003</v>
      </c>
      <c r="OT69" s="184">
        <f>VLOOKUP(OQ69,Sheet4!A11:F87,5,0)</f>
        <v>0.37859999999999999</v>
      </c>
      <c r="OU69" s="162">
        <f t="shared" si="106"/>
        <v>0.308975</v>
      </c>
      <c r="OV69" s="53">
        <f t="shared" si="107"/>
        <v>36.621400000000001</v>
      </c>
      <c r="OW69" s="232">
        <f t="shared" si="131"/>
        <v>1.8600000000000172E-2</v>
      </c>
    </row>
    <row r="70" spans="1:413" ht="15.75" x14ac:dyDescent="0.25">
      <c r="A70">
        <v>62</v>
      </c>
      <c r="B70" s="1">
        <v>9538</v>
      </c>
      <c r="C70" s="1" t="s">
        <v>1</v>
      </c>
      <c r="D70" s="2">
        <v>36.83</v>
      </c>
      <c r="E70" s="8"/>
      <c r="F70" s="8"/>
      <c r="G70" s="8"/>
      <c r="H70" s="8"/>
      <c r="J70" s="15">
        <v>9538</v>
      </c>
      <c r="K70" s="15">
        <v>13.7485</v>
      </c>
      <c r="L70" s="15">
        <v>1.8424</v>
      </c>
      <c r="M70" s="15">
        <v>0.70189999999999997</v>
      </c>
      <c r="N70" s="24">
        <f t="shared" si="42"/>
        <v>0.57285416666666666</v>
      </c>
      <c r="O70" s="10">
        <f t="shared" si="139"/>
        <v>36.128099999999996</v>
      </c>
      <c r="P70" s="18"/>
      <c r="R70" s="20">
        <v>9538</v>
      </c>
      <c r="S70" s="9">
        <v>13.7902</v>
      </c>
      <c r="T70" s="9">
        <v>1.8479000000000001</v>
      </c>
      <c r="U70" s="9">
        <v>0.70409999999999995</v>
      </c>
      <c r="V70" s="24">
        <f t="shared" si="43"/>
        <v>0.57459166666666672</v>
      </c>
      <c r="W70" s="10">
        <f t="shared" si="140"/>
        <v>36.125900000000001</v>
      </c>
      <c r="X70" s="18"/>
      <c r="Z70" s="27">
        <v>9538</v>
      </c>
      <c r="AA70" s="9">
        <v>13.8927</v>
      </c>
      <c r="AB70" s="9">
        <v>1.8616999999999999</v>
      </c>
      <c r="AC70" s="9">
        <v>0.70930000000000004</v>
      </c>
      <c r="AD70" s="24">
        <f t="shared" si="45"/>
        <v>0.57886249999999995</v>
      </c>
      <c r="AE70" s="10">
        <f t="shared" si="46"/>
        <v>36.120699999999999</v>
      </c>
      <c r="AF70" s="79"/>
      <c r="AG70">
        <v>62</v>
      </c>
      <c r="AH70" s="1">
        <v>9538</v>
      </c>
      <c r="AI70" s="1" t="s">
        <v>1</v>
      </c>
      <c r="AJ70" s="2">
        <v>36.83</v>
      </c>
      <c r="AL70" s="32">
        <v>9538</v>
      </c>
      <c r="AM70" s="9">
        <v>14.0036</v>
      </c>
      <c r="AN70" s="9">
        <v>1.8765000000000001</v>
      </c>
      <c r="AO70" s="9">
        <v>0.71499999999999997</v>
      </c>
      <c r="AP70" s="37">
        <f t="shared" si="0"/>
        <v>0.58348333333333335</v>
      </c>
      <c r="AQ70" s="53">
        <f t="shared" si="108"/>
        <v>36.114999999999995</v>
      </c>
      <c r="AT70" s="39"/>
      <c r="AU70" s="38">
        <v>9538</v>
      </c>
      <c r="AV70" s="9">
        <v>14.050700000000001</v>
      </c>
      <c r="AW70" s="43">
        <v>1.8828</v>
      </c>
      <c r="AX70" s="43">
        <v>0.71740000000000004</v>
      </c>
      <c r="AY70" s="47">
        <f t="shared" si="47"/>
        <v>0.58544583333333333</v>
      </c>
      <c r="AZ70" s="56">
        <f t="shared" si="109"/>
        <v>36.1126</v>
      </c>
      <c r="BD70" s="54">
        <v>9538</v>
      </c>
      <c r="BE70" s="53">
        <v>14.055999999999999</v>
      </c>
      <c r="BF70" s="58">
        <v>1.8835999999999999</v>
      </c>
      <c r="BG70" s="58">
        <v>0.71760000000000002</v>
      </c>
      <c r="BH70" s="47">
        <f t="shared" si="48"/>
        <v>0.58566666666666667</v>
      </c>
      <c r="BI70" s="56">
        <f t="shared" si="49"/>
        <v>36.112400000000001</v>
      </c>
      <c r="BJ70" s="88"/>
      <c r="BK70" s="88"/>
      <c r="BL70" s="88"/>
      <c r="BN70" s="9">
        <v>9538</v>
      </c>
      <c r="BO70" s="53">
        <v>14.075900000000001</v>
      </c>
      <c r="BP70" s="53">
        <v>1.8862000000000001</v>
      </c>
      <c r="BQ70" s="53">
        <v>0.71870000000000001</v>
      </c>
      <c r="BR70" s="53">
        <f t="shared" si="50"/>
        <v>0.58649583333333333</v>
      </c>
      <c r="BS70" s="53">
        <f t="shared" si="51"/>
        <v>36.1113</v>
      </c>
      <c r="BV70" s="88"/>
      <c r="BX70" s="93">
        <v>9538</v>
      </c>
      <c r="BY70" s="9">
        <v>14.1151</v>
      </c>
      <c r="BZ70" s="9">
        <v>1.8915</v>
      </c>
      <c r="CA70" s="9">
        <v>0.72070000000000001</v>
      </c>
      <c r="CB70" s="58">
        <f t="shared" si="52"/>
        <v>0.5881291666666667</v>
      </c>
      <c r="CC70" s="53">
        <f t="shared" si="110"/>
        <v>36.109299999999998</v>
      </c>
      <c r="CF70" s="88"/>
      <c r="CG70">
        <v>60</v>
      </c>
      <c r="CH70" s="93">
        <v>9538</v>
      </c>
      <c r="CI70" s="93">
        <v>14.1488</v>
      </c>
      <c r="CJ70" s="9">
        <v>1.8959999999999999</v>
      </c>
      <c r="CK70" s="9">
        <v>0.72240000000000004</v>
      </c>
      <c r="CL70" s="47">
        <f t="shared" si="5"/>
        <v>0.58953333333333335</v>
      </c>
      <c r="CM70" s="53">
        <f t="shared" si="53"/>
        <v>36.107599999999998</v>
      </c>
      <c r="CQ70">
        <v>60</v>
      </c>
      <c r="CR70" s="98">
        <v>9538</v>
      </c>
      <c r="CS70" s="101">
        <v>14.1912</v>
      </c>
      <c r="CT70" s="101">
        <v>1.9016999999999999</v>
      </c>
      <c r="CU70" s="101">
        <v>0.72450000000000003</v>
      </c>
      <c r="CV70" s="47">
        <f t="shared" si="6"/>
        <v>0.59130000000000005</v>
      </c>
      <c r="CW70" s="53">
        <f t="shared" si="141"/>
        <v>36.105499999999999</v>
      </c>
      <c r="DA70">
        <v>60</v>
      </c>
      <c r="DB70" s="106">
        <v>9538</v>
      </c>
      <c r="DC70" s="107">
        <v>14.195399999999999</v>
      </c>
      <c r="DD70" s="107">
        <v>1.9021999999999999</v>
      </c>
      <c r="DE70" s="107">
        <v>0.7248</v>
      </c>
      <c r="DF70" s="47">
        <f t="shared" si="136"/>
        <v>0.59147499999999997</v>
      </c>
      <c r="DG70" s="53">
        <f t="shared" si="111"/>
        <v>36.105199999999996</v>
      </c>
      <c r="DK70">
        <v>60</v>
      </c>
      <c r="DL70" s="110">
        <v>9538</v>
      </c>
      <c r="DM70" s="53">
        <v>14.2437</v>
      </c>
      <c r="DN70" s="53">
        <v>1.9087000000000001</v>
      </c>
      <c r="DO70" s="53">
        <v>0.72719999999999996</v>
      </c>
      <c r="DP70" s="47">
        <f t="shared" si="137"/>
        <v>0.59348750000000006</v>
      </c>
      <c r="DQ70" s="53">
        <f t="shared" si="54"/>
        <v>36.102799999999995</v>
      </c>
      <c r="DS70" s="3">
        <f t="shared" si="55"/>
        <v>4.830000000000112E-2</v>
      </c>
      <c r="DU70">
        <v>60</v>
      </c>
      <c r="DV70" s="115">
        <v>9538</v>
      </c>
      <c r="DW70" s="53">
        <f>Sheet3!B$20</f>
        <v>14.2738</v>
      </c>
      <c r="DX70" s="53">
        <f>Sheet3!C$20</f>
        <v>1.9127000000000001</v>
      </c>
      <c r="DY70" s="53">
        <f>Sheet3!D$20</f>
        <v>0.7288</v>
      </c>
      <c r="DZ70" s="47">
        <f t="shared" si="138"/>
        <v>0.59474166666666661</v>
      </c>
      <c r="EA70" s="53">
        <f t="shared" si="112"/>
        <v>36.101199999999999</v>
      </c>
      <c r="EB70" s="3"/>
      <c r="EE70">
        <v>60</v>
      </c>
      <c r="EF70" s="118">
        <v>9538</v>
      </c>
      <c r="EG70" s="9">
        <v>14.3209</v>
      </c>
      <c r="EH70" s="9">
        <v>1.9191</v>
      </c>
      <c r="EI70" s="9">
        <v>0.73119999999999996</v>
      </c>
      <c r="EJ70" s="47">
        <f t="shared" si="10"/>
        <v>0.5967041666666667</v>
      </c>
      <c r="EK70" s="53">
        <f t="shared" si="56"/>
        <v>36.098799999999997</v>
      </c>
      <c r="EM70" s="3">
        <f t="shared" si="57"/>
        <v>-2.400000000001512E-3</v>
      </c>
      <c r="EN70" s="3"/>
      <c r="EO70">
        <v>60</v>
      </c>
      <c r="EP70" s="121">
        <v>9538</v>
      </c>
      <c r="EQ70" s="122">
        <v>14.4145</v>
      </c>
      <c r="ER70" s="122">
        <v>1.9316</v>
      </c>
      <c r="ES70" s="129">
        <v>0.7359</v>
      </c>
      <c r="ET70" s="130">
        <f t="shared" si="11"/>
        <v>0.60060416666666672</v>
      </c>
      <c r="EU70" s="131">
        <f t="shared" si="58"/>
        <v>36.094099999999997</v>
      </c>
      <c r="EX70" s="3"/>
      <c r="EY70">
        <v>60</v>
      </c>
      <c r="EZ70" s="135">
        <v>9538</v>
      </c>
      <c r="FA70" s="135">
        <v>14.458600000000001</v>
      </c>
      <c r="FB70" s="135">
        <v>1.9375</v>
      </c>
      <c r="FC70" s="135">
        <v>0.73819999999999997</v>
      </c>
      <c r="FD70" s="136">
        <f t="shared" si="12"/>
        <v>0.60244166666666665</v>
      </c>
      <c r="FE70" s="131">
        <f t="shared" si="59"/>
        <v>36.091799999999999</v>
      </c>
      <c r="FG70" s="123">
        <f t="shared" si="60"/>
        <v>-2.2999999999981924E-3</v>
      </c>
      <c r="FH70" s="3"/>
      <c r="FI70">
        <v>60</v>
      </c>
      <c r="FJ70" s="145">
        <v>9538</v>
      </c>
      <c r="FK70" s="9">
        <v>14.5174</v>
      </c>
      <c r="FL70" s="9">
        <v>1.9454</v>
      </c>
      <c r="FM70" s="9">
        <v>0.74119999999999997</v>
      </c>
      <c r="FN70" s="146">
        <f t="shared" si="113"/>
        <v>0.60489166666666672</v>
      </c>
      <c r="FO70" s="131">
        <f t="shared" si="61"/>
        <v>36.088799999999999</v>
      </c>
      <c r="FP70" s="123">
        <f t="shared" si="62"/>
        <v>-3.0000000000001137E-3</v>
      </c>
      <c r="FS70">
        <v>60</v>
      </c>
      <c r="FT70" s="147">
        <v>9538</v>
      </c>
      <c r="FU70" s="148">
        <v>14.529500000000001</v>
      </c>
      <c r="FV70" s="148">
        <v>1.9470000000000001</v>
      </c>
      <c r="FW70" s="148">
        <v>0.74180000000000001</v>
      </c>
      <c r="FX70" s="150">
        <f t="shared" si="114"/>
        <v>0.60539583333333336</v>
      </c>
      <c r="FY70" s="131">
        <f t="shared" si="115"/>
        <v>36.088200000000001</v>
      </c>
      <c r="FZ70">
        <f t="shared" si="63"/>
        <v>1.2100000000000222E-2</v>
      </c>
      <c r="GC70">
        <v>60</v>
      </c>
      <c r="GD70" s="151">
        <v>9538</v>
      </c>
      <c r="GE70" s="151">
        <v>14.5594</v>
      </c>
      <c r="GF70" s="151">
        <v>1.9510000000000001</v>
      </c>
      <c r="GG70" s="151">
        <v>0.74329999999999996</v>
      </c>
      <c r="GH70" s="153">
        <f t="shared" si="132"/>
        <v>0.60664166666666663</v>
      </c>
      <c r="GI70" s="131">
        <f t="shared" si="64"/>
        <v>36.0867</v>
      </c>
      <c r="GJ70">
        <f t="shared" si="142"/>
        <v>2.9899999999999594E-2</v>
      </c>
      <c r="GM70">
        <v>60</v>
      </c>
      <c r="GN70" s="155">
        <v>9538</v>
      </c>
      <c r="GO70" s="155">
        <v>14.6228</v>
      </c>
      <c r="GP70" s="155">
        <v>1.9595</v>
      </c>
      <c r="GQ70" s="155">
        <v>0.74660000000000004</v>
      </c>
      <c r="GR70" s="58">
        <f t="shared" si="65"/>
        <v>0.60928333333333329</v>
      </c>
      <c r="GS70" s="131">
        <f t="shared" si="66"/>
        <v>36.083399999999997</v>
      </c>
      <c r="GT70">
        <f t="shared" si="143"/>
        <v>6.3399999999999679E-2</v>
      </c>
      <c r="GW70">
        <v>60</v>
      </c>
      <c r="GX70" s="157">
        <v>9538</v>
      </c>
      <c r="GY70" s="161">
        <f>VLOOKUP(GX70,Sheet3!$AJ$7:$AN$83,2,0)</f>
        <v>14.7033</v>
      </c>
      <c r="GZ70" s="161">
        <f>VLOOKUP(GX70,Sheet3!$AJ$7:$AN$83,3,0)</f>
        <v>1.9702999999999999</v>
      </c>
      <c r="HA70" s="161">
        <f>VLOOKUP(GX70,Sheet3!$AJ$7:$AN$83,4,0)</f>
        <v>0.75070000000000003</v>
      </c>
      <c r="HB70" s="162">
        <f t="shared" si="17"/>
        <v>0.61263750000000006</v>
      </c>
      <c r="HC70" s="131">
        <f t="shared" si="116"/>
        <v>36.079299999999996</v>
      </c>
      <c r="HD70" s="159">
        <f t="shared" si="144"/>
        <v>8.0500000000000682E-2</v>
      </c>
      <c r="HE70" s="159">
        <f t="shared" si="145"/>
        <v>4.0999999999999925E-3</v>
      </c>
      <c r="HG70" s="159"/>
      <c r="HH70" s="159">
        <v>60</v>
      </c>
      <c r="HI70" s="158">
        <v>9538</v>
      </c>
      <c r="HJ70" s="161">
        <v>14.735799999999999</v>
      </c>
      <c r="HK70" s="161">
        <v>1.9746999999999999</v>
      </c>
      <c r="HL70" s="161">
        <v>0.75229999999999997</v>
      </c>
      <c r="HM70" s="162">
        <f t="shared" si="18"/>
        <v>0.6139916666666666</v>
      </c>
      <c r="HN70" s="131">
        <f t="shared" si="67"/>
        <v>36.0777</v>
      </c>
      <c r="HO70" s="159">
        <f t="shared" si="68"/>
        <v>3.2499999999998863E-2</v>
      </c>
      <c r="HQ70" s="183"/>
      <c r="HR70" s="183">
        <v>60</v>
      </c>
      <c r="HS70" s="178">
        <v>9538</v>
      </c>
      <c r="HT70" s="184">
        <v>14.757</v>
      </c>
      <c r="HU70" s="184">
        <v>1.9775</v>
      </c>
      <c r="HV70" s="184">
        <v>0.75339999999999996</v>
      </c>
      <c r="HW70" s="171">
        <f t="shared" si="19"/>
        <v>0.61487499999999995</v>
      </c>
      <c r="HX70" s="53">
        <f t="shared" si="69"/>
        <v>36.076599999999999</v>
      </c>
      <c r="HY70" s="183">
        <f t="shared" si="70"/>
        <v>2.120000000000033E-2</v>
      </c>
      <c r="IA70" s="194"/>
      <c r="IB70" s="194">
        <v>60</v>
      </c>
      <c r="IC70" s="193">
        <v>9538</v>
      </c>
      <c r="ID70" s="161">
        <v>14.7662</v>
      </c>
      <c r="IE70" s="184">
        <v>1.9786999999999999</v>
      </c>
      <c r="IF70" s="184">
        <v>0.75390000000000001</v>
      </c>
      <c r="IG70" s="171">
        <f t="shared" si="71"/>
        <v>0.61525833333333335</v>
      </c>
      <c r="IH70" s="53">
        <f t="shared" si="72"/>
        <v>36.076099999999997</v>
      </c>
      <c r="II70" s="194">
        <f t="shared" si="73"/>
        <v>9.1999999999998749E-3</v>
      </c>
      <c r="IL70" s="199">
        <v>60</v>
      </c>
      <c r="IM70" s="197">
        <v>9538</v>
      </c>
      <c r="IN70" s="161">
        <v>14.814399999999999</v>
      </c>
      <c r="IO70" s="184">
        <v>1.9852000000000001</v>
      </c>
      <c r="IP70" s="184">
        <v>0.75639999999999996</v>
      </c>
      <c r="IQ70" s="171">
        <f t="shared" si="74"/>
        <v>0.61726666666666663</v>
      </c>
      <c r="IR70" s="53">
        <f t="shared" si="75"/>
        <v>36.073599999999999</v>
      </c>
      <c r="IS70" s="199">
        <f t="shared" si="76"/>
        <v>4.8199999999999577E-2</v>
      </c>
      <c r="IU70" s="202"/>
      <c r="IV70" s="202">
        <v>60</v>
      </c>
      <c r="IW70" s="201">
        <v>9538</v>
      </c>
      <c r="IX70" s="184">
        <v>14.8795</v>
      </c>
      <c r="IY70" s="184">
        <v>1.9939</v>
      </c>
      <c r="IZ70" s="184">
        <v>0.75970000000000004</v>
      </c>
      <c r="JA70" s="162">
        <f t="shared" si="22"/>
        <v>0.61997916666666664</v>
      </c>
      <c r="JB70" s="53">
        <f t="shared" si="77"/>
        <v>36.070299999999996</v>
      </c>
      <c r="JC70" s="202">
        <f t="shared" si="78"/>
        <v>6.5100000000001046E-2</v>
      </c>
      <c r="JE70" s="204"/>
      <c r="JF70" s="204">
        <v>60</v>
      </c>
      <c r="JG70" s="203">
        <v>9538</v>
      </c>
      <c r="JH70" s="161">
        <v>14.9002</v>
      </c>
      <c r="JI70" s="184">
        <v>1.9966999999999999</v>
      </c>
      <c r="JJ70" s="184">
        <v>0.76070000000000004</v>
      </c>
      <c r="JK70" s="162">
        <f t="shared" si="79"/>
        <v>0.62084166666666663</v>
      </c>
      <c r="JL70" s="53">
        <f t="shared" si="80"/>
        <v>36.069299999999998</v>
      </c>
      <c r="JM70" s="204">
        <f t="shared" si="117"/>
        <v>2.0699999999999719E-2</v>
      </c>
      <c r="JN70" s="204"/>
      <c r="JP70" s="209">
        <v>60</v>
      </c>
      <c r="JQ70" s="205">
        <v>9538</v>
      </c>
      <c r="JR70" s="161">
        <v>14.9168</v>
      </c>
      <c r="JS70" s="184">
        <v>1.9988999999999999</v>
      </c>
      <c r="JT70" s="184">
        <v>0.76160000000000005</v>
      </c>
      <c r="JU70" s="162">
        <f t="shared" si="81"/>
        <v>0.62153333333333338</v>
      </c>
      <c r="JV70" s="53">
        <f t="shared" si="82"/>
        <v>36.068399999999997</v>
      </c>
      <c r="JW70" s="209">
        <f t="shared" si="118"/>
        <v>1.6600000000000392E-2</v>
      </c>
      <c r="JX70" s="213"/>
      <c r="JY70" s="213"/>
      <c r="JZ70" s="213">
        <v>60</v>
      </c>
      <c r="KA70" s="206">
        <v>9538</v>
      </c>
      <c r="KB70" s="184">
        <v>14.9558</v>
      </c>
      <c r="KC70" s="184">
        <v>2.0041000000000002</v>
      </c>
      <c r="KD70" s="184">
        <v>0.76359999999999995</v>
      </c>
      <c r="KE70" s="162">
        <f t="shared" si="83"/>
        <v>0.62315833333333337</v>
      </c>
      <c r="KF70" s="53">
        <f t="shared" si="84"/>
        <v>36.066400000000002</v>
      </c>
      <c r="KG70" s="213">
        <f t="shared" si="119"/>
        <v>3.8999999999999702E-2</v>
      </c>
      <c r="KI70" s="219"/>
      <c r="KJ70" s="219">
        <v>60</v>
      </c>
      <c r="KK70" s="214">
        <v>9538</v>
      </c>
      <c r="KL70" s="161">
        <v>14.9688</v>
      </c>
      <c r="KM70" s="161">
        <v>2.0059</v>
      </c>
      <c r="KN70" s="161">
        <v>0.76419999999999999</v>
      </c>
      <c r="KO70" s="162">
        <f t="shared" si="24"/>
        <v>0.62370000000000003</v>
      </c>
      <c r="KP70" s="53">
        <f t="shared" si="85"/>
        <v>36.065799999999996</v>
      </c>
      <c r="KQ70" s="219">
        <f t="shared" si="120"/>
        <v>1.2999999999999901E-2</v>
      </c>
      <c r="KT70" s="223">
        <v>60</v>
      </c>
      <c r="KU70" s="216">
        <v>9538</v>
      </c>
      <c r="KV70" s="161">
        <v>14.982499999999998</v>
      </c>
      <c r="KW70" s="161">
        <v>2.0077000000000003</v>
      </c>
      <c r="KX70" s="161">
        <v>0.76490000000000002</v>
      </c>
      <c r="KY70" s="162">
        <f t="shared" si="86"/>
        <v>0.62427083333333322</v>
      </c>
      <c r="KZ70" s="53">
        <f t="shared" si="87"/>
        <v>36.065100000000001</v>
      </c>
      <c r="LA70" s="223">
        <f t="shared" si="121"/>
        <v>1.3699999999998269E-2</v>
      </c>
      <c r="LD70" s="228">
        <v>60</v>
      </c>
      <c r="LE70" s="221">
        <v>9538</v>
      </c>
      <c r="LF70" s="161">
        <v>14.994</v>
      </c>
      <c r="LG70" s="161">
        <v>2.0093000000000001</v>
      </c>
      <c r="LH70" s="161">
        <v>0.76549999999999996</v>
      </c>
      <c r="LI70" s="162">
        <f t="shared" si="88"/>
        <v>0.62475000000000003</v>
      </c>
      <c r="LJ70" s="53">
        <f t="shared" si="89"/>
        <v>36.064499999999995</v>
      </c>
      <c r="LK70" s="228">
        <f t="shared" si="122"/>
        <v>1.150000000000162E-2</v>
      </c>
      <c r="LL70" s="231"/>
      <c r="LM70" s="231"/>
      <c r="LN70" s="231">
        <v>60</v>
      </c>
      <c r="LO70" s="226">
        <v>9538</v>
      </c>
      <c r="LP70" s="184">
        <v>15.0101</v>
      </c>
      <c r="LQ70" s="184">
        <v>2.0114000000000001</v>
      </c>
      <c r="LR70" s="184">
        <v>0.76629999999999998</v>
      </c>
      <c r="LS70" s="162">
        <f t="shared" si="90"/>
        <v>0.62542083333333331</v>
      </c>
      <c r="LT70" s="53">
        <f t="shared" si="91"/>
        <v>36.063699999999997</v>
      </c>
      <c r="LU70" s="231">
        <f t="shared" si="123"/>
        <v>1.6099999999999781E-2</v>
      </c>
      <c r="LW70" s="231"/>
      <c r="LX70" s="231">
        <v>60</v>
      </c>
      <c r="LY70" s="234">
        <v>9538</v>
      </c>
      <c r="LZ70" s="184">
        <v>15.0282</v>
      </c>
      <c r="MA70" s="184">
        <v>2.0137999999999998</v>
      </c>
      <c r="MB70" s="184">
        <v>0.76729999999999998</v>
      </c>
      <c r="MC70" s="162">
        <f t="shared" si="92"/>
        <v>0.62617500000000004</v>
      </c>
      <c r="MD70" s="53">
        <f t="shared" si="93"/>
        <v>36.0627</v>
      </c>
      <c r="ME70" s="231">
        <f t="shared" si="124"/>
        <v>1.8100000000000449E-2</v>
      </c>
      <c r="MF70" s="231"/>
      <c r="MG70" s="231"/>
      <c r="MH70" s="231">
        <v>60</v>
      </c>
      <c r="MI70" s="236">
        <v>9538</v>
      </c>
      <c r="MJ70" s="184">
        <v>15.045999999999999</v>
      </c>
      <c r="MK70" s="184">
        <v>2.0162</v>
      </c>
      <c r="ML70" s="184">
        <v>0.76819999999999999</v>
      </c>
      <c r="MM70" s="162">
        <f t="shared" si="94"/>
        <v>0.62691666666666668</v>
      </c>
      <c r="MN70" s="53">
        <f t="shared" si="95"/>
        <v>36.061799999999998</v>
      </c>
      <c r="MO70" s="231">
        <f t="shared" si="125"/>
        <v>1.7799999999999372E-2</v>
      </c>
      <c r="MP70" s="231"/>
      <c r="MQ70" s="231"/>
      <c r="MR70" s="231">
        <v>60</v>
      </c>
      <c r="MS70" s="238">
        <v>9538</v>
      </c>
      <c r="MT70" s="184">
        <v>15.08</v>
      </c>
      <c r="MU70" s="184">
        <v>2.0207999999999999</v>
      </c>
      <c r="MV70" s="184">
        <v>0.76990000000000003</v>
      </c>
      <c r="MW70" s="162">
        <f t="shared" si="96"/>
        <v>0.6283333333333333</v>
      </c>
      <c r="MX70" s="53">
        <f t="shared" si="97"/>
        <v>36.060099999999998</v>
      </c>
      <c r="MY70" s="231">
        <f t="shared" si="126"/>
        <v>3.4000000000000696E-2</v>
      </c>
      <c r="MZ70" s="246"/>
      <c r="NA70" s="246"/>
      <c r="NB70" s="246">
        <v>60</v>
      </c>
      <c r="NC70" s="242">
        <v>9538</v>
      </c>
      <c r="ND70" s="184">
        <v>15.114699999999999</v>
      </c>
      <c r="NE70" s="184">
        <v>2.0253999999999999</v>
      </c>
      <c r="NF70" s="184">
        <v>0.77170000000000005</v>
      </c>
      <c r="NG70" s="162">
        <f t="shared" si="98"/>
        <v>0.62977916666666667</v>
      </c>
      <c r="NH70" s="53">
        <f t="shared" si="99"/>
        <v>36.058299999999996</v>
      </c>
      <c r="NI70" s="232">
        <f t="shared" si="127"/>
        <v>3.4699999999999065E-2</v>
      </c>
      <c r="NK70" s="250"/>
      <c r="NL70" s="250">
        <v>60</v>
      </c>
      <c r="NM70" s="244">
        <v>9538</v>
      </c>
      <c r="NN70" s="184">
        <v>15.1249</v>
      </c>
      <c r="NO70" s="184">
        <v>2.0268000000000002</v>
      </c>
      <c r="NP70" s="184">
        <v>0.7722</v>
      </c>
      <c r="NQ70" s="162">
        <f t="shared" si="133"/>
        <v>0.63020416666666668</v>
      </c>
      <c r="NR70" s="53">
        <f t="shared" si="101"/>
        <v>36.0578</v>
      </c>
      <c r="NS70" s="232">
        <f t="shared" si="128"/>
        <v>1.0200000000001097E-2</v>
      </c>
      <c r="NU70" s="250"/>
      <c r="NV70" s="250">
        <v>60</v>
      </c>
      <c r="NW70" s="248">
        <v>9538</v>
      </c>
      <c r="NX70" s="184">
        <v>15.1411</v>
      </c>
      <c r="NY70" s="184">
        <v>2.0289999999999999</v>
      </c>
      <c r="NZ70" s="184">
        <v>0.77300000000000002</v>
      </c>
      <c r="OA70" s="162">
        <f t="shared" si="134"/>
        <v>0.63087916666666666</v>
      </c>
      <c r="OB70" s="53">
        <f t="shared" si="103"/>
        <v>36.056999999999995</v>
      </c>
      <c r="OC70" s="232">
        <f t="shared" si="129"/>
        <v>1.6199999999999548E-2</v>
      </c>
      <c r="OE70" s="250"/>
      <c r="OF70" s="250">
        <v>60</v>
      </c>
      <c r="OG70" s="251">
        <v>9538</v>
      </c>
      <c r="OH70" s="184">
        <v>15.1492</v>
      </c>
      <c r="OI70" s="184">
        <v>2.0301</v>
      </c>
      <c r="OJ70" s="184">
        <v>0.77339999999999998</v>
      </c>
      <c r="OK70" s="162">
        <f t="shared" si="135"/>
        <v>0.63121666666666665</v>
      </c>
      <c r="OL70" s="53">
        <f t="shared" si="105"/>
        <v>36.056599999999996</v>
      </c>
      <c r="OM70" s="232">
        <f t="shared" si="130"/>
        <v>8.1000000000006622E-3</v>
      </c>
      <c r="OP70" s="250">
        <v>60</v>
      </c>
      <c r="OQ70" s="253">
        <v>9538</v>
      </c>
      <c r="OR70" s="184">
        <f>VLOOKUP(OQ70,Sheet4!A12:F88,3,0)</f>
        <v>15.1678</v>
      </c>
      <c r="OS70" s="184">
        <f>VLOOKUP(OQ70,Sheet4!A12:F88,4,0)</f>
        <v>2.0325000000000002</v>
      </c>
      <c r="OT70" s="184">
        <f>VLOOKUP(OQ70,Sheet4!A12:F88,5,0)</f>
        <v>0.77439999999999998</v>
      </c>
      <c r="OU70" s="162">
        <f t="shared" si="106"/>
        <v>0.63199166666666662</v>
      </c>
      <c r="OV70" s="53">
        <f t="shared" si="107"/>
        <v>36.055599999999998</v>
      </c>
      <c r="OW70" s="232">
        <f t="shared" si="131"/>
        <v>1.8599999999999284E-2</v>
      </c>
    </row>
    <row r="71" spans="1:413" ht="15.75" x14ac:dyDescent="0.25">
      <c r="A71">
        <v>63</v>
      </c>
      <c r="B71" s="1">
        <v>9891</v>
      </c>
      <c r="C71" s="1" t="s">
        <v>1</v>
      </c>
      <c r="D71" s="2">
        <v>37.369999999999997</v>
      </c>
      <c r="E71" s="8"/>
      <c r="F71" s="8"/>
      <c r="G71" s="8"/>
      <c r="H71" s="8"/>
      <c r="J71" s="15">
        <v>9891</v>
      </c>
      <c r="K71" s="15">
        <v>6.1782000000000004</v>
      </c>
      <c r="L71" s="15">
        <v>0.82789999999999997</v>
      </c>
      <c r="M71" s="15">
        <v>0.31540000000000001</v>
      </c>
      <c r="N71" s="24">
        <f t="shared" si="42"/>
        <v>0.25742500000000001</v>
      </c>
      <c r="O71" s="10">
        <f t="shared" si="139"/>
        <v>37.054600000000001</v>
      </c>
      <c r="P71" s="18"/>
      <c r="R71" s="20">
        <v>9891</v>
      </c>
      <c r="S71" s="9">
        <v>6.2199</v>
      </c>
      <c r="T71" s="9">
        <v>0.83350000000000002</v>
      </c>
      <c r="U71" s="9">
        <v>0.31759999999999999</v>
      </c>
      <c r="V71" s="24">
        <f t="shared" si="43"/>
        <v>0.25916250000000002</v>
      </c>
      <c r="W71" s="10">
        <f t="shared" si="140"/>
        <v>37.052399999999999</v>
      </c>
      <c r="X71" s="18"/>
      <c r="Z71" s="27">
        <v>9891</v>
      </c>
      <c r="AA71" s="9">
        <v>6.3224</v>
      </c>
      <c r="AB71" s="9">
        <v>0.84719999999999995</v>
      </c>
      <c r="AC71" s="9">
        <v>0.32279999999999998</v>
      </c>
      <c r="AD71" s="24">
        <f t="shared" si="45"/>
        <v>0.26343333333333335</v>
      </c>
      <c r="AE71" s="10">
        <f t="shared" si="46"/>
        <v>37.047199999999997</v>
      </c>
      <c r="AF71" s="79"/>
      <c r="AG71">
        <v>63</v>
      </c>
      <c r="AH71" s="1">
        <v>9891</v>
      </c>
      <c r="AI71" s="1" t="s">
        <v>1</v>
      </c>
      <c r="AJ71" s="2">
        <v>37.369999999999997</v>
      </c>
      <c r="AL71" s="32">
        <v>9891</v>
      </c>
      <c r="AM71" s="9">
        <v>6.4333</v>
      </c>
      <c r="AN71" s="9">
        <v>0.86209999999999998</v>
      </c>
      <c r="AO71" s="9">
        <v>0.32850000000000001</v>
      </c>
      <c r="AP71" s="37">
        <f t="shared" si="0"/>
        <v>0.26805416666666665</v>
      </c>
      <c r="AQ71" s="53">
        <f t="shared" si="108"/>
        <v>37.041499999999999</v>
      </c>
      <c r="AT71" s="39"/>
      <c r="AU71" s="38">
        <v>9891</v>
      </c>
      <c r="AV71" s="9">
        <v>6.4804000000000004</v>
      </c>
      <c r="AW71" s="43">
        <v>0.86839999999999995</v>
      </c>
      <c r="AX71" s="43">
        <v>0.33090000000000003</v>
      </c>
      <c r="AY71" s="47">
        <f t="shared" si="47"/>
        <v>0.27001666666666668</v>
      </c>
      <c r="AZ71" s="56">
        <f t="shared" si="109"/>
        <v>37.039099999999998</v>
      </c>
      <c r="BD71" s="54">
        <v>9891</v>
      </c>
      <c r="BE71" s="53">
        <v>6.4856999999999996</v>
      </c>
      <c r="BF71" s="58">
        <v>0.86909999999999998</v>
      </c>
      <c r="BG71" s="58">
        <v>0.33110000000000001</v>
      </c>
      <c r="BH71" s="47">
        <f t="shared" si="48"/>
        <v>0.27023749999999996</v>
      </c>
      <c r="BI71" s="56">
        <f t="shared" si="49"/>
        <v>37.038899999999998</v>
      </c>
      <c r="BJ71" s="88"/>
      <c r="BK71" s="88"/>
      <c r="BL71" s="88"/>
      <c r="BN71" s="9">
        <v>9891</v>
      </c>
      <c r="BO71" s="53">
        <v>6.5056000000000003</v>
      </c>
      <c r="BP71" s="53">
        <v>0.87180000000000002</v>
      </c>
      <c r="BQ71" s="53">
        <v>0.33210000000000001</v>
      </c>
      <c r="BR71" s="53">
        <f t="shared" si="50"/>
        <v>0.27106666666666668</v>
      </c>
      <c r="BS71" s="53">
        <f t="shared" si="51"/>
        <v>37.0379</v>
      </c>
      <c r="BV71" s="88"/>
      <c r="BX71" s="93">
        <v>9891</v>
      </c>
      <c r="BY71" s="9">
        <v>6.5448000000000004</v>
      </c>
      <c r="BZ71" s="9">
        <v>0.877</v>
      </c>
      <c r="CA71" s="9">
        <v>0.33410000000000001</v>
      </c>
      <c r="CB71" s="58">
        <f t="shared" si="52"/>
        <v>0.2727</v>
      </c>
      <c r="CC71" s="53">
        <f t="shared" si="110"/>
        <v>37.035899999999998</v>
      </c>
      <c r="CF71" s="88"/>
      <c r="CG71">
        <v>61</v>
      </c>
      <c r="CH71" s="93">
        <v>9891</v>
      </c>
      <c r="CI71" s="93">
        <v>6.5785</v>
      </c>
      <c r="CJ71" s="9">
        <v>0.88149999999999995</v>
      </c>
      <c r="CK71" s="9">
        <v>0.33589999999999998</v>
      </c>
      <c r="CL71" s="47">
        <f t="shared" si="5"/>
        <v>0.27410416666666665</v>
      </c>
      <c r="CM71" s="53">
        <f t="shared" si="53"/>
        <v>37.034099999999995</v>
      </c>
      <c r="CQ71">
        <v>61</v>
      </c>
      <c r="CR71" s="98">
        <v>9891</v>
      </c>
      <c r="CS71" s="101">
        <v>6.6208999999999998</v>
      </c>
      <c r="CT71" s="101">
        <v>0.88719999999999999</v>
      </c>
      <c r="CU71" s="101">
        <v>0.33800000000000002</v>
      </c>
      <c r="CV71" s="47">
        <f t="shared" si="6"/>
        <v>0.27587083333333334</v>
      </c>
      <c r="CW71" s="53">
        <f t="shared" si="141"/>
        <v>37.031999999999996</v>
      </c>
      <c r="DA71">
        <v>61</v>
      </c>
      <c r="DB71" s="106">
        <v>9891</v>
      </c>
      <c r="DC71" s="107">
        <v>6.6250999999999998</v>
      </c>
      <c r="DD71" s="107">
        <v>0.88780000000000003</v>
      </c>
      <c r="DE71" s="107">
        <v>0.3382</v>
      </c>
      <c r="DF71" s="47">
        <f t="shared" si="136"/>
        <v>0.27604583333333332</v>
      </c>
      <c r="DG71" s="53">
        <f t="shared" si="111"/>
        <v>37.031799999999997</v>
      </c>
      <c r="DK71">
        <v>61</v>
      </c>
      <c r="DL71" s="110">
        <v>9891</v>
      </c>
      <c r="DM71" s="53">
        <v>6.6734</v>
      </c>
      <c r="DN71" s="53">
        <v>0.89429999999999998</v>
      </c>
      <c r="DO71" s="53">
        <v>0.3407</v>
      </c>
      <c r="DP71" s="47">
        <f t="shared" si="137"/>
        <v>0.27805833333333335</v>
      </c>
      <c r="DQ71" s="53">
        <f t="shared" si="54"/>
        <v>37.029299999999999</v>
      </c>
      <c r="DS71" s="3">
        <f t="shared" si="55"/>
        <v>4.8300000000000232E-2</v>
      </c>
      <c r="DU71">
        <v>61</v>
      </c>
      <c r="DV71" s="115">
        <v>9891</v>
      </c>
      <c r="DW71" s="53">
        <f>Sheet3!B$62</f>
        <v>6.7035</v>
      </c>
      <c r="DX71" s="53">
        <f>Sheet3!C$62</f>
        <v>0.89829999999999999</v>
      </c>
      <c r="DY71" s="53">
        <f>Sheet3!D$62</f>
        <v>0.34229999999999999</v>
      </c>
      <c r="DZ71" s="47">
        <f t="shared" si="138"/>
        <v>0.27931250000000002</v>
      </c>
      <c r="EA71" s="53">
        <f t="shared" si="112"/>
        <v>37.027699999999996</v>
      </c>
      <c r="EB71" s="3"/>
      <c r="EE71">
        <v>61</v>
      </c>
      <c r="EF71" s="118">
        <v>9891</v>
      </c>
      <c r="EG71" s="9">
        <v>6.7506000000000004</v>
      </c>
      <c r="EH71" s="9">
        <v>0.90459999999999996</v>
      </c>
      <c r="EI71" s="9">
        <v>0.34470000000000001</v>
      </c>
      <c r="EJ71" s="47">
        <f t="shared" si="10"/>
        <v>0.281275</v>
      </c>
      <c r="EK71" s="53">
        <f t="shared" si="56"/>
        <v>37.025299999999994</v>
      </c>
      <c r="EM71" s="3">
        <f t="shared" si="57"/>
        <v>-2.400000000001512E-3</v>
      </c>
      <c r="EN71" s="3"/>
      <c r="EO71">
        <v>61</v>
      </c>
      <c r="EP71" s="121">
        <v>9891</v>
      </c>
      <c r="EQ71" s="122">
        <v>6.8441999999999998</v>
      </c>
      <c r="ER71" s="122">
        <v>0.91710000000000003</v>
      </c>
      <c r="ES71" s="129">
        <v>0.34939999999999999</v>
      </c>
      <c r="ET71" s="130">
        <f t="shared" si="11"/>
        <v>0.28517500000000001</v>
      </c>
      <c r="EU71" s="131">
        <f t="shared" si="58"/>
        <v>37.020599999999995</v>
      </c>
      <c r="EX71" s="3"/>
      <c r="EY71">
        <v>61</v>
      </c>
      <c r="EZ71" s="135">
        <v>9891</v>
      </c>
      <c r="FA71" s="135">
        <v>6.8883000000000001</v>
      </c>
      <c r="FB71" s="135">
        <v>0.92310000000000003</v>
      </c>
      <c r="FC71" s="135">
        <v>0.35170000000000001</v>
      </c>
      <c r="FD71" s="136">
        <f t="shared" si="12"/>
        <v>0.2870125</v>
      </c>
      <c r="FE71" s="131">
        <f t="shared" si="59"/>
        <v>37.018299999999996</v>
      </c>
      <c r="FG71" s="123">
        <f t="shared" si="60"/>
        <v>-2.2999999999981924E-3</v>
      </c>
      <c r="FH71" s="3"/>
      <c r="FI71">
        <v>61</v>
      </c>
      <c r="FJ71" s="145">
        <v>9891</v>
      </c>
      <c r="FK71" s="9">
        <v>6.9470999999999998</v>
      </c>
      <c r="FL71" s="9">
        <v>0.93089999999999995</v>
      </c>
      <c r="FM71" s="9">
        <v>0.35470000000000002</v>
      </c>
      <c r="FN71" s="146">
        <f t="shared" si="113"/>
        <v>0.28946250000000001</v>
      </c>
      <c r="FO71" s="131">
        <f t="shared" si="61"/>
        <v>37.015299999999996</v>
      </c>
      <c r="FP71" s="123">
        <f t="shared" si="62"/>
        <v>-3.0000000000001137E-3</v>
      </c>
      <c r="FS71">
        <v>61</v>
      </c>
      <c r="FT71" s="147">
        <v>9891</v>
      </c>
      <c r="FU71" s="148">
        <v>6.9592000000000001</v>
      </c>
      <c r="FV71" s="148">
        <v>0.93259999999999998</v>
      </c>
      <c r="FW71" s="148">
        <v>0.3553</v>
      </c>
      <c r="FX71" s="150">
        <f t="shared" si="114"/>
        <v>0.28996666666666665</v>
      </c>
      <c r="FY71" s="131">
        <f t="shared" si="115"/>
        <v>37.014699999999998</v>
      </c>
      <c r="FZ71">
        <f t="shared" si="63"/>
        <v>1.2100000000000222E-2</v>
      </c>
      <c r="GC71">
        <v>61</v>
      </c>
      <c r="GD71" s="151">
        <v>9891</v>
      </c>
      <c r="GE71" s="151">
        <v>6.9890999999999996</v>
      </c>
      <c r="GF71" s="151">
        <v>0.93659999999999999</v>
      </c>
      <c r="GG71" s="151">
        <v>0.35680000000000001</v>
      </c>
      <c r="GH71" s="153">
        <f t="shared" si="132"/>
        <v>0.29121249999999999</v>
      </c>
      <c r="GI71" s="131">
        <f t="shared" si="64"/>
        <v>37.013199999999998</v>
      </c>
      <c r="GJ71">
        <f t="shared" si="142"/>
        <v>2.9899999999999594E-2</v>
      </c>
      <c r="GM71">
        <v>61</v>
      </c>
      <c r="GN71" s="155">
        <v>9891</v>
      </c>
      <c r="GO71" s="155">
        <v>7.0525000000000002</v>
      </c>
      <c r="GP71" s="155">
        <v>0.94510000000000005</v>
      </c>
      <c r="GQ71" s="155">
        <v>0.36009999999999998</v>
      </c>
      <c r="GR71" s="58">
        <f t="shared" si="65"/>
        <v>0.29385416666666669</v>
      </c>
      <c r="GS71" s="131">
        <f t="shared" si="66"/>
        <v>37.009899999999995</v>
      </c>
      <c r="GT71">
        <f t="shared" si="143"/>
        <v>6.3400000000000567E-2</v>
      </c>
      <c r="GW71">
        <v>61</v>
      </c>
      <c r="GX71" s="157">
        <v>9891</v>
      </c>
      <c r="GY71" s="161">
        <f>VLOOKUP(GX71,Sheet3!$AJ$7:$AN$83,2,0)</f>
        <v>7.133</v>
      </c>
      <c r="GZ71" s="161">
        <f>VLOOKUP(GX71,Sheet3!$AJ$7:$AN$83,3,0)</f>
        <v>0.95579999999999998</v>
      </c>
      <c r="HA71" s="161">
        <f>VLOOKUP(GX71,Sheet3!$AJ$7:$AN$83,4,0)</f>
        <v>0.36420000000000002</v>
      </c>
      <c r="HB71" s="162">
        <f t="shared" si="17"/>
        <v>0.29720833333333335</v>
      </c>
      <c r="HC71" s="131">
        <f t="shared" si="116"/>
        <v>37.005800000000001</v>
      </c>
      <c r="HD71" s="159">
        <f t="shared" si="144"/>
        <v>8.0499999999999794E-2</v>
      </c>
      <c r="HE71" s="159">
        <f t="shared" si="145"/>
        <v>4.1000000000000481E-3</v>
      </c>
      <c r="HG71" s="159"/>
      <c r="HH71" s="159">
        <v>61</v>
      </c>
      <c r="HI71" s="158">
        <v>9891</v>
      </c>
      <c r="HJ71" s="161">
        <v>7.1654999999999998</v>
      </c>
      <c r="HK71" s="161">
        <v>0.96020000000000005</v>
      </c>
      <c r="HL71" s="161">
        <v>0.36580000000000001</v>
      </c>
      <c r="HM71" s="162">
        <f t="shared" si="18"/>
        <v>0.29856250000000001</v>
      </c>
      <c r="HN71" s="131">
        <f t="shared" si="67"/>
        <v>37.004199999999997</v>
      </c>
      <c r="HO71" s="159">
        <f t="shared" si="68"/>
        <v>3.2499999999999751E-2</v>
      </c>
      <c r="HQ71" s="183"/>
      <c r="HR71" s="183">
        <v>61</v>
      </c>
      <c r="HS71" s="178">
        <v>9891</v>
      </c>
      <c r="HT71" s="184">
        <v>7.1867000000000001</v>
      </c>
      <c r="HU71" s="184">
        <v>0.96299999999999997</v>
      </c>
      <c r="HV71" s="184">
        <v>0.3669</v>
      </c>
      <c r="HW71" s="171">
        <f t="shared" si="19"/>
        <v>0.29944583333333336</v>
      </c>
      <c r="HX71" s="53">
        <f t="shared" si="69"/>
        <v>37.003099999999996</v>
      </c>
      <c r="HY71" s="183">
        <f t="shared" si="70"/>
        <v>2.120000000000033E-2</v>
      </c>
      <c r="IA71" s="194"/>
      <c r="IB71" s="194">
        <v>61</v>
      </c>
      <c r="IC71" s="193">
        <v>9891</v>
      </c>
      <c r="ID71" s="161">
        <v>7.1959</v>
      </c>
      <c r="IE71" s="184">
        <v>0.96430000000000005</v>
      </c>
      <c r="IF71" s="184">
        <v>0.3674</v>
      </c>
      <c r="IG71" s="171">
        <f t="shared" si="71"/>
        <v>0.29982916666666665</v>
      </c>
      <c r="IH71" s="53">
        <f t="shared" si="72"/>
        <v>37.002599999999994</v>
      </c>
      <c r="II71" s="194">
        <f t="shared" si="73"/>
        <v>9.1999999999998749E-3</v>
      </c>
      <c r="IL71" s="199">
        <v>61</v>
      </c>
      <c r="IM71" s="197">
        <v>9891</v>
      </c>
      <c r="IN71" s="161">
        <v>7.2441000000000004</v>
      </c>
      <c r="IO71" s="184">
        <v>0.97070000000000001</v>
      </c>
      <c r="IP71" s="184">
        <v>0.36990000000000001</v>
      </c>
      <c r="IQ71" s="171">
        <f t="shared" si="74"/>
        <v>0.30183750000000004</v>
      </c>
      <c r="IR71" s="53">
        <f t="shared" si="75"/>
        <v>37.000099999999996</v>
      </c>
      <c r="IS71" s="199">
        <f t="shared" si="76"/>
        <v>4.8200000000000465E-2</v>
      </c>
      <c r="IU71" s="202"/>
      <c r="IV71" s="202">
        <v>61</v>
      </c>
      <c r="IW71" s="201">
        <v>9891</v>
      </c>
      <c r="IX71" s="184">
        <v>7.3091999999999997</v>
      </c>
      <c r="IY71" s="184">
        <v>0.97950000000000004</v>
      </c>
      <c r="IZ71" s="184">
        <v>0.37319999999999998</v>
      </c>
      <c r="JA71" s="162">
        <f t="shared" si="22"/>
        <v>0.30454999999999999</v>
      </c>
      <c r="JB71" s="53">
        <f t="shared" si="77"/>
        <v>36.9968</v>
      </c>
      <c r="JC71" s="202">
        <f t="shared" si="78"/>
        <v>6.509999999999927E-2</v>
      </c>
      <c r="JE71" s="204"/>
      <c r="JF71" s="204">
        <v>61</v>
      </c>
      <c r="JG71" s="203">
        <v>9891</v>
      </c>
      <c r="JH71" s="161">
        <v>7.3299000000000003</v>
      </c>
      <c r="JI71" s="184">
        <v>0.98219999999999996</v>
      </c>
      <c r="JJ71" s="184">
        <v>0.37419999999999998</v>
      </c>
      <c r="JK71" s="162">
        <f t="shared" si="79"/>
        <v>0.30541250000000003</v>
      </c>
      <c r="JL71" s="53">
        <f t="shared" si="80"/>
        <v>36.995799999999996</v>
      </c>
      <c r="JM71" s="204">
        <f t="shared" si="117"/>
        <v>2.0700000000000607E-2</v>
      </c>
      <c r="JN71" s="204"/>
      <c r="JP71" s="209">
        <v>61</v>
      </c>
      <c r="JQ71" s="205">
        <v>9891</v>
      </c>
      <c r="JR71" s="161">
        <v>7.3464999999999998</v>
      </c>
      <c r="JS71" s="184">
        <v>0.98450000000000004</v>
      </c>
      <c r="JT71" s="184">
        <v>0.37509999999999999</v>
      </c>
      <c r="JU71" s="162">
        <f t="shared" si="81"/>
        <v>0.30610416666666668</v>
      </c>
      <c r="JV71" s="53">
        <f t="shared" si="82"/>
        <v>36.994899999999994</v>
      </c>
      <c r="JW71" s="209">
        <f t="shared" si="118"/>
        <v>1.6599999999999504E-2</v>
      </c>
      <c r="JX71" s="213"/>
      <c r="JY71" s="213"/>
      <c r="JZ71" s="213">
        <v>61</v>
      </c>
      <c r="KA71" s="206">
        <v>9891</v>
      </c>
      <c r="KB71" s="184">
        <v>7.3855000000000004</v>
      </c>
      <c r="KC71" s="184">
        <v>0.98970000000000002</v>
      </c>
      <c r="KD71" s="184">
        <v>0.37709999999999999</v>
      </c>
      <c r="KE71" s="162">
        <f t="shared" si="83"/>
        <v>0.30772916666666666</v>
      </c>
      <c r="KF71" s="53">
        <f t="shared" si="84"/>
        <v>36.992899999999999</v>
      </c>
      <c r="KG71" s="213">
        <f t="shared" si="119"/>
        <v>3.900000000000059E-2</v>
      </c>
      <c r="KI71" s="219"/>
      <c r="KJ71" s="219">
        <v>61</v>
      </c>
      <c r="KK71" s="214">
        <v>9891</v>
      </c>
      <c r="KL71" s="161">
        <v>7.3985000000000003</v>
      </c>
      <c r="KM71" s="161">
        <v>0.99139999999999995</v>
      </c>
      <c r="KN71" s="161">
        <v>0.37769999999999998</v>
      </c>
      <c r="KO71" s="162">
        <f t="shared" si="24"/>
        <v>0.30827083333333333</v>
      </c>
      <c r="KP71" s="53">
        <f t="shared" si="85"/>
        <v>36.9923</v>
      </c>
      <c r="KQ71" s="219">
        <f t="shared" si="120"/>
        <v>1.2999999999999901E-2</v>
      </c>
      <c r="KT71" s="223">
        <v>61</v>
      </c>
      <c r="KU71" s="216">
        <v>9891</v>
      </c>
      <c r="KV71" s="161">
        <v>7.4122000000000003</v>
      </c>
      <c r="KW71" s="161">
        <v>0.99329999999999996</v>
      </c>
      <c r="KX71" s="161">
        <v>0.37840000000000001</v>
      </c>
      <c r="KY71" s="162">
        <f t="shared" si="86"/>
        <v>0.30884166666666668</v>
      </c>
      <c r="KZ71" s="53">
        <f t="shared" si="87"/>
        <v>36.991599999999998</v>
      </c>
      <c r="LA71" s="223">
        <f t="shared" si="121"/>
        <v>1.3700000000000045E-2</v>
      </c>
      <c r="LD71" s="228">
        <v>61</v>
      </c>
      <c r="LE71" s="221">
        <v>9891</v>
      </c>
      <c r="LF71" s="161">
        <v>7.4237000000000002</v>
      </c>
      <c r="LG71" s="161">
        <v>0.99480000000000002</v>
      </c>
      <c r="LH71" s="161">
        <v>0.379</v>
      </c>
      <c r="LI71" s="162">
        <f t="shared" si="88"/>
        <v>0.30932083333333332</v>
      </c>
      <c r="LJ71" s="53">
        <f t="shared" si="89"/>
        <v>36.991</v>
      </c>
      <c r="LK71" s="228">
        <f t="shared" si="122"/>
        <v>1.1499999999999844E-2</v>
      </c>
      <c r="LL71" s="231"/>
      <c r="LM71" s="231"/>
      <c r="LN71" s="231">
        <v>61</v>
      </c>
      <c r="LO71" s="226">
        <v>9891</v>
      </c>
      <c r="LP71" s="184">
        <v>7.4398</v>
      </c>
      <c r="LQ71" s="184">
        <v>0.997</v>
      </c>
      <c r="LR71" s="184">
        <v>0.37980000000000003</v>
      </c>
      <c r="LS71" s="162">
        <f t="shared" si="90"/>
        <v>0.30999166666666667</v>
      </c>
      <c r="LT71" s="53">
        <f t="shared" si="91"/>
        <v>36.990199999999994</v>
      </c>
      <c r="LU71" s="231">
        <f t="shared" si="123"/>
        <v>1.6099999999999781E-2</v>
      </c>
      <c r="LW71" s="231"/>
      <c r="LX71" s="231">
        <v>61</v>
      </c>
      <c r="LY71" s="234">
        <v>9891</v>
      </c>
      <c r="LZ71" s="184">
        <v>7.4579000000000004</v>
      </c>
      <c r="MA71" s="184">
        <v>0.99939999999999996</v>
      </c>
      <c r="MB71" s="184">
        <v>0.38080000000000003</v>
      </c>
      <c r="MC71" s="162">
        <f t="shared" si="92"/>
        <v>0.31074583333333333</v>
      </c>
      <c r="MD71" s="53">
        <f t="shared" si="93"/>
        <v>36.989199999999997</v>
      </c>
      <c r="ME71" s="231">
        <f t="shared" si="124"/>
        <v>1.8100000000000449E-2</v>
      </c>
      <c r="MF71" s="231"/>
      <c r="MG71" s="231"/>
      <c r="MH71" s="231">
        <v>61</v>
      </c>
      <c r="MI71" s="236">
        <v>9891</v>
      </c>
      <c r="MJ71" s="184">
        <v>7.4756999999999998</v>
      </c>
      <c r="MK71" s="184">
        <v>1.0018</v>
      </c>
      <c r="ML71" s="184">
        <v>0.38169999999999998</v>
      </c>
      <c r="MM71" s="162">
        <f t="shared" si="94"/>
        <v>0.31148749999999997</v>
      </c>
      <c r="MN71" s="53">
        <f t="shared" si="95"/>
        <v>36.988299999999995</v>
      </c>
      <c r="MO71" s="231">
        <f t="shared" si="125"/>
        <v>1.7799999999999372E-2</v>
      </c>
      <c r="MP71" s="231"/>
      <c r="MQ71" s="231"/>
      <c r="MR71" s="231">
        <v>61</v>
      </c>
      <c r="MS71" s="238">
        <v>9891</v>
      </c>
      <c r="MT71" s="184">
        <v>7.5096999999999996</v>
      </c>
      <c r="MU71" s="184">
        <v>1.0063</v>
      </c>
      <c r="MV71" s="184">
        <v>0.38340000000000002</v>
      </c>
      <c r="MW71" s="162">
        <f t="shared" si="96"/>
        <v>0.31290416666666665</v>
      </c>
      <c r="MX71" s="53">
        <f t="shared" si="97"/>
        <v>36.986599999999996</v>
      </c>
      <c r="MY71" s="231">
        <f t="shared" si="126"/>
        <v>3.3999999999999808E-2</v>
      </c>
      <c r="MZ71" s="246"/>
      <c r="NA71" s="246"/>
      <c r="NB71" s="246">
        <v>61</v>
      </c>
      <c r="NC71" s="242">
        <v>9891</v>
      </c>
      <c r="ND71" s="184">
        <v>7.5444000000000004</v>
      </c>
      <c r="NE71" s="184">
        <v>1.0109999999999999</v>
      </c>
      <c r="NF71" s="184">
        <v>0.38519999999999999</v>
      </c>
      <c r="NG71" s="162">
        <f t="shared" si="98"/>
        <v>0.31435000000000002</v>
      </c>
      <c r="NH71" s="53">
        <f t="shared" si="99"/>
        <v>36.9848</v>
      </c>
      <c r="NI71" s="232">
        <f t="shared" si="127"/>
        <v>3.4700000000000841E-2</v>
      </c>
      <c r="NK71" s="250"/>
      <c r="NL71" s="250">
        <v>61</v>
      </c>
      <c r="NM71" s="244">
        <v>9891</v>
      </c>
      <c r="NN71" s="184">
        <v>7.5545999999999998</v>
      </c>
      <c r="NO71" s="184">
        <v>1.0123</v>
      </c>
      <c r="NP71" s="184">
        <v>0.38569999999999999</v>
      </c>
      <c r="NQ71" s="162">
        <f t="shared" si="133"/>
        <v>0.31477499999999997</v>
      </c>
      <c r="NR71" s="53">
        <f t="shared" si="101"/>
        <v>36.984299999999998</v>
      </c>
      <c r="NS71" s="232">
        <f t="shared" si="128"/>
        <v>1.0199999999999321E-2</v>
      </c>
      <c r="NU71" s="250"/>
      <c r="NV71" s="250">
        <v>61</v>
      </c>
      <c r="NW71" s="248">
        <v>9891</v>
      </c>
      <c r="NX71" s="184">
        <v>7.5708000000000002</v>
      </c>
      <c r="NY71" s="184">
        <v>1.0145</v>
      </c>
      <c r="NZ71" s="184">
        <v>0.38650000000000001</v>
      </c>
      <c r="OA71" s="162">
        <f t="shared" si="134"/>
        <v>0.31545000000000001</v>
      </c>
      <c r="OB71" s="53">
        <f t="shared" si="103"/>
        <v>36.983499999999999</v>
      </c>
      <c r="OC71" s="232">
        <f t="shared" si="129"/>
        <v>1.6200000000000436E-2</v>
      </c>
      <c r="OE71" s="250"/>
      <c r="OF71" s="250">
        <v>61</v>
      </c>
      <c r="OG71" s="251">
        <v>9891</v>
      </c>
      <c r="OH71" s="184">
        <v>7.5789</v>
      </c>
      <c r="OI71" s="184">
        <v>1.0156000000000001</v>
      </c>
      <c r="OJ71" s="184">
        <v>0.38690000000000002</v>
      </c>
      <c r="OK71" s="162">
        <f t="shared" si="135"/>
        <v>0.3157875</v>
      </c>
      <c r="OL71" s="53">
        <f t="shared" si="105"/>
        <v>36.9831</v>
      </c>
      <c r="OM71" s="232">
        <f t="shared" si="130"/>
        <v>8.099999999999774E-3</v>
      </c>
      <c r="OP71" s="250">
        <v>61</v>
      </c>
      <c r="OQ71" s="253">
        <v>9891</v>
      </c>
      <c r="OR71" s="184">
        <f>VLOOKUP(OQ71,Sheet4!A13:F89,3,0)</f>
        <v>7.5975000000000001</v>
      </c>
      <c r="OS71" s="184">
        <f>VLOOKUP(OQ71,Sheet4!A13:F89,4,0)</f>
        <v>1.0181</v>
      </c>
      <c r="OT71" s="184">
        <f>VLOOKUP(OQ71,Sheet4!A13:F89,5,0)</f>
        <v>0.38790000000000002</v>
      </c>
      <c r="OU71" s="162">
        <f t="shared" si="106"/>
        <v>0.31656250000000002</v>
      </c>
      <c r="OV71" s="53">
        <f t="shared" si="107"/>
        <v>36.982099999999996</v>
      </c>
      <c r="OW71" s="232">
        <f t="shared" si="131"/>
        <v>1.8600000000000172E-2</v>
      </c>
    </row>
    <row r="72" spans="1:413" ht="15.75" x14ac:dyDescent="0.25">
      <c r="A72">
        <v>64</v>
      </c>
      <c r="B72" s="1">
        <v>9537</v>
      </c>
      <c r="C72" s="1" t="s">
        <v>1</v>
      </c>
      <c r="D72" s="2">
        <v>36.46</v>
      </c>
      <c r="E72" s="8"/>
      <c r="F72" s="8"/>
      <c r="G72" s="8"/>
      <c r="H72" s="8"/>
      <c r="J72" s="15">
        <v>9537</v>
      </c>
      <c r="K72" s="15">
        <v>13.7485</v>
      </c>
      <c r="L72" s="15">
        <v>1.8424</v>
      </c>
      <c r="M72" s="15">
        <v>0.70189999999999997</v>
      </c>
      <c r="N72" s="24">
        <f t="shared" si="42"/>
        <v>0.57285416666666666</v>
      </c>
      <c r="O72" s="10">
        <f t="shared" si="139"/>
        <v>35.758099999999999</v>
      </c>
      <c r="P72" s="18"/>
      <c r="R72" s="20">
        <v>9537</v>
      </c>
      <c r="S72" s="9">
        <v>13.7902</v>
      </c>
      <c r="T72" s="9">
        <v>1.8479000000000001</v>
      </c>
      <c r="U72" s="9">
        <v>0.70409999999999995</v>
      </c>
      <c r="V72" s="24">
        <f t="shared" si="43"/>
        <v>0.57459166666666672</v>
      </c>
      <c r="W72" s="10">
        <f t="shared" si="140"/>
        <v>35.755900000000004</v>
      </c>
      <c r="X72" s="18"/>
      <c r="Z72" s="27">
        <v>9537</v>
      </c>
      <c r="AA72" s="9">
        <v>13.8927</v>
      </c>
      <c r="AB72" s="9">
        <v>1.8616999999999999</v>
      </c>
      <c r="AC72" s="9">
        <v>0.70930000000000004</v>
      </c>
      <c r="AD72" s="24">
        <f t="shared" si="45"/>
        <v>0.57886249999999995</v>
      </c>
      <c r="AE72" s="10">
        <f t="shared" si="46"/>
        <v>35.750700000000002</v>
      </c>
      <c r="AF72" s="79"/>
      <c r="AG72">
        <v>64</v>
      </c>
      <c r="AH72" s="1">
        <v>9537</v>
      </c>
      <c r="AI72" s="1" t="s">
        <v>1</v>
      </c>
      <c r="AJ72" s="2">
        <v>36.46</v>
      </c>
      <c r="AL72" s="32">
        <v>9537</v>
      </c>
      <c r="AM72" s="9">
        <v>14.0036</v>
      </c>
      <c r="AN72" s="9">
        <v>1.8765000000000001</v>
      </c>
      <c r="AO72" s="9">
        <v>0.71499999999999997</v>
      </c>
      <c r="AP72" s="37">
        <f t="shared" si="0"/>
        <v>0.58348333333333335</v>
      </c>
      <c r="AQ72" s="53">
        <f t="shared" si="108"/>
        <v>35.744999999999997</v>
      </c>
      <c r="AT72" s="39"/>
      <c r="AU72" s="38">
        <v>9537</v>
      </c>
      <c r="AV72" s="9">
        <v>14.050700000000001</v>
      </c>
      <c r="AW72" s="43">
        <v>1.8828</v>
      </c>
      <c r="AX72" s="43">
        <v>0.71740000000000004</v>
      </c>
      <c r="AY72" s="47">
        <f t="shared" si="47"/>
        <v>0.58544583333333333</v>
      </c>
      <c r="AZ72" s="56">
        <f t="shared" si="109"/>
        <v>35.742600000000003</v>
      </c>
      <c r="BD72" s="54">
        <v>9537</v>
      </c>
      <c r="BE72" s="53">
        <v>14.055999999999999</v>
      </c>
      <c r="BF72" s="58">
        <v>1.8835999999999999</v>
      </c>
      <c r="BG72" s="58">
        <v>0.71760000000000002</v>
      </c>
      <c r="BH72" s="47">
        <f t="shared" si="48"/>
        <v>0.58566666666666667</v>
      </c>
      <c r="BI72" s="56">
        <f t="shared" si="49"/>
        <v>35.742400000000004</v>
      </c>
      <c r="BJ72" s="88"/>
      <c r="BK72" s="88"/>
      <c r="BL72" s="88"/>
      <c r="BN72" s="9">
        <v>9537</v>
      </c>
      <c r="BO72" s="53">
        <v>14.075900000000001</v>
      </c>
      <c r="BP72" s="53">
        <v>1.8862000000000001</v>
      </c>
      <c r="BQ72" s="53">
        <v>0.71870000000000001</v>
      </c>
      <c r="BR72" s="53">
        <f t="shared" si="50"/>
        <v>0.58649583333333333</v>
      </c>
      <c r="BS72" s="53">
        <f t="shared" si="51"/>
        <v>35.741300000000003</v>
      </c>
      <c r="BV72" s="88"/>
      <c r="BX72" s="93">
        <v>9537</v>
      </c>
      <c r="BY72" s="9">
        <v>14.1151</v>
      </c>
      <c r="BZ72" s="9">
        <v>1.8915</v>
      </c>
      <c r="CA72" s="9">
        <v>0.72070000000000001</v>
      </c>
      <c r="CB72" s="58">
        <f t="shared" si="52"/>
        <v>0.5881291666666667</v>
      </c>
      <c r="CC72" s="53">
        <f t="shared" si="110"/>
        <v>35.7393</v>
      </c>
      <c r="CF72" s="88"/>
      <c r="CG72">
        <v>62</v>
      </c>
      <c r="CH72" s="93">
        <v>9537</v>
      </c>
      <c r="CI72" s="93">
        <v>14.1488</v>
      </c>
      <c r="CJ72" s="9">
        <v>1.8959999999999999</v>
      </c>
      <c r="CK72" s="9">
        <v>0.72240000000000004</v>
      </c>
      <c r="CL72" s="47">
        <f t="shared" si="5"/>
        <v>0.58953333333333335</v>
      </c>
      <c r="CM72" s="53">
        <f t="shared" si="53"/>
        <v>35.7376</v>
      </c>
      <c r="CQ72">
        <v>62</v>
      </c>
      <c r="CR72" s="98">
        <v>9537</v>
      </c>
      <c r="CS72" s="101">
        <v>14.1912</v>
      </c>
      <c r="CT72" s="101">
        <v>1.9016999999999999</v>
      </c>
      <c r="CU72" s="101">
        <v>0.72450000000000003</v>
      </c>
      <c r="CV72" s="47">
        <f t="shared" si="6"/>
        <v>0.59130000000000005</v>
      </c>
      <c r="CW72" s="53">
        <f t="shared" si="141"/>
        <v>35.735500000000002</v>
      </c>
      <c r="DA72">
        <v>62</v>
      </c>
      <c r="DB72" s="106">
        <v>9537</v>
      </c>
      <c r="DC72" s="107">
        <v>14.195399999999999</v>
      </c>
      <c r="DD72" s="107">
        <v>1.9021999999999999</v>
      </c>
      <c r="DE72" s="107">
        <v>0.7248</v>
      </c>
      <c r="DF72" s="47">
        <f t="shared" si="136"/>
        <v>0.59147499999999997</v>
      </c>
      <c r="DG72" s="53">
        <f t="shared" si="111"/>
        <v>35.735199999999999</v>
      </c>
      <c r="DK72">
        <v>62</v>
      </c>
      <c r="DL72" s="110">
        <v>9537</v>
      </c>
      <c r="DM72" s="53">
        <v>14.2437</v>
      </c>
      <c r="DN72" s="53">
        <v>1.9087000000000001</v>
      </c>
      <c r="DO72" s="53">
        <v>0.72719999999999996</v>
      </c>
      <c r="DP72" s="47">
        <f t="shared" si="137"/>
        <v>0.59348750000000006</v>
      </c>
      <c r="DQ72" s="53">
        <f t="shared" si="54"/>
        <v>35.732799999999997</v>
      </c>
      <c r="DS72" s="3">
        <f t="shared" si="55"/>
        <v>4.830000000000112E-2</v>
      </c>
      <c r="DU72">
        <v>62</v>
      </c>
      <c r="DV72" s="115">
        <v>9537</v>
      </c>
      <c r="DW72" s="53">
        <f>Sheet3!B$19</f>
        <v>14.2738</v>
      </c>
      <c r="DX72" s="53">
        <f>Sheet3!C$19</f>
        <v>1.9127000000000001</v>
      </c>
      <c r="DY72" s="53">
        <f>Sheet3!D$19</f>
        <v>0.7288</v>
      </c>
      <c r="DZ72" s="47">
        <f t="shared" si="138"/>
        <v>0.59474166666666661</v>
      </c>
      <c r="EA72" s="53">
        <f t="shared" si="112"/>
        <v>35.731200000000001</v>
      </c>
      <c r="EB72" s="3"/>
      <c r="EE72">
        <v>62</v>
      </c>
      <c r="EF72" s="118">
        <v>9537</v>
      </c>
      <c r="EG72" s="9">
        <v>14.3209</v>
      </c>
      <c r="EH72" s="9">
        <v>1.9191</v>
      </c>
      <c r="EI72" s="9">
        <v>0.73119999999999996</v>
      </c>
      <c r="EJ72" s="47">
        <f t="shared" si="10"/>
        <v>0.5967041666666667</v>
      </c>
      <c r="EK72" s="53">
        <f t="shared" si="56"/>
        <v>35.7288</v>
      </c>
      <c r="EM72" s="3">
        <f t="shared" si="57"/>
        <v>-2.400000000001512E-3</v>
      </c>
      <c r="EN72" s="3"/>
      <c r="EO72">
        <v>62</v>
      </c>
      <c r="EP72" s="121">
        <v>9537</v>
      </c>
      <c r="EQ72" s="122">
        <v>14.4145</v>
      </c>
      <c r="ER72" s="122">
        <v>1.9316</v>
      </c>
      <c r="ES72" s="129">
        <v>0.7359</v>
      </c>
      <c r="ET72" s="130">
        <f t="shared" si="11"/>
        <v>0.60060416666666672</v>
      </c>
      <c r="EU72" s="131">
        <f t="shared" si="58"/>
        <v>35.7241</v>
      </c>
      <c r="EX72" s="3"/>
      <c r="EY72">
        <v>62</v>
      </c>
      <c r="EZ72" s="135">
        <v>9537</v>
      </c>
      <c r="FA72" s="135">
        <v>14.458600000000001</v>
      </c>
      <c r="FB72" s="135">
        <v>1.9375</v>
      </c>
      <c r="FC72" s="135">
        <v>0.73819999999999997</v>
      </c>
      <c r="FD72" s="136">
        <f t="shared" si="12"/>
        <v>0.60244166666666665</v>
      </c>
      <c r="FE72" s="131">
        <f t="shared" si="59"/>
        <v>35.721800000000002</v>
      </c>
      <c r="FG72" s="123">
        <f t="shared" si="60"/>
        <v>-2.2999999999981924E-3</v>
      </c>
      <c r="FH72" s="3"/>
      <c r="FI72">
        <v>62</v>
      </c>
      <c r="FJ72" s="145">
        <v>9537</v>
      </c>
      <c r="FK72" s="9">
        <v>14.5174</v>
      </c>
      <c r="FL72" s="9">
        <v>1.9454</v>
      </c>
      <c r="FM72" s="9">
        <v>0.74119999999999997</v>
      </c>
      <c r="FN72" s="146">
        <f t="shared" si="113"/>
        <v>0.60489166666666672</v>
      </c>
      <c r="FO72" s="131">
        <f t="shared" si="61"/>
        <v>35.718800000000002</v>
      </c>
      <c r="FP72" s="123">
        <f t="shared" si="62"/>
        <v>-3.0000000000001137E-3</v>
      </c>
      <c r="FS72">
        <v>62</v>
      </c>
      <c r="FT72" s="147">
        <v>9537</v>
      </c>
      <c r="FU72" s="148">
        <v>14.529500000000001</v>
      </c>
      <c r="FV72" s="148">
        <v>1.9470000000000001</v>
      </c>
      <c r="FW72" s="148">
        <v>0.74180000000000001</v>
      </c>
      <c r="FX72" s="150">
        <f t="shared" si="114"/>
        <v>0.60539583333333336</v>
      </c>
      <c r="FY72" s="131">
        <f t="shared" si="115"/>
        <v>35.718200000000003</v>
      </c>
      <c r="FZ72">
        <f t="shared" si="63"/>
        <v>1.2100000000000222E-2</v>
      </c>
      <c r="GC72">
        <v>62</v>
      </c>
      <c r="GD72" s="151">
        <v>9537</v>
      </c>
      <c r="GE72" s="151">
        <v>14.5594</v>
      </c>
      <c r="GF72" s="151">
        <v>1.9510000000000001</v>
      </c>
      <c r="GG72" s="151">
        <v>0.74329999999999996</v>
      </c>
      <c r="GH72" s="153">
        <f t="shared" si="132"/>
        <v>0.60664166666666663</v>
      </c>
      <c r="GI72" s="131">
        <f t="shared" si="64"/>
        <v>35.716700000000003</v>
      </c>
      <c r="GJ72">
        <f t="shared" si="142"/>
        <v>2.9899999999999594E-2</v>
      </c>
      <c r="GM72">
        <v>62</v>
      </c>
      <c r="GN72" s="155">
        <v>9537</v>
      </c>
      <c r="GO72" s="155">
        <v>14.6228</v>
      </c>
      <c r="GP72" s="155">
        <v>1.9595</v>
      </c>
      <c r="GQ72" s="155">
        <v>0.74660000000000004</v>
      </c>
      <c r="GR72" s="58">
        <f t="shared" si="65"/>
        <v>0.60928333333333329</v>
      </c>
      <c r="GS72" s="131">
        <f t="shared" si="66"/>
        <v>35.7134</v>
      </c>
      <c r="GT72">
        <f t="shared" si="143"/>
        <v>6.3399999999999679E-2</v>
      </c>
      <c r="GW72">
        <v>62</v>
      </c>
      <c r="GX72" s="157">
        <v>9537</v>
      </c>
      <c r="GY72" s="161">
        <f>VLOOKUP(GX72,Sheet3!$AJ$7:$AN$83,2,0)</f>
        <v>14.7033</v>
      </c>
      <c r="GZ72" s="161">
        <f>VLOOKUP(GX72,Sheet3!$AJ$7:$AN$83,3,0)</f>
        <v>1.9702999999999999</v>
      </c>
      <c r="HA72" s="161">
        <f>VLOOKUP(GX72,Sheet3!$AJ$7:$AN$83,4,0)</f>
        <v>0.75070000000000003</v>
      </c>
      <c r="HB72" s="162">
        <f t="shared" si="17"/>
        <v>0.61263750000000006</v>
      </c>
      <c r="HC72" s="131">
        <f t="shared" si="116"/>
        <v>35.709299999999999</v>
      </c>
      <c r="HD72" s="159">
        <f t="shared" si="144"/>
        <v>8.0500000000000682E-2</v>
      </c>
      <c r="HE72" s="159">
        <f t="shared" si="145"/>
        <v>4.0999999999999925E-3</v>
      </c>
      <c r="HG72" s="159"/>
      <c r="HH72" s="159">
        <v>62</v>
      </c>
      <c r="HI72" s="158">
        <v>9537</v>
      </c>
      <c r="HJ72" s="161">
        <v>14.735799999999999</v>
      </c>
      <c r="HK72" s="161">
        <v>1.9746999999999999</v>
      </c>
      <c r="HL72" s="161">
        <v>0.75229999999999997</v>
      </c>
      <c r="HM72" s="162">
        <f t="shared" si="18"/>
        <v>0.6139916666666666</v>
      </c>
      <c r="HN72" s="131">
        <f t="shared" si="67"/>
        <v>35.707700000000003</v>
      </c>
      <c r="HO72" s="159">
        <f t="shared" si="68"/>
        <v>3.2499999999998863E-2</v>
      </c>
      <c r="HQ72" s="183"/>
      <c r="HR72" s="183">
        <v>62</v>
      </c>
      <c r="HS72" s="178">
        <v>9537</v>
      </c>
      <c r="HT72" s="184">
        <v>14.757</v>
      </c>
      <c r="HU72" s="184">
        <v>1.9775</v>
      </c>
      <c r="HV72" s="184">
        <v>0.75339999999999996</v>
      </c>
      <c r="HW72" s="171">
        <f t="shared" si="19"/>
        <v>0.61487499999999995</v>
      </c>
      <c r="HX72" s="53">
        <f t="shared" si="69"/>
        <v>35.706600000000002</v>
      </c>
      <c r="HY72" s="183">
        <f t="shared" si="70"/>
        <v>2.120000000000033E-2</v>
      </c>
      <c r="IA72" s="194"/>
      <c r="IB72" s="194">
        <v>62</v>
      </c>
      <c r="IC72" s="193">
        <v>9537</v>
      </c>
      <c r="ID72" s="161">
        <v>14.7662</v>
      </c>
      <c r="IE72" s="184">
        <v>1.9786999999999999</v>
      </c>
      <c r="IF72" s="184">
        <v>0.75390000000000001</v>
      </c>
      <c r="IG72" s="171">
        <f t="shared" si="71"/>
        <v>0.61525833333333335</v>
      </c>
      <c r="IH72" s="53">
        <f t="shared" si="72"/>
        <v>35.706099999999999</v>
      </c>
      <c r="II72" s="194">
        <f t="shared" si="73"/>
        <v>9.1999999999998749E-3</v>
      </c>
      <c r="IL72" s="199">
        <v>62</v>
      </c>
      <c r="IM72" s="197">
        <v>9537</v>
      </c>
      <c r="IN72" s="161">
        <v>14.814399999999999</v>
      </c>
      <c r="IO72" s="184">
        <v>1.9852000000000001</v>
      </c>
      <c r="IP72" s="184">
        <v>0.75639999999999996</v>
      </c>
      <c r="IQ72" s="171">
        <f t="shared" si="74"/>
        <v>0.61726666666666663</v>
      </c>
      <c r="IR72" s="53">
        <f t="shared" si="75"/>
        <v>35.703600000000002</v>
      </c>
      <c r="IS72" s="199">
        <f t="shared" si="76"/>
        <v>4.8199999999999577E-2</v>
      </c>
      <c r="IU72" s="202"/>
      <c r="IV72" s="202">
        <v>62</v>
      </c>
      <c r="IW72" s="201">
        <v>9537</v>
      </c>
      <c r="IX72" s="184">
        <v>14.8795</v>
      </c>
      <c r="IY72" s="184">
        <v>1.9939</v>
      </c>
      <c r="IZ72" s="184">
        <v>0.75970000000000004</v>
      </c>
      <c r="JA72" s="162">
        <f t="shared" si="22"/>
        <v>0.61997916666666664</v>
      </c>
      <c r="JB72" s="53">
        <f t="shared" si="77"/>
        <v>35.700299999999999</v>
      </c>
      <c r="JC72" s="202">
        <f t="shared" si="78"/>
        <v>6.5100000000001046E-2</v>
      </c>
      <c r="JE72" s="204"/>
      <c r="JF72" s="204">
        <v>62</v>
      </c>
      <c r="JG72" s="203">
        <v>9537</v>
      </c>
      <c r="JH72" s="161">
        <v>14.9002</v>
      </c>
      <c r="JI72" s="184">
        <v>1.9966999999999999</v>
      </c>
      <c r="JJ72" s="184">
        <v>0.76070000000000004</v>
      </c>
      <c r="JK72" s="162">
        <f t="shared" si="79"/>
        <v>0.62084166666666663</v>
      </c>
      <c r="JL72" s="53">
        <f t="shared" si="80"/>
        <v>35.699300000000001</v>
      </c>
      <c r="JM72" s="204">
        <f t="shared" si="117"/>
        <v>2.0699999999999719E-2</v>
      </c>
      <c r="JN72" s="204"/>
      <c r="JP72" s="209">
        <v>62</v>
      </c>
      <c r="JQ72" s="205">
        <v>9537</v>
      </c>
      <c r="JR72" s="161">
        <v>14.9168</v>
      </c>
      <c r="JS72" s="184">
        <v>1.9988999999999999</v>
      </c>
      <c r="JT72" s="184">
        <v>0.76160000000000005</v>
      </c>
      <c r="JU72" s="162">
        <f t="shared" si="81"/>
        <v>0.62153333333333338</v>
      </c>
      <c r="JV72" s="53">
        <f t="shared" si="82"/>
        <v>35.698399999999999</v>
      </c>
      <c r="JW72" s="209">
        <f t="shared" si="118"/>
        <v>1.6600000000000392E-2</v>
      </c>
      <c r="JX72" s="213"/>
      <c r="JY72" s="213"/>
      <c r="JZ72" s="213">
        <v>62</v>
      </c>
      <c r="KA72" s="206">
        <v>9537</v>
      </c>
      <c r="KB72" s="184">
        <v>14.9558</v>
      </c>
      <c r="KC72" s="184">
        <v>2.0041000000000002</v>
      </c>
      <c r="KD72" s="184">
        <v>0.76359999999999995</v>
      </c>
      <c r="KE72" s="162">
        <f t="shared" si="83"/>
        <v>0.62315833333333337</v>
      </c>
      <c r="KF72" s="53">
        <f t="shared" si="84"/>
        <v>35.696400000000004</v>
      </c>
      <c r="KG72" s="213">
        <f t="shared" si="119"/>
        <v>3.8999999999999702E-2</v>
      </c>
      <c r="KI72" s="219"/>
      <c r="KJ72" s="219">
        <v>62</v>
      </c>
      <c r="KK72" s="214">
        <v>9537</v>
      </c>
      <c r="KL72" s="161">
        <v>14.9688</v>
      </c>
      <c r="KM72" s="161">
        <v>2.0059</v>
      </c>
      <c r="KN72" s="161">
        <v>0.76419999999999999</v>
      </c>
      <c r="KO72" s="162">
        <f t="shared" si="24"/>
        <v>0.62370000000000003</v>
      </c>
      <c r="KP72" s="53">
        <f t="shared" si="85"/>
        <v>35.695799999999998</v>
      </c>
      <c r="KQ72" s="219">
        <f t="shared" si="120"/>
        <v>1.2999999999999901E-2</v>
      </c>
      <c r="KT72" s="223">
        <v>62</v>
      </c>
      <c r="KU72" s="216">
        <v>9537</v>
      </c>
      <c r="KV72" s="161">
        <v>14.982499999999998</v>
      </c>
      <c r="KW72" s="161">
        <v>2.0077000000000003</v>
      </c>
      <c r="KX72" s="161">
        <v>0.76490000000000002</v>
      </c>
      <c r="KY72" s="162">
        <f t="shared" si="86"/>
        <v>0.62427083333333322</v>
      </c>
      <c r="KZ72" s="53">
        <f t="shared" si="87"/>
        <v>35.695100000000004</v>
      </c>
      <c r="LA72" s="223">
        <f t="shared" si="121"/>
        <v>1.3699999999998269E-2</v>
      </c>
      <c r="LD72" s="228">
        <v>62</v>
      </c>
      <c r="LE72" s="221">
        <v>9537</v>
      </c>
      <c r="LF72" s="161">
        <v>14.994</v>
      </c>
      <c r="LG72" s="161">
        <v>2.0093000000000001</v>
      </c>
      <c r="LH72" s="161">
        <v>0.76549999999999996</v>
      </c>
      <c r="LI72" s="162">
        <f t="shared" si="88"/>
        <v>0.62475000000000003</v>
      </c>
      <c r="LJ72" s="53">
        <f t="shared" si="89"/>
        <v>35.694499999999998</v>
      </c>
      <c r="LK72" s="228">
        <f t="shared" si="122"/>
        <v>1.150000000000162E-2</v>
      </c>
      <c r="LL72" s="231"/>
      <c r="LM72" s="231"/>
      <c r="LN72" s="231">
        <v>62</v>
      </c>
      <c r="LO72" s="226">
        <v>9537</v>
      </c>
      <c r="LP72" s="184">
        <v>15.0101</v>
      </c>
      <c r="LQ72" s="184">
        <v>2.0114000000000001</v>
      </c>
      <c r="LR72" s="184">
        <v>0.76629999999999998</v>
      </c>
      <c r="LS72" s="162">
        <f t="shared" si="90"/>
        <v>0.62542083333333331</v>
      </c>
      <c r="LT72" s="53">
        <f t="shared" si="91"/>
        <v>35.6937</v>
      </c>
      <c r="LU72" s="231">
        <f t="shared" si="123"/>
        <v>1.6099999999999781E-2</v>
      </c>
      <c r="LW72" s="231"/>
      <c r="LX72" s="231">
        <v>62</v>
      </c>
      <c r="LY72" s="234">
        <v>9537</v>
      </c>
      <c r="LZ72" s="184">
        <v>15.0282</v>
      </c>
      <c r="MA72" s="184">
        <v>2.0137999999999998</v>
      </c>
      <c r="MB72" s="184">
        <v>0.76729999999999998</v>
      </c>
      <c r="MC72" s="162">
        <f t="shared" si="92"/>
        <v>0.62617500000000004</v>
      </c>
      <c r="MD72" s="53">
        <f t="shared" si="93"/>
        <v>35.692700000000002</v>
      </c>
      <c r="ME72" s="231">
        <f t="shared" si="124"/>
        <v>1.8100000000000449E-2</v>
      </c>
      <c r="MF72" s="231"/>
      <c r="MG72" s="231"/>
      <c r="MH72" s="231">
        <v>62</v>
      </c>
      <c r="MI72" s="236">
        <v>9537</v>
      </c>
      <c r="MJ72" s="184">
        <v>15.045999999999999</v>
      </c>
      <c r="MK72" s="184">
        <v>2.0162</v>
      </c>
      <c r="ML72" s="184">
        <v>0.76819999999999999</v>
      </c>
      <c r="MM72" s="162">
        <f t="shared" si="94"/>
        <v>0.62691666666666668</v>
      </c>
      <c r="MN72" s="53">
        <f t="shared" si="95"/>
        <v>35.691800000000001</v>
      </c>
      <c r="MO72" s="231">
        <f t="shared" si="125"/>
        <v>1.7799999999999372E-2</v>
      </c>
      <c r="MP72" s="231"/>
      <c r="MQ72" s="231"/>
      <c r="MR72" s="231">
        <v>62</v>
      </c>
      <c r="MS72" s="238">
        <v>9537</v>
      </c>
      <c r="MT72" s="184">
        <v>15.08</v>
      </c>
      <c r="MU72" s="184">
        <v>2.0207999999999999</v>
      </c>
      <c r="MV72" s="184">
        <v>0.76990000000000003</v>
      </c>
      <c r="MW72" s="162">
        <f t="shared" si="96"/>
        <v>0.6283333333333333</v>
      </c>
      <c r="MX72" s="53">
        <f t="shared" si="97"/>
        <v>35.690100000000001</v>
      </c>
      <c r="MY72" s="231">
        <f t="shared" si="126"/>
        <v>3.4000000000000696E-2</v>
      </c>
      <c r="MZ72" s="246"/>
      <c r="NA72" s="246"/>
      <c r="NB72" s="246">
        <v>62</v>
      </c>
      <c r="NC72" s="242">
        <v>9537</v>
      </c>
      <c r="ND72" s="184">
        <v>15.114699999999999</v>
      </c>
      <c r="NE72" s="184">
        <v>2.0253999999999999</v>
      </c>
      <c r="NF72" s="184">
        <v>0.77170000000000005</v>
      </c>
      <c r="NG72" s="162">
        <f t="shared" si="98"/>
        <v>0.62977916666666667</v>
      </c>
      <c r="NH72" s="53">
        <f t="shared" si="99"/>
        <v>35.688299999999998</v>
      </c>
      <c r="NI72" s="232">
        <f t="shared" si="127"/>
        <v>3.4699999999999065E-2</v>
      </c>
      <c r="NK72" s="250"/>
      <c r="NL72" s="250">
        <v>62</v>
      </c>
      <c r="NM72" s="244">
        <v>9537</v>
      </c>
      <c r="NN72" s="184">
        <v>15.1249</v>
      </c>
      <c r="NO72" s="184">
        <v>2.0268000000000002</v>
      </c>
      <c r="NP72" s="184">
        <v>0.7722</v>
      </c>
      <c r="NQ72" s="162">
        <f t="shared" si="133"/>
        <v>0.63020416666666668</v>
      </c>
      <c r="NR72" s="53">
        <f t="shared" si="101"/>
        <v>35.687800000000003</v>
      </c>
      <c r="NS72" s="232">
        <f t="shared" si="128"/>
        <v>1.0200000000001097E-2</v>
      </c>
      <c r="NU72" s="250"/>
      <c r="NV72" s="250">
        <v>62</v>
      </c>
      <c r="NW72" s="248">
        <v>9537</v>
      </c>
      <c r="NX72" s="184">
        <v>15.1411</v>
      </c>
      <c r="NY72" s="184">
        <v>2.0289999999999999</v>
      </c>
      <c r="NZ72" s="184">
        <v>0.77300000000000002</v>
      </c>
      <c r="OA72" s="162">
        <f t="shared" si="134"/>
        <v>0.63087916666666666</v>
      </c>
      <c r="OB72" s="53">
        <f t="shared" si="103"/>
        <v>35.686999999999998</v>
      </c>
      <c r="OC72" s="232">
        <f t="shared" si="129"/>
        <v>1.6199999999999548E-2</v>
      </c>
      <c r="OE72" s="250"/>
      <c r="OF72" s="250">
        <v>62</v>
      </c>
      <c r="OG72" s="251">
        <v>9537</v>
      </c>
      <c r="OH72" s="184">
        <v>15.1492</v>
      </c>
      <c r="OI72" s="184">
        <v>2.0301</v>
      </c>
      <c r="OJ72" s="184">
        <v>0.77339999999999998</v>
      </c>
      <c r="OK72" s="162">
        <f t="shared" si="135"/>
        <v>0.63121666666666665</v>
      </c>
      <c r="OL72" s="53">
        <f t="shared" si="105"/>
        <v>35.686599999999999</v>
      </c>
      <c r="OM72" s="232">
        <f t="shared" si="130"/>
        <v>8.1000000000006622E-3</v>
      </c>
      <c r="OP72" s="250">
        <v>62</v>
      </c>
      <c r="OQ72" s="253">
        <v>9537</v>
      </c>
      <c r="OR72" s="184">
        <f>VLOOKUP(OQ72,Sheet4!A14:F90,3,0)</f>
        <v>15.1678</v>
      </c>
      <c r="OS72" s="184">
        <f>VLOOKUP(OQ72,Sheet4!A14:F90,4,0)</f>
        <v>2.0325000000000002</v>
      </c>
      <c r="OT72" s="184">
        <f>VLOOKUP(OQ72,Sheet4!A14:F90,5,0)</f>
        <v>0.77439999999999998</v>
      </c>
      <c r="OU72" s="162">
        <f t="shared" si="106"/>
        <v>0.63199166666666662</v>
      </c>
      <c r="OV72" s="53">
        <f t="shared" si="107"/>
        <v>35.685600000000001</v>
      </c>
      <c r="OW72" s="232">
        <f t="shared" si="131"/>
        <v>1.8599999999999284E-2</v>
      </c>
    </row>
    <row r="73" spans="1:413" ht="15.75" x14ac:dyDescent="0.25">
      <c r="A73">
        <v>65</v>
      </c>
      <c r="B73" s="1">
        <v>9536</v>
      </c>
      <c r="C73" s="1" t="s">
        <v>1</v>
      </c>
      <c r="D73" s="2">
        <v>36.409999999999997</v>
      </c>
      <c r="E73" s="8"/>
      <c r="F73" s="8"/>
      <c r="G73" s="8"/>
      <c r="H73" s="8"/>
      <c r="J73" s="15">
        <v>9536</v>
      </c>
      <c r="K73" s="15">
        <v>13.7485</v>
      </c>
      <c r="L73" s="15">
        <v>1.8424</v>
      </c>
      <c r="M73" s="15">
        <v>0.70189999999999997</v>
      </c>
      <c r="N73" s="24">
        <f t="shared" si="42"/>
        <v>0.57285416666666666</v>
      </c>
      <c r="O73" s="10">
        <f t="shared" si="139"/>
        <v>35.708099999999995</v>
      </c>
      <c r="P73" s="18"/>
      <c r="R73" s="20">
        <v>9536</v>
      </c>
      <c r="S73" s="9">
        <v>13.7902</v>
      </c>
      <c r="T73" s="9">
        <v>1.8479000000000001</v>
      </c>
      <c r="U73" s="9">
        <v>0.70409999999999995</v>
      </c>
      <c r="V73" s="24">
        <f t="shared" si="43"/>
        <v>0.57459166666666672</v>
      </c>
      <c r="W73" s="10">
        <f t="shared" si="140"/>
        <v>35.7059</v>
      </c>
      <c r="X73" s="18"/>
      <c r="Z73" s="27">
        <v>9536</v>
      </c>
      <c r="AA73" s="9">
        <v>13.8927</v>
      </c>
      <c r="AB73" s="9">
        <v>1.8616999999999999</v>
      </c>
      <c r="AC73" s="9">
        <v>0.70930000000000004</v>
      </c>
      <c r="AD73" s="24">
        <f t="shared" si="45"/>
        <v>0.57886249999999995</v>
      </c>
      <c r="AE73" s="10">
        <f t="shared" si="46"/>
        <v>35.700699999999998</v>
      </c>
      <c r="AF73" s="79"/>
      <c r="AG73">
        <v>65</v>
      </c>
      <c r="AH73" s="1">
        <v>9536</v>
      </c>
      <c r="AI73" s="1" t="s">
        <v>1</v>
      </c>
      <c r="AJ73" s="2">
        <v>36.409999999999997</v>
      </c>
      <c r="AL73" s="32">
        <v>9536</v>
      </c>
      <c r="AM73" s="9">
        <v>14.0036</v>
      </c>
      <c r="AN73" s="9">
        <v>1.8765000000000001</v>
      </c>
      <c r="AO73" s="9">
        <v>0.71499999999999997</v>
      </c>
      <c r="AP73" s="37">
        <f t="shared" si="0"/>
        <v>0.58348333333333335</v>
      </c>
      <c r="AQ73" s="53">
        <f t="shared" si="108"/>
        <v>35.694999999999993</v>
      </c>
      <c r="AT73" s="39"/>
      <c r="AU73" s="38">
        <v>9536</v>
      </c>
      <c r="AV73" s="9">
        <v>14.050700000000001</v>
      </c>
      <c r="AW73" s="43">
        <v>1.8828</v>
      </c>
      <c r="AX73" s="43">
        <v>0.71740000000000004</v>
      </c>
      <c r="AY73" s="47">
        <f t="shared" si="47"/>
        <v>0.58544583333333333</v>
      </c>
      <c r="AZ73" s="56">
        <f t="shared" si="109"/>
        <v>35.692599999999999</v>
      </c>
      <c r="BD73" s="54">
        <v>9536</v>
      </c>
      <c r="BE73" s="53">
        <v>14.055999999999999</v>
      </c>
      <c r="BF73" s="58">
        <v>1.8835999999999999</v>
      </c>
      <c r="BG73" s="58">
        <v>0.71760000000000002</v>
      </c>
      <c r="BH73" s="47">
        <f t="shared" si="48"/>
        <v>0.58566666666666667</v>
      </c>
      <c r="BI73" s="56">
        <f t="shared" si="49"/>
        <v>35.692399999999999</v>
      </c>
      <c r="BJ73" s="88"/>
      <c r="BK73" s="88"/>
      <c r="BL73" s="88"/>
      <c r="BN73" s="9">
        <v>9536</v>
      </c>
      <c r="BO73" s="53">
        <v>14.075900000000001</v>
      </c>
      <c r="BP73" s="53">
        <v>1.8862000000000001</v>
      </c>
      <c r="BQ73" s="53">
        <v>0.71870000000000001</v>
      </c>
      <c r="BR73" s="53">
        <f t="shared" si="50"/>
        <v>0.58649583333333333</v>
      </c>
      <c r="BS73" s="53">
        <f t="shared" si="51"/>
        <v>35.691299999999998</v>
      </c>
      <c r="BV73" s="88"/>
      <c r="BX73" s="93">
        <v>9536</v>
      </c>
      <c r="BY73" s="9">
        <v>14.1151</v>
      </c>
      <c r="BZ73" s="9">
        <v>1.8915</v>
      </c>
      <c r="CA73" s="9">
        <v>0.72070000000000001</v>
      </c>
      <c r="CB73" s="58">
        <f t="shared" si="52"/>
        <v>0.5881291666666667</v>
      </c>
      <c r="CC73" s="53">
        <f t="shared" si="110"/>
        <v>35.689299999999996</v>
      </c>
      <c r="CF73" s="88"/>
      <c r="CG73">
        <v>63</v>
      </c>
      <c r="CH73" s="93">
        <v>9536</v>
      </c>
      <c r="CI73" s="93">
        <v>14.1488</v>
      </c>
      <c r="CJ73" s="9">
        <v>1.8959999999999999</v>
      </c>
      <c r="CK73" s="9">
        <v>0.72240000000000004</v>
      </c>
      <c r="CL73" s="47">
        <f t="shared" si="5"/>
        <v>0.58953333333333335</v>
      </c>
      <c r="CM73" s="53">
        <f t="shared" si="53"/>
        <v>35.687599999999996</v>
      </c>
      <c r="CQ73">
        <v>63</v>
      </c>
      <c r="CR73" s="98">
        <v>9536</v>
      </c>
      <c r="CS73" s="101">
        <v>14.1912</v>
      </c>
      <c r="CT73" s="101">
        <v>1.9016999999999999</v>
      </c>
      <c r="CU73" s="101">
        <v>0.72450000000000003</v>
      </c>
      <c r="CV73" s="47">
        <f t="shared" si="6"/>
        <v>0.59130000000000005</v>
      </c>
      <c r="CW73" s="53">
        <f t="shared" si="141"/>
        <v>35.685499999999998</v>
      </c>
      <c r="DA73">
        <v>63</v>
      </c>
      <c r="DB73" s="106">
        <v>9536</v>
      </c>
      <c r="DC73" s="107">
        <v>14.195399999999999</v>
      </c>
      <c r="DD73" s="107">
        <v>1.9021999999999999</v>
      </c>
      <c r="DE73" s="107">
        <v>0.7248</v>
      </c>
      <c r="DF73" s="47">
        <f t="shared" si="136"/>
        <v>0.59147499999999997</v>
      </c>
      <c r="DG73" s="53">
        <f t="shared" si="111"/>
        <v>35.685199999999995</v>
      </c>
      <c r="DK73">
        <v>63</v>
      </c>
      <c r="DL73" s="110">
        <v>9536</v>
      </c>
      <c r="DM73" s="53">
        <v>14.2437</v>
      </c>
      <c r="DN73" s="53">
        <v>1.9087000000000001</v>
      </c>
      <c r="DO73" s="53">
        <v>0.72719999999999996</v>
      </c>
      <c r="DP73" s="47">
        <f t="shared" si="137"/>
        <v>0.59348750000000006</v>
      </c>
      <c r="DQ73" s="53">
        <f t="shared" si="54"/>
        <v>35.682799999999993</v>
      </c>
      <c r="DS73" s="3">
        <f t="shared" si="55"/>
        <v>4.830000000000112E-2</v>
      </c>
      <c r="DU73">
        <v>63</v>
      </c>
      <c r="DV73" s="115">
        <v>9536</v>
      </c>
      <c r="DW73" s="53">
        <f>Sheet3!B$18</f>
        <v>14.2738</v>
      </c>
      <c r="DX73" s="53">
        <f>Sheet3!C$18</f>
        <v>1.9127000000000001</v>
      </c>
      <c r="DY73" s="53">
        <f>Sheet3!D$18</f>
        <v>0.7288</v>
      </c>
      <c r="DZ73" s="47">
        <f t="shared" si="138"/>
        <v>0.59474166666666661</v>
      </c>
      <c r="EA73" s="53">
        <f t="shared" si="112"/>
        <v>35.681199999999997</v>
      </c>
      <c r="EB73" s="3"/>
      <c r="EE73">
        <v>63</v>
      </c>
      <c r="EF73" s="118">
        <v>9536</v>
      </c>
      <c r="EG73" s="9">
        <v>14.3209</v>
      </c>
      <c r="EH73" s="9">
        <v>1.9191</v>
      </c>
      <c r="EI73" s="9">
        <v>0.73119999999999996</v>
      </c>
      <c r="EJ73" s="47">
        <f t="shared" si="10"/>
        <v>0.5967041666666667</v>
      </c>
      <c r="EK73" s="53">
        <f t="shared" si="56"/>
        <v>35.678799999999995</v>
      </c>
      <c r="EM73" s="3">
        <f t="shared" si="57"/>
        <v>-2.400000000001512E-3</v>
      </c>
      <c r="EN73" s="3"/>
      <c r="EO73">
        <v>63</v>
      </c>
      <c r="EP73" s="121">
        <v>9536</v>
      </c>
      <c r="EQ73" s="122">
        <v>14.4145</v>
      </c>
      <c r="ER73" s="122">
        <v>1.9316</v>
      </c>
      <c r="ES73" s="129">
        <v>0.7359</v>
      </c>
      <c r="ET73" s="130">
        <f t="shared" si="11"/>
        <v>0.60060416666666672</v>
      </c>
      <c r="EU73" s="131">
        <f t="shared" si="58"/>
        <v>35.674099999999996</v>
      </c>
      <c r="EX73" s="3"/>
      <c r="EY73">
        <v>63</v>
      </c>
      <c r="EZ73" s="135">
        <v>9536</v>
      </c>
      <c r="FA73" s="135">
        <v>14.458600000000001</v>
      </c>
      <c r="FB73" s="135">
        <v>1.9375</v>
      </c>
      <c r="FC73" s="135">
        <v>0.73819999999999997</v>
      </c>
      <c r="FD73" s="136">
        <f t="shared" si="12"/>
        <v>0.60244166666666665</v>
      </c>
      <c r="FE73" s="131">
        <f t="shared" si="59"/>
        <v>35.671799999999998</v>
      </c>
      <c r="FG73" s="123">
        <f t="shared" si="60"/>
        <v>-2.2999999999981924E-3</v>
      </c>
      <c r="FH73" s="3"/>
      <c r="FI73">
        <v>63</v>
      </c>
      <c r="FJ73" s="145">
        <v>9536</v>
      </c>
      <c r="FK73" s="9">
        <v>14.5174</v>
      </c>
      <c r="FL73" s="9">
        <v>1.9454</v>
      </c>
      <c r="FM73" s="9">
        <v>0.74119999999999997</v>
      </c>
      <c r="FN73" s="146">
        <f t="shared" si="113"/>
        <v>0.60489166666666672</v>
      </c>
      <c r="FO73" s="131">
        <f t="shared" si="61"/>
        <v>35.668799999999997</v>
      </c>
      <c r="FP73" s="123">
        <f t="shared" si="62"/>
        <v>-3.0000000000001137E-3</v>
      </c>
      <c r="FS73">
        <v>63</v>
      </c>
      <c r="FT73" s="147">
        <v>9536</v>
      </c>
      <c r="FU73" s="148">
        <v>14.529500000000001</v>
      </c>
      <c r="FV73" s="148">
        <v>1.9470000000000001</v>
      </c>
      <c r="FW73" s="148">
        <v>0.74180000000000001</v>
      </c>
      <c r="FX73" s="150">
        <f t="shared" si="114"/>
        <v>0.60539583333333336</v>
      </c>
      <c r="FY73" s="131">
        <f t="shared" si="115"/>
        <v>35.668199999999999</v>
      </c>
      <c r="FZ73">
        <f t="shared" si="63"/>
        <v>1.2100000000000222E-2</v>
      </c>
      <c r="GC73">
        <v>63</v>
      </c>
      <c r="GD73" s="151">
        <v>9536</v>
      </c>
      <c r="GE73" s="151">
        <v>14.5594</v>
      </c>
      <c r="GF73" s="151">
        <v>1.9510000000000001</v>
      </c>
      <c r="GG73" s="151">
        <v>0.74329999999999996</v>
      </c>
      <c r="GH73" s="153">
        <f t="shared" si="132"/>
        <v>0.60664166666666663</v>
      </c>
      <c r="GI73" s="131">
        <f t="shared" si="64"/>
        <v>35.666699999999999</v>
      </c>
      <c r="GJ73">
        <f t="shared" si="142"/>
        <v>2.9899999999999594E-2</v>
      </c>
      <c r="GM73">
        <v>63</v>
      </c>
      <c r="GN73" s="155">
        <v>9536</v>
      </c>
      <c r="GO73" s="155">
        <v>14.6228</v>
      </c>
      <c r="GP73" s="155">
        <v>1.9595</v>
      </c>
      <c r="GQ73" s="155">
        <v>0.74660000000000004</v>
      </c>
      <c r="GR73" s="58">
        <f t="shared" si="65"/>
        <v>0.60928333333333329</v>
      </c>
      <c r="GS73" s="131">
        <f t="shared" si="66"/>
        <v>35.663399999999996</v>
      </c>
      <c r="GT73">
        <f t="shared" si="143"/>
        <v>6.3399999999999679E-2</v>
      </c>
      <c r="GW73">
        <v>63</v>
      </c>
      <c r="GX73" s="157">
        <v>9536</v>
      </c>
      <c r="GY73" s="161">
        <f>VLOOKUP(GX73,Sheet3!$AJ$7:$AN$83,2,0)</f>
        <v>14.7033</v>
      </c>
      <c r="GZ73" s="161">
        <f>VLOOKUP(GX73,Sheet3!$AJ$7:$AN$83,3,0)</f>
        <v>1.9702999999999999</v>
      </c>
      <c r="HA73" s="161">
        <f>VLOOKUP(GX73,Sheet3!$AJ$7:$AN$83,4,0)</f>
        <v>0.75070000000000003</v>
      </c>
      <c r="HB73" s="162">
        <f t="shared" si="17"/>
        <v>0.61263750000000006</v>
      </c>
      <c r="HC73" s="131">
        <f t="shared" si="116"/>
        <v>35.659299999999995</v>
      </c>
      <c r="HD73" s="159">
        <f t="shared" si="144"/>
        <v>8.0500000000000682E-2</v>
      </c>
      <c r="HE73" s="159">
        <f t="shared" si="145"/>
        <v>4.0999999999999925E-3</v>
      </c>
      <c r="HG73" s="159"/>
      <c r="HH73" s="159">
        <v>63</v>
      </c>
      <c r="HI73" s="158">
        <v>9536</v>
      </c>
      <c r="HJ73" s="161">
        <v>14.735799999999999</v>
      </c>
      <c r="HK73" s="161">
        <v>1.9746999999999999</v>
      </c>
      <c r="HL73" s="161">
        <v>0.75229999999999997</v>
      </c>
      <c r="HM73" s="162">
        <f t="shared" si="18"/>
        <v>0.6139916666666666</v>
      </c>
      <c r="HN73" s="131">
        <f t="shared" si="67"/>
        <v>35.657699999999998</v>
      </c>
      <c r="HO73" s="159">
        <f t="shared" si="68"/>
        <v>3.2499999999998863E-2</v>
      </c>
      <c r="HQ73" s="183"/>
      <c r="HR73" s="183">
        <v>63</v>
      </c>
      <c r="HS73" s="178">
        <v>9536</v>
      </c>
      <c r="HT73" s="184">
        <v>14.757</v>
      </c>
      <c r="HU73" s="184">
        <v>1.9775</v>
      </c>
      <c r="HV73" s="184">
        <v>0.75339999999999996</v>
      </c>
      <c r="HW73" s="171">
        <f t="shared" si="19"/>
        <v>0.61487499999999995</v>
      </c>
      <c r="HX73" s="53">
        <f t="shared" si="69"/>
        <v>35.656599999999997</v>
      </c>
      <c r="HY73" s="183">
        <f t="shared" si="70"/>
        <v>2.120000000000033E-2</v>
      </c>
      <c r="IA73" s="194"/>
      <c r="IB73" s="194">
        <v>63</v>
      </c>
      <c r="IC73" s="193">
        <v>9536</v>
      </c>
      <c r="ID73" s="161">
        <v>14.7662</v>
      </c>
      <c r="IE73" s="184">
        <v>1.9786999999999999</v>
      </c>
      <c r="IF73" s="184">
        <v>0.75390000000000001</v>
      </c>
      <c r="IG73" s="171">
        <f t="shared" si="71"/>
        <v>0.61525833333333335</v>
      </c>
      <c r="IH73" s="53">
        <f t="shared" si="72"/>
        <v>35.656099999999995</v>
      </c>
      <c r="II73" s="194">
        <f t="shared" si="73"/>
        <v>9.1999999999998749E-3</v>
      </c>
      <c r="IL73" s="199">
        <v>63</v>
      </c>
      <c r="IM73" s="197">
        <v>9536</v>
      </c>
      <c r="IN73" s="161">
        <v>14.814399999999999</v>
      </c>
      <c r="IO73" s="184">
        <v>1.9852000000000001</v>
      </c>
      <c r="IP73" s="184">
        <v>0.75639999999999996</v>
      </c>
      <c r="IQ73" s="171">
        <f t="shared" si="74"/>
        <v>0.61726666666666663</v>
      </c>
      <c r="IR73" s="53">
        <f t="shared" si="75"/>
        <v>35.653599999999997</v>
      </c>
      <c r="IS73" s="199">
        <f t="shared" si="76"/>
        <v>4.8199999999999577E-2</v>
      </c>
      <c r="IU73" s="202"/>
      <c r="IV73" s="202">
        <v>63</v>
      </c>
      <c r="IW73" s="201">
        <v>9536</v>
      </c>
      <c r="IX73" s="184">
        <v>14.8795</v>
      </c>
      <c r="IY73" s="184">
        <v>1.9939</v>
      </c>
      <c r="IZ73" s="184">
        <v>0.75970000000000004</v>
      </c>
      <c r="JA73" s="162">
        <f t="shared" si="22"/>
        <v>0.61997916666666664</v>
      </c>
      <c r="JB73" s="53">
        <f t="shared" si="77"/>
        <v>35.650299999999994</v>
      </c>
      <c r="JC73" s="202">
        <f t="shared" si="78"/>
        <v>6.5100000000001046E-2</v>
      </c>
      <c r="JE73" s="204"/>
      <c r="JF73" s="204">
        <v>63</v>
      </c>
      <c r="JG73" s="203">
        <v>9536</v>
      </c>
      <c r="JH73" s="161">
        <v>14.9002</v>
      </c>
      <c r="JI73" s="184">
        <v>1.9966999999999999</v>
      </c>
      <c r="JJ73" s="184">
        <v>0.76070000000000004</v>
      </c>
      <c r="JK73" s="162">
        <f t="shared" si="79"/>
        <v>0.62084166666666663</v>
      </c>
      <c r="JL73" s="53">
        <f t="shared" si="80"/>
        <v>35.649299999999997</v>
      </c>
      <c r="JM73" s="204">
        <f t="shared" si="117"/>
        <v>2.0699999999999719E-2</v>
      </c>
      <c r="JN73" s="204"/>
      <c r="JP73" s="209">
        <v>63</v>
      </c>
      <c r="JQ73" s="205">
        <v>9536</v>
      </c>
      <c r="JR73" s="161">
        <v>14.9168</v>
      </c>
      <c r="JS73" s="184">
        <v>1.9988999999999999</v>
      </c>
      <c r="JT73" s="184">
        <v>0.76160000000000005</v>
      </c>
      <c r="JU73" s="162">
        <f t="shared" si="81"/>
        <v>0.62153333333333338</v>
      </c>
      <c r="JV73" s="53">
        <f t="shared" si="82"/>
        <v>35.648399999999995</v>
      </c>
      <c r="JW73" s="209">
        <f t="shared" si="118"/>
        <v>1.6600000000000392E-2</v>
      </c>
      <c r="JX73" s="213"/>
      <c r="JY73" s="213"/>
      <c r="JZ73" s="213">
        <v>63</v>
      </c>
      <c r="KA73" s="206">
        <v>9536</v>
      </c>
      <c r="KB73" s="184">
        <v>14.9558</v>
      </c>
      <c r="KC73" s="184">
        <v>2.0041000000000002</v>
      </c>
      <c r="KD73" s="184">
        <v>0.76359999999999995</v>
      </c>
      <c r="KE73" s="162">
        <f t="shared" si="83"/>
        <v>0.62315833333333337</v>
      </c>
      <c r="KF73" s="53">
        <f t="shared" si="84"/>
        <v>35.6464</v>
      </c>
      <c r="KG73" s="213">
        <f t="shared" si="119"/>
        <v>3.8999999999999702E-2</v>
      </c>
      <c r="KI73" s="219"/>
      <c r="KJ73" s="219">
        <v>63</v>
      </c>
      <c r="KK73" s="214">
        <v>9536</v>
      </c>
      <c r="KL73" s="161">
        <v>14.9688</v>
      </c>
      <c r="KM73" s="161">
        <v>2.0059</v>
      </c>
      <c r="KN73" s="161">
        <v>0.76419999999999999</v>
      </c>
      <c r="KO73" s="162">
        <f t="shared" si="24"/>
        <v>0.62370000000000003</v>
      </c>
      <c r="KP73" s="53">
        <f t="shared" si="85"/>
        <v>35.645799999999994</v>
      </c>
      <c r="KQ73" s="219">
        <f t="shared" si="120"/>
        <v>1.2999999999999901E-2</v>
      </c>
      <c r="KT73" s="223">
        <v>63</v>
      </c>
      <c r="KU73" s="216">
        <v>9536</v>
      </c>
      <c r="KV73" s="161">
        <v>14.982499999999998</v>
      </c>
      <c r="KW73" s="161">
        <v>2.0077000000000003</v>
      </c>
      <c r="KX73" s="161">
        <v>0.76490000000000002</v>
      </c>
      <c r="KY73" s="162">
        <f t="shared" si="86"/>
        <v>0.62427083333333322</v>
      </c>
      <c r="KZ73" s="53">
        <f t="shared" si="87"/>
        <v>35.645099999999999</v>
      </c>
      <c r="LA73" s="223">
        <f t="shared" si="121"/>
        <v>1.3699999999998269E-2</v>
      </c>
      <c r="LD73" s="228">
        <v>63</v>
      </c>
      <c r="LE73" s="221">
        <v>9536</v>
      </c>
      <c r="LF73" s="161">
        <v>14.994</v>
      </c>
      <c r="LG73" s="161">
        <v>2.0093000000000001</v>
      </c>
      <c r="LH73" s="161">
        <v>0.76549999999999996</v>
      </c>
      <c r="LI73" s="162">
        <f t="shared" si="88"/>
        <v>0.62475000000000003</v>
      </c>
      <c r="LJ73" s="53">
        <f t="shared" si="89"/>
        <v>35.644499999999994</v>
      </c>
      <c r="LK73" s="228">
        <f t="shared" si="122"/>
        <v>1.150000000000162E-2</v>
      </c>
      <c r="LL73" s="231"/>
      <c r="LM73" s="231"/>
      <c r="LN73" s="231">
        <v>63</v>
      </c>
      <c r="LO73" s="226">
        <v>9536</v>
      </c>
      <c r="LP73" s="184">
        <v>15.0101</v>
      </c>
      <c r="LQ73" s="184">
        <v>2.0114000000000001</v>
      </c>
      <c r="LR73" s="184">
        <v>0.76629999999999998</v>
      </c>
      <c r="LS73" s="162">
        <f t="shared" si="90"/>
        <v>0.62542083333333331</v>
      </c>
      <c r="LT73" s="53">
        <f t="shared" si="91"/>
        <v>35.643699999999995</v>
      </c>
      <c r="LU73" s="231">
        <f t="shared" si="123"/>
        <v>1.6099999999999781E-2</v>
      </c>
      <c r="LW73" s="231"/>
      <c r="LX73" s="231">
        <v>63</v>
      </c>
      <c r="LY73" s="234">
        <v>9536</v>
      </c>
      <c r="LZ73" s="184">
        <v>15.0282</v>
      </c>
      <c r="MA73" s="184">
        <v>2.0137999999999998</v>
      </c>
      <c r="MB73" s="184">
        <v>0.76729999999999998</v>
      </c>
      <c r="MC73" s="162">
        <f t="shared" si="92"/>
        <v>0.62617500000000004</v>
      </c>
      <c r="MD73" s="53">
        <f t="shared" si="93"/>
        <v>35.642699999999998</v>
      </c>
      <c r="ME73" s="231">
        <f t="shared" si="124"/>
        <v>1.8100000000000449E-2</v>
      </c>
      <c r="MF73" s="231"/>
      <c r="MG73" s="231"/>
      <c r="MH73" s="231">
        <v>63</v>
      </c>
      <c r="MI73" s="236">
        <v>9536</v>
      </c>
      <c r="MJ73" s="184">
        <v>15.045999999999999</v>
      </c>
      <c r="MK73" s="184">
        <v>2.0162</v>
      </c>
      <c r="ML73" s="184">
        <v>0.76819999999999999</v>
      </c>
      <c r="MM73" s="162">
        <f t="shared" si="94"/>
        <v>0.62691666666666668</v>
      </c>
      <c r="MN73" s="53">
        <f t="shared" si="95"/>
        <v>35.641799999999996</v>
      </c>
      <c r="MO73" s="231">
        <f t="shared" si="125"/>
        <v>1.7799999999999372E-2</v>
      </c>
      <c r="MP73" s="231"/>
      <c r="MQ73" s="231"/>
      <c r="MR73" s="231">
        <v>63</v>
      </c>
      <c r="MS73" s="238">
        <v>9536</v>
      </c>
      <c r="MT73" s="184">
        <v>15.08</v>
      </c>
      <c r="MU73" s="184">
        <v>2.0207999999999999</v>
      </c>
      <c r="MV73" s="184">
        <v>0.76990000000000003</v>
      </c>
      <c r="MW73" s="162">
        <f t="shared" si="96"/>
        <v>0.6283333333333333</v>
      </c>
      <c r="MX73" s="53">
        <f t="shared" si="97"/>
        <v>35.640099999999997</v>
      </c>
      <c r="MY73" s="231">
        <f t="shared" si="126"/>
        <v>3.4000000000000696E-2</v>
      </c>
      <c r="MZ73" s="246"/>
      <c r="NA73" s="246"/>
      <c r="NB73" s="246">
        <v>63</v>
      </c>
      <c r="NC73" s="242">
        <v>9536</v>
      </c>
      <c r="ND73" s="184">
        <v>15.114699999999999</v>
      </c>
      <c r="NE73" s="184">
        <v>2.0253999999999999</v>
      </c>
      <c r="NF73" s="184">
        <v>0.77170000000000005</v>
      </c>
      <c r="NG73" s="162">
        <f t="shared" si="98"/>
        <v>0.62977916666666667</v>
      </c>
      <c r="NH73" s="53">
        <f t="shared" si="99"/>
        <v>35.638299999999994</v>
      </c>
      <c r="NI73" s="232">
        <f t="shared" si="127"/>
        <v>3.4699999999999065E-2</v>
      </c>
      <c r="NK73" s="250"/>
      <c r="NL73" s="250">
        <v>63</v>
      </c>
      <c r="NM73" s="244">
        <v>9536</v>
      </c>
      <c r="NN73" s="184">
        <v>15.1249</v>
      </c>
      <c r="NO73" s="184">
        <v>2.0268000000000002</v>
      </c>
      <c r="NP73" s="184">
        <v>0.7722</v>
      </c>
      <c r="NQ73" s="162">
        <f t="shared" si="133"/>
        <v>0.63020416666666668</v>
      </c>
      <c r="NR73" s="53">
        <f t="shared" si="101"/>
        <v>35.637799999999999</v>
      </c>
      <c r="NS73" s="232">
        <f t="shared" si="128"/>
        <v>1.0200000000001097E-2</v>
      </c>
      <c r="NU73" s="250"/>
      <c r="NV73" s="250">
        <v>63</v>
      </c>
      <c r="NW73" s="248">
        <v>9536</v>
      </c>
      <c r="NX73" s="184">
        <v>15.1411</v>
      </c>
      <c r="NY73" s="184">
        <v>2.0289999999999999</v>
      </c>
      <c r="NZ73" s="184">
        <v>0.77300000000000002</v>
      </c>
      <c r="OA73" s="162">
        <f t="shared" si="134"/>
        <v>0.63087916666666666</v>
      </c>
      <c r="OB73" s="53">
        <f t="shared" si="103"/>
        <v>35.636999999999993</v>
      </c>
      <c r="OC73" s="232">
        <f t="shared" si="129"/>
        <v>1.6199999999999548E-2</v>
      </c>
      <c r="OE73" s="250"/>
      <c r="OF73" s="250">
        <v>63</v>
      </c>
      <c r="OG73" s="251">
        <v>9536</v>
      </c>
      <c r="OH73" s="184">
        <v>15.1492</v>
      </c>
      <c r="OI73" s="184">
        <v>2.0301</v>
      </c>
      <c r="OJ73" s="184">
        <v>0.77339999999999998</v>
      </c>
      <c r="OK73" s="162">
        <f t="shared" si="135"/>
        <v>0.63121666666666665</v>
      </c>
      <c r="OL73" s="53">
        <f t="shared" si="105"/>
        <v>35.636599999999994</v>
      </c>
      <c r="OM73" s="232">
        <f t="shared" si="130"/>
        <v>8.1000000000006622E-3</v>
      </c>
      <c r="OP73" s="250">
        <v>63</v>
      </c>
      <c r="OQ73" s="253">
        <v>9536</v>
      </c>
      <c r="OR73" s="184">
        <f>VLOOKUP(OQ73,Sheet4!A15:F91,3,0)</f>
        <v>15.1678</v>
      </c>
      <c r="OS73" s="184">
        <f>VLOOKUP(OQ73,Sheet4!A15:F91,4,0)</f>
        <v>2.0325000000000002</v>
      </c>
      <c r="OT73" s="184">
        <f>VLOOKUP(OQ73,Sheet4!A15:F91,5,0)</f>
        <v>0.77439999999999998</v>
      </c>
      <c r="OU73" s="162">
        <f t="shared" si="106"/>
        <v>0.63199166666666662</v>
      </c>
      <c r="OV73" s="53">
        <f t="shared" si="107"/>
        <v>35.635599999999997</v>
      </c>
      <c r="OW73" s="232">
        <f t="shared" si="131"/>
        <v>1.8599999999999284E-2</v>
      </c>
    </row>
    <row r="74" spans="1:413" ht="15.75" x14ac:dyDescent="0.25">
      <c r="A74">
        <v>66</v>
      </c>
      <c r="B74" s="1">
        <v>9875</v>
      </c>
      <c r="C74" s="1" t="s">
        <v>1</v>
      </c>
      <c r="D74" s="2">
        <v>36.94</v>
      </c>
      <c r="E74" s="8"/>
      <c r="F74" s="8"/>
      <c r="G74" s="8"/>
      <c r="H74" s="8"/>
      <c r="J74" s="15">
        <v>9875</v>
      </c>
      <c r="K74" s="15">
        <v>5.2343999999999999</v>
      </c>
      <c r="L74" s="15">
        <v>0.70140000000000002</v>
      </c>
      <c r="M74" s="15">
        <v>0.26719999999999999</v>
      </c>
      <c r="N74" s="24">
        <f t="shared" si="42"/>
        <v>0.21809999999999999</v>
      </c>
      <c r="O74" s="10">
        <f t="shared" si="139"/>
        <v>36.672799999999995</v>
      </c>
      <c r="P74" s="18"/>
      <c r="R74" s="20">
        <v>9875</v>
      </c>
      <c r="S74" s="9">
        <v>5.2760999999999996</v>
      </c>
      <c r="T74" s="9">
        <v>0.70699999999999996</v>
      </c>
      <c r="U74" s="9">
        <v>0.26939999999999997</v>
      </c>
      <c r="V74" s="24">
        <f t="shared" si="43"/>
        <v>0.21983749999999999</v>
      </c>
      <c r="W74" s="10">
        <f t="shared" si="140"/>
        <v>36.6706</v>
      </c>
      <c r="X74" s="18"/>
      <c r="Z74" s="27">
        <v>9875</v>
      </c>
      <c r="AA74" s="9">
        <v>5.3785999999999996</v>
      </c>
      <c r="AB74" s="9">
        <v>0.7208</v>
      </c>
      <c r="AC74" s="9">
        <v>0.27460000000000001</v>
      </c>
      <c r="AD74" s="24">
        <f t="shared" si="45"/>
        <v>0.22410833333333333</v>
      </c>
      <c r="AE74" s="10">
        <f t="shared" si="46"/>
        <v>36.665399999999998</v>
      </c>
      <c r="AF74" s="79"/>
      <c r="AG74">
        <v>66</v>
      </c>
      <c r="AH74" s="1">
        <v>9875</v>
      </c>
      <c r="AI74" s="1" t="s">
        <v>1</v>
      </c>
      <c r="AJ74" s="2">
        <v>36.94</v>
      </c>
      <c r="AL74" s="32">
        <v>9875</v>
      </c>
      <c r="AM74" s="9">
        <v>5.4894999999999996</v>
      </c>
      <c r="AN74" s="9">
        <v>0.73560000000000003</v>
      </c>
      <c r="AO74" s="9">
        <v>0.28029999999999999</v>
      </c>
      <c r="AP74" s="37">
        <f t="shared" ref="AP74:AP82" si="146">AM74/24</f>
        <v>0.22872916666666665</v>
      </c>
      <c r="AQ74" s="53">
        <f t="shared" si="108"/>
        <v>36.659700000000001</v>
      </c>
      <c r="AT74" s="39"/>
      <c r="AU74" s="38">
        <v>9875</v>
      </c>
      <c r="AV74" s="9">
        <v>5.5366</v>
      </c>
      <c r="AW74" s="43">
        <v>0.7419</v>
      </c>
      <c r="AX74" s="43">
        <v>0.28270000000000001</v>
      </c>
      <c r="AY74" s="47">
        <f t="shared" si="47"/>
        <v>0.23069166666666666</v>
      </c>
      <c r="AZ74" s="56">
        <f t="shared" si="109"/>
        <v>36.657299999999999</v>
      </c>
      <c r="BD74" s="54">
        <v>9875</v>
      </c>
      <c r="BE74" s="53">
        <v>5.5419</v>
      </c>
      <c r="BF74" s="58">
        <v>0.74260000000000004</v>
      </c>
      <c r="BG74" s="58">
        <v>0.28289999999999998</v>
      </c>
      <c r="BH74" s="47">
        <f t="shared" si="48"/>
        <v>0.23091249999999999</v>
      </c>
      <c r="BI74" s="56">
        <f t="shared" si="49"/>
        <v>36.6571</v>
      </c>
      <c r="BJ74" s="88"/>
      <c r="BK74" s="88"/>
      <c r="BL74" s="88"/>
      <c r="BN74" s="9">
        <v>9875</v>
      </c>
      <c r="BO74" s="53">
        <v>5.5617999999999999</v>
      </c>
      <c r="BP74" s="53">
        <v>0.74529999999999996</v>
      </c>
      <c r="BQ74" s="53">
        <v>0.28399999999999997</v>
      </c>
      <c r="BR74" s="53">
        <f t="shared" si="50"/>
        <v>0.23174166666666665</v>
      </c>
      <c r="BS74" s="53">
        <f t="shared" si="51"/>
        <v>36.655999999999999</v>
      </c>
      <c r="BV74" s="88"/>
      <c r="BX74" s="93">
        <v>9875</v>
      </c>
      <c r="BY74" s="9">
        <v>5.601</v>
      </c>
      <c r="BZ74" s="9">
        <v>0.75060000000000004</v>
      </c>
      <c r="CA74" s="9">
        <v>0.28599999999999998</v>
      </c>
      <c r="CB74" s="58">
        <f t="shared" si="52"/>
        <v>0.233375</v>
      </c>
      <c r="CC74" s="53">
        <f t="shared" si="110"/>
        <v>36.653999999999996</v>
      </c>
      <c r="CF74" s="88"/>
      <c r="CG74">
        <v>64</v>
      </c>
      <c r="CH74" s="93">
        <v>9875</v>
      </c>
      <c r="CI74" s="93">
        <v>5.6346999999999996</v>
      </c>
      <c r="CJ74" s="9">
        <v>0.75509999999999999</v>
      </c>
      <c r="CK74" s="9">
        <v>0.28770000000000001</v>
      </c>
      <c r="CL74" s="47">
        <f t="shared" ref="CL74:CL85" si="147">CI74/24</f>
        <v>0.23477916666666665</v>
      </c>
      <c r="CM74" s="53">
        <f t="shared" si="53"/>
        <v>36.652299999999997</v>
      </c>
      <c r="CQ74">
        <v>64</v>
      </c>
      <c r="CR74" s="98">
        <v>9875</v>
      </c>
      <c r="CS74" s="101">
        <v>5.6771000000000003</v>
      </c>
      <c r="CT74" s="101">
        <v>0.76080000000000003</v>
      </c>
      <c r="CU74" s="101">
        <v>0.2898</v>
      </c>
      <c r="CV74" s="47">
        <f t="shared" ref="CV74:CV82" si="148">CS74/24</f>
        <v>0.23654583333333334</v>
      </c>
      <c r="CW74" s="53">
        <f t="shared" si="141"/>
        <v>36.650199999999998</v>
      </c>
      <c r="DA74">
        <v>64</v>
      </c>
      <c r="DB74" s="106">
        <v>9875</v>
      </c>
      <c r="DC74" s="107">
        <v>5.6813000000000002</v>
      </c>
      <c r="DD74" s="107">
        <v>0.76129999999999998</v>
      </c>
      <c r="DE74" s="107">
        <v>0.29010000000000002</v>
      </c>
      <c r="DF74" s="47">
        <f t="shared" si="136"/>
        <v>0.23672083333333335</v>
      </c>
      <c r="DG74" s="53">
        <f t="shared" si="111"/>
        <v>36.649899999999995</v>
      </c>
      <c r="DK74">
        <v>64</v>
      </c>
      <c r="DL74" s="110">
        <v>9875</v>
      </c>
      <c r="DM74" s="53">
        <v>5.7295999999999996</v>
      </c>
      <c r="DN74" s="53">
        <v>0.76780000000000004</v>
      </c>
      <c r="DO74" s="53">
        <v>0.29249999999999998</v>
      </c>
      <c r="DP74" s="47">
        <f t="shared" si="137"/>
        <v>0.23873333333333333</v>
      </c>
      <c r="DQ74" s="53">
        <f t="shared" si="54"/>
        <v>36.647500000000001</v>
      </c>
      <c r="DS74" s="3">
        <f t="shared" si="55"/>
        <v>4.8299999999999343E-2</v>
      </c>
      <c r="DU74">
        <v>64</v>
      </c>
      <c r="DV74" s="115">
        <v>9875</v>
      </c>
      <c r="DW74" s="53">
        <f>Sheet3!B$46</f>
        <v>5.7596999999999996</v>
      </c>
      <c r="DX74" s="53">
        <f>Sheet3!C$46</f>
        <v>0.77180000000000004</v>
      </c>
      <c r="DY74" s="53">
        <f>Sheet3!D$46</f>
        <v>0.29409999999999997</v>
      </c>
      <c r="DZ74" s="47">
        <f t="shared" si="138"/>
        <v>0.23998749999999999</v>
      </c>
      <c r="EA74" s="53">
        <f t="shared" si="112"/>
        <v>36.645899999999997</v>
      </c>
      <c r="EB74" s="3"/>
      <c r="EE74">
        <v>64</v>
      </c>
      <c r="EF74" s="118">
        <v>9875</v>
      </c>
      <c r="EG74" s="9">
        <v>5.8068</v>
      </c>
      <c r="EH74" s="9">
        <v>0.77810000000000001</v>
      </c>
      <c r="EI74" s="9">
        <v>0.29649999999999999</v>
      </c>
      <c r="EJ74" s="47">
        <f t="shared" ref="EJ74:EJ82" si="149">EG74/24</f>
        <v>0.24195</v>
      </c>
      <c r="EK74" s="53">
        <f t="shared" si="56"/>
        <v>36.643499999999996</v>
      </c>
      <c r="EM74" s="3">
        <f t="shared" si="57"/>
        <v>-2.400000000001512E-3</v>
      </c>
      <c r="EN74" s="3"/>
      <c r="EO74">
        <v>64</v>
      </c>
      <c r="EP74" s="121">
        <v>9875</v>
      </c>
      <c r="EQ74" s="122">
        <v>5.9004000000000003</v>
      </c>
      <c r="ER74" s="122">
        <v>0.79069999999999996</v>
      </c>
      <c r="ES74" s="129">
        <v>0.30120000000000002</v>
      </c>
      <c r="ET74" s="130">
        <f t="shared" ref="ET74:ET85" si="150">EQ74/24</f>
        <v>0.24585000000000001</v>
      </c>
      <c r="EU74" s="131">
        <f t="shared" si="58"/>
        <v>36.638799999999996</v>
      </c>
      <c r="EX74" s="3"/>
      <c r="EY74">
        <v>64</v>
      </c>
      <c r="EZ74" s="135">
        <v>9875</v>
      </c>
      <c r="FA74" s="135">
        <v>5.9444999999999997</v>
      </c>
      <c r="FB74" s="135">
        <v>0.79659999999999997</v>
      </c>
      <c r="FC74" s="135">
        <v>0.30349999999999999</v>
      </c>
      <c r="FD74" s="136">
        <f t="shared" ref="FD74:FD85" si="151">FA74/24</f>
        <v>0.24768749999999998</v>
      </c>
      <c r="FE74" s="131">
        <f t="shared" si="59"/>
        <v>36.636499999999998</v>
      </c>
      <c r="FG74" s="123">
        <f t="shared" si="60"/>
        <v>-2.2999999999981924E-3</v>
      </c>
      <c r="FH74" s="3"/>
      <c r="FI74">
        <v>64</v>
      </c>
      <c r="FJ74" s="145">
        <v>9875</v>
      </c>
      <c r="FK74" s="9">
        <v>6.0033000000000003</v>
      </c>
      <c r="FL74" s="9">
        <v>0.80449999999999999</v>
      </c>
      <c r="FM74" s="9">
        <v>0.30649999999999999</v>
      </c>
      <c r="FN74" s="146">
        <f t="shared" si="113"/>
        <v>0.25013750000000001</v>
      </c>
      <c r="FO74" s="131">
        <f t="shared" si="61"/>
        <v>36.633499999999998</v>
      </c>
      <c r="FP74" s="123">
        <f t="shared" si="62"/>
        <v>-3.0000000000001137E-3</v>
      </c>
      <c r="FS74">
        <v>64</v>
      </c>
      <c r="FT74" s="147">
        <v>9875</v>
      </c>
      <c r="FU74" s="148">
        <v>6.0153999999999996</v>
      </c>
      <c r="FV74" s="148">
        <v>0.80610000000000004</v>
      </c>
      <c r="FW74" s="148">
        <v>0.30709999999999998</v>
      </c>
      <c r="FX74" s="150">
        <f t="shared" si="114"/>
        <v>0.25064166666666665</v>
      </c>
      <c r="FY74" s="131">
        <f t="shared" si="115"/>
        <v>36.632899999999999</v>
      </c>
      <c r="FZ74">
        <f t="shared" si="63"/>
        <v>1.2099999999999334E-2</v>
      </c>
      <c r="GC74">
        <v>64</v>
      </c>
      <c r="GD74" s="151">
        <v>9875</v>
      </c>
      <c r="GE74" s="151">
        <v>6.0453000000000001</v>
      </c>
      <c r="GF74" s="151">
        <v>0.81010000000000004</v>
      </c>
      <c r="GG74" s="151">
        <v>0.30859999999999999</v>
      </c>
      <c r="GH74" s="153">
        <f t="shared" si="132"/>
        <v>0.25188749999999999</v>
      </c>
      <c r="GI74" s="131">
        <f t="shared" si="64"/>
        <v>36.631399999999999</v>
      </c>
      <c r="GJ74">
        <f t="shared" si="142"/>
        <v>2.9900000000000482E-2</v>
      </c>
      <c r="GM74">
        <v>64</v>
      </c>
      <c r="GN74" s="155">
        <v>9875</v>
      </c>
      <c r="GO74" s="155">
        <v>6.1086999999999998</v>
      </c>
      <c r="GP74" s="155">
        <v>0.81859999999999999</v>
      </c>
      <c r="GQ74" s="155">
        <v>0.31190000000000001</v>
      </c>
      <c r="GR74" s="58">
        <f t="shared" si="65"/>
        <v>0.25452916666666664</v>
      </c>
      <c r="GS74" s="131">
        <f t="shared" si="66"/>
        <v>36.628099999999996</v>
      </c>
      <c r="GT74">
        <f t="shared" si="143"/>
        <v>6.3399999999999679E-2</v>
      </c>
      <c r="GW74">
        <v>64</v>
      </c>
      <c r="GX74" s="157">
        <v>9875</v>
      </c>
      <c r="GY74" s="161">
        <f>VLOOKUP(GX74,Sheet3!$AJ$7:$AN$83,2,0)</f>
        <v>6.1891999999999996</v>
      </c>
      <c r="GZ74" s="161">
        <f>VLOOKUP(GX74,Sheet3!$AJ$7:$AN$83,3,0)</f>
        <v>0.82940000000000003</v>
      </c>
      <c r="HA74" s="161">
        <f>VLOOKUP(GX74,Sheet3!$AJ$7:$AN$83,4,0)</f>
        <v>0.316</v>
      </c>
      <c r="HB74" s="162">
        <f t="shared" ref="HB74:HB85" si="152">GY74/24</f>
        <v>0.2578833333333333</v>
      </c>
      <c r="HC74" s="131">
        <f t="shared" si="116"/>
        <v>36.623999999999995</v>
      </c>
      <c r="HD74" s="159">
        <f t="shared" si="144"/>
        <v>8.0499999999999794E-2</v>
      </c>
      <c r="HE74" s="159">
        <f t="shared" si="145"/>
        <v>4.0999999999999925E-3</v>
      </c>
      <c r="HG74" s="159"/>
      <c r="HH74" s="159">
        <v>64</v>
      </c>
      <c r="HI74" s="158">
        <v>9875</v>
      </c>
      <c r="HJ74" s="161">
        <v>6.2217000000000002</v>
      </c>
      <c r="HK74" s="161">
        <v>0.8337</v>
      </c>
      <c r="HL74" s="161">
        <v>0.31769999999999998</v>
      </c>
      <c r="HM74" s="162">
        <f t="shared" ref="HM74:HM85" si="153">HJ74/24</f>
        <v>0.25923750000000001</v>
      </c>
      <c r="HN74" s="131">
        <f t="shared" si="67"/>
        <v>36.622299999999996</v>
      </c>
      <c r="HO74" s="159">
        <f t="shared" si="68"/>
        <v>3.2500000000000639E-2</v>
      </c>
      <c r="HQ74" s="183"/>
      <c r="HR74" s="183">
        <v>64</v>
      </c>
      <c r="HS74" s="178">
        <v>9875</v>
      </c>
      <c r="HT74" s="184">
        <v>6.2428999999999997</v>
      </c>
      <c r="HU74" s="184">
        <v>0.83660000000000001</v>
      </c>
      <c r="HV74" s="184">
        <v>0.31869999999999998</v>
      </c>
      <c r="HW74" s="171">
        <f t="shared" ref="HW74:HW85" si="154">HT74/24</f>
        <v>0.2601208333333333</v>
      </c>
      <c r="HX74" s="53">
        <f t="shared" si="69"/>
        <v>36.621299999999998</v>
      </c>
      <c r="HY74" s="183">
        <f t="shared" si="70"/>
        <v>2.1199999999999442E-2</v>
      </c>
      <c r="IA74" s="194"/>
      <c r="IB74" s="194">
        <v>64</v>
      </c>
      <c r="IC74" s="193">
        <v>9875</v>
      </c>
      <c r="ID74" s="161">
        <v>6.2521000000000004</v>
      </c>
      <c r="IE74" s="184">
        <v>0.83779999999999999</v>
      </c>
      <c r="IF74" s="184">
        <v>0.31919999999999998</v>
      </c>
      <c r="IG74" s="171">
        <f t="shared" si="71"/>
        <v>0.2605041666666667</v>
      </c>
      <c r="IH74" s="53">
        <f t="shared" si="72"/>
        <v>36.620799999999996</v>
      </c>
      <c r="II74" s="194">
        <f t="shared" si="73"/>
        <v>9.2000000000007631E-3</v>
      </c>
      <c r="IL74" s="199">
        <v>64</v>
      </c>
      <c r="IM74" s="197">
        <v>9875</v>
      </c>
      <c r="IN74" s="161">
        <v>6.3003</v>
      </c>
      <c r="IO74" s="184">
        <v>0.84430000000000005</v>
      </c>
      <c r="IP74" s="184">
        <v>0.32169999999999999</v>
      </c>
      <c r="IQ74" s="171">
        <f t="shared" si="74"/>
        <v>0.26251249999999998</v>
      </c>
      <c r="IR74" s="53">
        <f t="shared" si="75"/>
        <v>36.618299999999998</v>
      </c>
      <c r="IS74" s="199">
        <f t="shared" si="76"/>
        <v>4.8199999999999577E-2</v>
      </c>
      <c r="IU74" s="202"/>
      <c r="IV74" s="202">
        <v>64</v>
      </c>
      <c r="IW74" s="201">
        <v>9875</v>
      </c>
      <c r="IX74" s="184">
        <v>6.3654000000000002</v>
      </c>
      <c r="IY74" s="184">
        <v>0.85299999999999998</v>
      </c>
      <c r="IZ74" s="184">
        <v>0.32500000000000001</v>
      </c>
      <c r="JA74" s="162">
        <f t="shared" ref="JA74:JA85" si="155">IX74/24</f>
        <v>0.26522499999999999</v>
      </c>
      <c r="JB74" s="53">
        <f t="shared" si="77"/>
        <v>36.614999999999995</v>
      </c>
      <c r="JC74" s="202">
        <f>IX74-IN74</f>
        <v>6.5100000000000158E-2</v>
      </c>
      <c r="JE74" s="204"/>
      <c r="JF74" s="204">
        <v>64</v>
      </c>
      <c r="JG74" s="203">
        <v>9875</v>
      </c>
      <c r="JH74" s="161">
        <v>6.3860999999999999</v>
      </c>
      <c r="JI74" s="184">
        <v>0.85580000000000001</v>
      </c>
      <c r="JJ74" s="184">
        <v>0.32600000000000001</v>
      </c>
      <c r="JK74" s="162">
        <f t="shared" si="79"/>
        <v>0.26608749999999998</v>
      </c>
      <c r="JL74" s="53">
        <f t="shared" si="80"/>
        <v>36.613999999999997</v>
      </c>
      <c r="JM74" s="204">
        <f>JH74-IX74</f>
        <v>2.0699999999999719E-2</v>
      </c>
      <c r="JN74" s="204"/>
      <c r="JP74" s="209">
        <v>64</v>
      </c>
      <c r="JQ74" s="205">
        <v>9875</v>
      </c>
      <c r="JR74" s="161">
        <v>6.4027000000000003</v>
      </c>
      <c r="JS74" s="184">
        <v>0.85799999999999998</v>
      </c>
      <c r="JT74" s="184">
        <v>0.32690000000000002</v>
      </c>
      <c r="JU74" s="162">
        <f t="shared" si="81"/>
        <v>0.26677916666666668</v>
      </c>
      <c r="JV74" s="53">
        <f t="shared" si="82"/>
        <v>36.613099999999996</v>
      </c>
      <c r="JW74" s="209">
        <f>JR74-JH74</f>
        <v>1.6600000000000392E-2</v>
      </c>
      <c r="JX74" s="213"/>
      <c r="JY74" s="213"/>
      <c r="JZ74" s="213">
        <v>64</v>
      </c>
      <c r="KA74" s="206">
        <v>9875</v>
      </c>
      <c r="KB74" s="184">
        <v>6.4417</v>
      </c>
      <c r="KC74" s="184">
        <v>0.86319999999999997</v>
      </c>
      <c r="KD74" s="184">
        <v>0.32890000000000003</v>
      </c>
      <c r="KE74" s="162">
        <f t="shared" si="83"/>
        <v>0.26840416666666667</v>
      </c>
      <c r="KF74" s="53">
        <f t="shared" si="84"/>
        <v>36.6111</v>
      </c>
      <c r="KG74" s="213">
        <f>KB74-JR74</f>
        <v>3.8999999999999702E-2</v>
      </c>
      <c r="KI74" s="219"/>
      <c r="KJ74" s="219">
        <v>64</v>
      </c>
      <c r="KK74" s="214">
        <v>9875</v>
      </c>
      <c r="KL74" s="161">
        <v>6.4546999999999999</v>
      </c>
      <c r="KM74" s="161">
        <v>0.86499999999999999</v>
      </c>
      <c r="KN74" s="161">
        <v>0.32950000000000002</v>
      </c>
      <c r="KO74" s="162">
        <f t="shared" ref="KO74:KO85" si="156">KL74/24</f>
        <v>0.26894583333333333</v>
      </c>
      <c r="KP74" s="53">
        <f t="shared" si="85"/>
        <v>36.610499999999995</v>
      </c>
      <c r="KQ74" s="219">
        <f>KL74-KB74</f>
        <v>1.2999999999999901E-2</v>
      </c>
      <c r="KT74" s="223">
        <v>64</v>
      </c>
      <c r="KU74" s="216">
        <v>9875</v>
      </c>
      <c r="KV74" s="161">
        <v>6.4683999999999999</v>
      </c>
      <c r="KW74" s="161">
        <v>0.86680000000000001</v>
      </c>
      <c r="KX74" s="161">
        <v>0.33019999999999999</v>
      </c>
      <c r="KY74" s="162">
        <f t="shared" si="86"/>
        <v>0.26951666666666668</v>
      </c>
      <c r="KZ74" s="53">
        <f t="shared" si="87"/>
        <v>36.6098</v>
      </c>
      <c r="LA74" s="223">
        <f>KV74-KL74</f>
        <v>1.3700000000000045E-2</v>
      </c>
      <c r="LD74" s="228">
        <v>64</v>
      </c>
      <c r="LE74" s="221">
        <v>9875</v>
      </c>
      <c r="LF74" s="161">
        <v>6.4798999999999998</v>
      </c>
      <c r="LG74" s="161">
        <v>0.86829999999999996</v>
      </c>
      <c r="LH74" s="161">
        <v>0.33079999999999998</v>
      </c>
      <c r="LI74" s="162">
        <f t="shared" si="88"/>
        <v>0.26999583333333332</v>
      </c>
      <c r="LJ74" s="53">
        <f t="shared" si="89"/>
        <v>36.609200000000001</v>
      </c>
      <c r="LK74" s="228">
        <f>LF74-KV74</f>
        <v>1.1499999999999844E-2</v>
      </c>
      <c r="LL74" s="231"/>
      <c r="LM74" s="231"/>
      <c r="LN74" s="231">
        <v>64</v>
      </c>
      <c r="LO74" s="226">
        <v>9875</v>
      </c>
      <c r="LP74" s="184">
        <v>6.4960000000000004</v>
      </c>
      <c r="LQ74" s="184">
        <v>0.87050000000000005</v>
      </c>
      <c r="LR74" s="184">
        <v>0.33169999999999999</v>
      </c>
      <c r="LS74" s="162">
        <f t="shared" si="90"/>
        <v>0.27066666666666667</v>
      </c>
      <c r="LT74" s="53">
        <f t="shared" si="91"/>
        <v>36.6083</v>
      </c>
      <c r="LU74" s="231">
        <f>LP74-LF74</f>
        <v>1.6100000000000669E-2</v>
      </c>
      <c r="LW74" s="231"/>
      <c r="LX74" s="231">
        <v>64</v>
      </c>
      <c r="LY74" s="234">
        <v>9875</v>
      </c>
      <c r="LZ74" s="184">
        <v>6.5141</v>
      </c>
      <c r="MA74" s="184">
        <v>0.87290000000000001</v>
      </c>
      <c r="MB74" s="184">
        <v>0.33260000000000001</v>
      </c>
      <c r="MC74" s="162">
        <f t="shared" si="92"/>
        <v>0.27142083333333333</v>
      </c>
      <c r="MD74" s="53">
        <f t="shared" si="93"/>
        <v>36.607399999999998</v>
      </c>
      <c r="ME74" s="231">
        <f>LZ74-LP74</f>
        <v>1.8099999999999561E-2</v>
      </c>
      <c r="MF74" s="231"/>
      <c r="MG74" s="231"/>
      <c r="MH74" s="231">
        <v>64</v>
      </c>
      <c r="MI74" s="236">
        <v>9875</v>
      </c>
      <c r="MJ74" s="184">
        <v>6.5319000000000003</v>
      </c>
      <c r="MK74" s="184">
        <v>0.87529999999999997</v>
      </c>
      <c r="ML74" s="184">
        <v>0.33350000000000002</v>
      </c>
      <c r="MM74" s="162">
        <f t="shared" si="94"/>
        <v>0.27216250000000003</v>
      </c>
      <c r="MN74" s="53">
        <f t="shared" si="95"/>
        <v>36.606499999999997</v>
      </c>
      <c r="MO74" s="231">
        <f>MJ74-LZ74</f>
        <v>1.780000000000026E-2</v>
      </c>
      <c r="MP74" s="231"/>
      <c r="MQ74" s="231"/>
      <c r="MR74" s="231">
        <v>64</v>
      </c>
      <c r="MS74" s="238">
        <v>9875</v>
      </c>
      <c r="MT74" s="184">
        <v>6.5659000000000001</v>
      </c>
      <c r="MU74" s="184">
        <v>0.87990000000000002</v>
      </c>
      <c r="MV74" s="184">
        <v>0.3352</v>
      </c>
      <c r="MW74" s="162">
        <f t="shared" si="96"/>
        <v>0.27357916666666665</v>
      </c>
      <c r="MX74" s="53">
        <f t="shared" si="97"/>
        <v>36.604799999999997</v>
      </c>
      <c r="MY74" s="231">
        <f>MT74-MJ74</f>
        <v>3.3999999999999808E-2</v>
      </c>
      <c r="MZ74" s="246"/>
      <c r="NA74" s="246"/>
      <c r="NB74" s="246">
        <v>64</v>
      </c>
      <c r="NC74" s="242">
        <v>9875</v>
      </c>
      <c r="ND74" s="184">
        <v>6.6006</v>
      </c>
      <c r="NE74" s="184">
        <v>0.88449999999999995</v>
      </c>
      <c r="NF74" s="184">
        <v>0.33700000000000002</v>
      </c>
      <c r="NG74" s="162">
        <f t="shared" si="98"/>
        <v>0.27502500000000002</v>
      </c>
      <c r="NH74" s="53">
        <f t="shared" si="99"/>
        <v>36.602999999999994</v>
      </c>
      <c r="NI74" s="232">
        <f>ND74-MT74</f>
        <v>3.4699999999999953E-2</v>
      </c>
      <c r="NK74" s="250"/>
      <c r="NL74" s="250">
        <v>64</v>
      </c>
      <c r="NM74" s="244">
        <v>9875</v>
      </c>
      <c r="NN74" s="184">
        <v>6.6108000000000002</v>
      </c>
      <c r="NO74" s="184">
        <v>0.88590000000000002</v>
      </c>
      <c r="NP74" s="184">
        <v>0.33750000000000002</v>
      </c>
      <c r="NQ74" s="162">
        <f t="shared" si="133"/>
        <v>0.27545000000000003</v>
      </c>
      <c r="NR74" s="53">
        <f t="shared" si="101"/>
        <v>36.602499999999999</v>
      </c>
      <c r="NS74" s="232">
        <f>NN74-ND74</f>
        <v>1.0200000000000209E-2</v>
      </c>
      <c r="NU74" s="250"/>
      <c r="NV74" s="250">
        <v>64</v>
      </c>
      <c r="NW74" s="248">
        <v>9875</v>
      </c>
      <c r="NX74" s="184">
        <v>6.6269999999999998</v>
      </c>
      <c r="NY74" s="184">
        <v>0.88800000000000001</v>
      </c>
      <c r="NZ74" s="184">
        <v>0.33829999999999999</v>
      </c>
      <c r="OA74" s="162">
        <f t="shared" si="134"/>
        <v>0.27612500000000001</v>
      </c>
      <c r="OB74" s="53">
        <f t="shared" si="103"/>
        <v>36.601700000000001</v>
      </c>
      <c r="OC74" s="232">
        <f>NX74-NN74</f>
        <v>1.6199999999999548E-2</v>
      </c>
      <c r="OE74" s="250"/>
      <c r="OF74" s="250">
        <v>64</v>
      </c>
      <c r="OG74" s="251">
        <v>9875</v>
      </c>
      <c r="OH74" s="184">
        <v>6.6351000000000004</v>
      </c>
      <c r="OI74" s="184">
        <v>0.8891</v>
      </c>
      <c r="OJ74" s="184">
        <v>0.33879999999999999</v>
      </c>
      <c r="OK74" s="162">
        <f t="shared" si="135"/>
        <v>0.2764625</v>
      </c>
      <c r="OL74" s="53">
        <f t="shared" si="105"/>
        <v>36.601199999999999</v>
      </c>
      <c r="OM74" s="232">
        <f>OH74-NX74</f>
        <v>8.1000000000006622E-3</v>
      </c>
      <c r="OP74" s="250">
        <v>64</v>
      </c>
      <c r="OQ74" s="253">
        <v>9875</v>
      </c>
      <c r="OR74" s="184">
        <f>VLOOKUP(OQ74,Sheet4!A16:F92,3,0)</f>
        <v>6.6536999999999997</v>
      </c>
      <c r="OS74" s="184">
        <f>VLOOKUP(OQ74,Sheet4!A16:F92,4,0)</f>
        <v>0.89159999999999995</v>
      </c>
      <c r="OT74" s="184">
        <f>VLOOKUP(OQ74,Sheet4!A16:F92,5,0)</f>
        <v>0.3397</v>
      </c>
      <c r="OU74" s="162">
        <f t="shared" si="106"/>
        <v>0.27723749999999997</v>
      </c>
      <c r="OV74" s="53">
        <f t="shared" si="107"/>
        <v>36.600299999999997</v>
      </c>
      <c r="OW74" s="232">
        <f>OR74-OH74</f>
        <v>1.8599999999999284E-2</v>
      </c>
    </row>
    <row r="75" spans="1:413" ht="15.75" x14ac:dyDescent="0.25">
      <c r="A75">
        <v>67</v>
      </c>
      <c r="B75" s="1">
        <v>9535</v>
      </c>
      <c r="C75" s="1" t="s">
        <v>1</v>
      </c>
      <c r="D75" s="2">
        <v>35.700000000000003</v>
      </c>
      <c r="E75" s="8"/>
      <c r="F75" s="8"/>
      <c r="G75" s="8"/>
      <c r="H75" s="8"/>
      <c r="J75" s="15">
        <v>9535</v>
      </c>
      <c r="K75" s="15">
        <v>13.7029</v>
      </c>
      <c r="L75" s="15">
        <v>1.8362000000000001</v>
      </c>
      <c r="M75" s="15">
        <v>0.6996</v>
      </c>
      <c r="N75" s="24">
        <f t="shared" si="42"/>
        <v>0.57095416666666665</v>
      </c>
      <c r="O75" s="10">
        <f t="shared" ref="O75:O82" si="157">D75-M75</f>
        <v>35.000400000000006</v>
      </c>
      <c r="P75" s="18"/>
      <c r="R75" s="20">
        <v>9535</v>
      </c>
      <c r="S75" s="9">
        <v>13.7446</v>
      </c>
      <c r="T75" s="9">
        <v>1.8418000000000001</v>
      </c>
      <c r="U75" s="9">
        <v>0.70169999999999999</v>
      </c>
      <c r="V75" s="24">
        <f t="shared" si="43"/>
        <v>0.57269166666666671</v>
      </c>
      <c r="W75" s="10">
        <f t="shared" ref="W75:W82" si="158">D75-U75</f>
        <v>34.9983</v>
      </c>
      <c r="X75" s="18"/>
      <c r="Z75" s="27">
        <v>9535</v>
      </c>
      <c r="AA75" s="9">
        <v>13.847099999999999</v>
      </c>
      <c r="AB75" s="9">
        <v>1.8555999999999999</v>
      </c>
      <c r="AC75" s="9">
        <v>0.70699999999999996</v>
      </c>
      <c r="AD75" s="24">
        <f t="shared" si="45"/>
        <v>0.57696249999999993</v>
      </c>
      <c r="AE75" s="10">
        <f t="shared" si="46"/>
        <v>34.993000000000002</v>
      </c>
      <c r="AF75" s="79"/>
      <c r="AG75">
        <v>67</v>
      </c>
      <c r="AH75" s="1">
        <v>9535</v>
      </c>
      <c r="AI75" s="1" t="s">
        <v>1</v>
      </c>
      <c r="AJ75" s="2">
        <v>35.700000000000003</v>
      </c>
      <c r="AL75" s="32">
        <v>9535</v>
      </c>
      <c r="AM75" s="9">
        <v>13.958</v>
      </c>
      <c r="AN75" s="9">
        <v>1.8704000000000001</v>
      </c>
      <c r="AO75" s="9">
        <v>0.71260000000000001</v>
      </c>
      <c r="AP75" s="37">
        <f t="shared" si="146"/>
        <v>0.58158333333333334</v>
      </c>
      <c r="AQ75" s="53">
        <f t="shared" si="108"/>
        <v>34.987400000000001</v>
      </c>
      <c r="AT75" s="39"/>
      <c r="AU75" s="38">
        <v>9535</v>
      </c>
      <c r="AV75" s="9">
        <v>14.005100000000001</v>
      </c>
      <c r="AW75" s="43">
        <v>1.8767</v>
      </c>
      <c r="AX75" s="43">
        <v>0.71499999999999997</v>
      </c>
      <c r="AY75" s="47">
        <f t="shared" si="47"/>
        <v>0.58354583333333332</v>
      </c>
      <c r="AZ75" s="56">
        <f t="shared" si="109"/>
        <v>34.984999999999999</v>
      </c>
      <c r="BD75" s="54">
        <v>9535</v>
      </c>
      <c r="BE75" s="53">
        <v>14.010400000000001</v>
      </c>
      <c r="BF75" s="58">
        <v>1.8774</v>
      </c>
      <c r="BG75" s="58">
        <v>0.71530000000000005</v>
      </c>
      <c r="BH75" s="47">
        <f t="shared" si="48"/>
        <v>0.58376666666666666</v>
      </c>
      <c r="BI75" s="56">
        <f t="shared" si="49"/>
        <v>34.984700000000004</v>
      </c>
      <c r="BJ75" s="88"/>
      <c r="BK75" s="88"/>
      <c r="BL75" s="88"/>
      <c r="BN75" s="9">
        <v>9535</v>
      </c>
      <c r="BO75" s="53">
        <v>14.0303</v>
      </c>
      <c r="BP75" s="53">
        <v>1.8801000000000001</v>
      </c>
      <c r="BQ75" s="53">
        <v>0.71630000000000005</v>
      </c>
      <c r="BR75" s="53">
        <f t="shared" si="50"/>
        <v>0.58459583333333331</v>
      </c>
      <c r="BS75" s="53">
        <f t="shared" si="51"/>
        <v>34.983700000000006</v>
      </c>
      <c r="BV75" s="88"/>
      <c r="BX75" s="93">
        <v>9535</v>
      </c>
      <c r="BY75" s="9">
        <v>14.0695</v>
      </c>
      <c r="BZ75" s="9">
        <v>1.8854</v>
      </c>
      <c r="CA75" s="9">
        <v>0.71830000000000005</v>
      </c>
      <c r="CB75" s="58">
        <f t="shared" si="52"/>
        <v>0.58622916666666669</v>
      </c>
      <c r="CC75" s="53">
        <f t="shared" si="110"/>
        <v>34.981700000000004</v>
      </c>
      <c r="CF75" s="88"/>
      <c r="CG75">
        <v>65</v>
      </c>
      <c r="CH75" s="93">
        <v>9535</v>
      </c>
      <c r="CI75" s="93">
        <v>14.103199999999999</v>
      </c>
      <c r="CJ75" s="9">
        <v>1.8898999999999999</v>
      </c>
      <c r="CK75" s="9">
        <v>0.72</v>
      </c>
      <c r="CL75" s="47">
        <f t="shared" si="147"/>
        <v>0.58763333333333334</v>
      </c>
      <c r="CM75" s="53">
        <f t="shared" si="53"/>
        <v>34.980000000000004</v>
      </c>
      <c r="CQ75">
        <v>65</v>
      </c>
      <c r="CR75" s="98">
        <v>9535</v>
      </c>
      <c r="CS75" s="101">
        <v>14.1456</v>
      </c>
      <c r="CT75" s="101">
        <v>1.8956</v>
      </c>
      <c r="CU75" s="101">
        <v>0.72219999999999995</v>
      </c>
      <c r="CV75" s="47">
        <f t="shared" si="148"/>
        <v>0.58940000000000003</v>
      </c>
      <c r="CW75" s="53">
        <f t="shared" ref="CW75:CW85" si="159">AJ75-CU75</f>
        <v>34.977800000000002</v>
      </c>
      <c r="DA75">
        <v>65</v>
      </c>
      <c r="DB75" s="106">
        <v>9535</v>
      </c>
      <c r="DC75" s="107">
        <v>14.149800000000001</v>
      </c>
      <c r="DD75" s="107">
        <v>1.8960999999999999</v>
      </c>
      <c r="DE75" s="107">
        <v>0.72240000000000004</v>
      </c>
      <c r="DF75" s="47">
        <f t="shared" si="136"/>
        <v>0.58957500000000007</v>
      </c>
      <c r="DG75" s="53">
        <f t="shared" si="111"/>
        <v>34.977600000000002</v>
      </c>
      <c r="DK75">
        <v>65</v>
      </c>
      <c r="DL75" s="110">
        <v>9535</v>
      </c>
      <c r="DM75" s="53">
        <v>14.1981</v>
      </c>
      <c r="DN75" s="53">
        <v>1.9026000000000001</v>
      </c>
      <c r="DO75" s="53">
        <v>0.72489999999999999</v>
      </c>
      <c r="DP75" s="47">
        <f t="shared" si="137"/>
        <v>0.59158750000000004</v>
      </c>
      <c r="DQ75" s="53">
        <f t="shared" si="54"/>
        <v>34.975100000000005</v>
      </c>
      <c r="DS75" s="3">
        <f t="shared" si="55"/>
        <v>4.8299999999999343E-2</v>
      </c>
      <c r="DU75">
        <v>65</v>
      </c>
      <c r="DV75" s="115">
        <v>9535</v>
      </c>
      <c r="DW75" s="53">
        <f>Sheet3!B$17</f>
        <v>14.228199999999999</v>
      </c>
      <c r="DX75" s="53">
        <f>Sheet3!C$17</f>
        <v>1.9066000000000001</v>
      </c>
      <c r="DY75" s="53">
        <f>Sheet3!D$17</f>
        <v>0.72640000000000005</v>
      </c>
      <c r="DZ75" s="47">
        <f t="shared" si="138"/>
        <v>0.5928416666666666</v>
      </c>
      <c r="EA75" s="53">
        <f t="shared" si="112"/>
        <v>34.973600000000005</v>
      </c>
      <c r="EB75" s="3"/>
      <c r="EE75">
        <v>65</v>
      </c>
      <c r="EF75" s="118">
        <v>9535</v>
      </c>
      <c r="EG75" s="9">
        <v>14.2753</v>
      </c>
      <c r="EH75" s="9">
        <v>1.9129</v>
      </c>
      <c r="EI75" s="9">
        <v>0.7288</v>
      </c>
      <c r="EJ75" s="47">
        <f t="shared" si="149"/>
        <v>0.59480416666666669</v>
      </c>
      <c r="EK75" s="53">
        <f t="shared" si="56"/>
        <v>34.971200000000003</v>
      </c>
      <c r="EM75" s="3">
        <f t="shared" si="57"/>
        <v>-2.400000000001512E-3</v>
      </c>
      <c r="EN75" s="3"/>
      <c r="EO75">
        <v>65</v>
      </c>
      <c r="EP75" s="121">
        <v>9535</v>
      </c>
      <c r="EQ75" s="122">
        <v>14.3689</v>
      </c>
      <c r="ER75" s="122">
        <v>1.9255</v>
      </c>
      <c r="ES75" s="129">
        <v>0.73360000000000003</v>
      </c>
      <c r="ET75" s="130">
        <f t="shared" si="150"/>
        <v>0.5987041666666667</v>
      </c>
      <c r="EU75" s="131">
        <f t="shared" si="58"/>
        <v>34.9664</v>
      </c>
      <c r="EX75" s="3"/>
      <c r="EY75">
        <v>65</v>
      </c>
      <c r="EZ75" s="135">
        <v>9535</v>
      </c>
      <c r="FA75" s="135">
        <v>14.413</v>
      </c>
      <c r="FB75" s="135">
        <v>1.9314</v>
      </c>
      <c r="FC75" s="135">
        <v>0.7359</v>
      </c>
      <c r="FD75" s="136">
        <f t="shared" si="151"/>
        <v>0.60054166666666664</v>
      </c>
      <c r="FE75" s="131">
        <f t="shared" si="59"/>
        <v>34.964100000000002</v>
      </c>
      <c r="FG75" s="123">
        <f t="shared" si="60"/>
        <v>-2.2999999999981924E-3</v>
      </c>
      <c r="FH75" s="3"/>
      <c r="FI75">
        <v>65</v>
      </c>
      <c r="FJ75" s="145">
        <v>9535</v>
      </c>
      <c r="FK75" s="9">
        <v>14.4718</v>
      </c>
      <c r="FL75" s="9">
        <v>1.9393</v>
      </c>
      <c r="FM75" s="9">
        <v>0.7389</v>
      </c>
      <c r="FN75" s="146">
        <f t="shared" si="113"/>
        <v>0.6029916666666667</v>
      </c>
      <c r="FO75" s="131">
        <f t="shared" si="61"/>
        <v>34.961100000000002</v>
      </c>
      <c r="FP75" s="123">
        <f t="shared" si="62"/>
        <v>-3.0000000000001137E-3</v>
      </c>
      <c r="FS75">
        <v>65</v>
      </c>
      <c r="FT75" s="147">
        <v>9535</v>
      </c>
      <c r="FU75" s="148">
        <v>14.4839</v>
      </c>
      <c r="FV75" s="148">
        <v>1.9409000000000001</v>
      </c>
      <c r="FW75" s="148">
        <v>0.73950000000000005</v>
      </c>
      <c r="FX75" s="150">
        <f t="shared" si="114"/>
        <v>0.60349583333333334</v>
      </c>
      <c r="FY75" s="131">
        <f t="shared" si="115"/>
        <v>34.960500000000003</v>
      </c>
      <c r="FZ75">
        <f t="shared" si="63"/>
        <v>1.2100000000000222E-2</v>
      </c>
      <c r="GC75">
        <v>65</v>
      </c>
      <c r="GD75" s="151">
        <v>9535</v>
      </c>
      <c r="GE75" s="151">
        <v>14.5138</v>
      </c>
      <c r="GF75" s="151">
        <v>1.9449000000000001</v>
      </c>
      <c r="GG75" s="151">
        <v>0.74099999999999999</v>
      </c>
      <c r="GH75" s="153">
        <f t="shared" si="132"/>
        <v>0.60474166666666662</v>
      </c>
      <c r="GI75" s="131">
        <f t="shared" si="64"/>
        <v>34.959000000000003</v>
      </c>
      <c r="GJ75">
        <f t="shared" ref="GJ75:GJ85" si="160">GE75-FU75</f>
        <v>2.9899999999999594E-2</v>
      </c>
      <c r="GM75">
        <v>65</v>
      </c>
      <c r="GN75" s="155">
        <v>9535</v>
      </c>
      <c r="GO75" s="155">
        <v>14.577199999999999</v>
      </c>
      <c r="GP75" s="155">
        <v>1.9534</v>
      </c>
      <c r="GQ75" s="155">
        <v>0.74419999999999997</v>
      </c>
      <c r="GR75" s="58">
        <f t="shared" si="65"/>
        <v>0.60738333333333328</v>
      </c>
      <c r="GS75" s="131">
        <f t="shared" si="66"/>
        <v>34.955800000000004</v>
      </c>
      <c r="GT75">
        <f t="shared" ref="GT75:GT85" si="161">GO75-GE75</f>
        <v>6.3399999999999679E-2</v>
      </c>
      <c r="GW75">
        <v>65</v>
      </c>
      <c r="GX75" s="157">
        <v>9535</v>
      </c>
      <c r="GY75" s="161">
        <f>VLOOKUP(GX75,Sheet3!$AJ$7:$AN$83,2,0)</f>
        <v>14.6577</v>
      </c>
      <c r="GZ75" s="161">
        <f>VLOOKUP(GX75,Sheet3!$AJ$7:$AN$83,3,0)</f>
        <v>1.9641999999999999</v>
      </c>
      <c r="HA75" s="161">
        <f>VLOOKUP(GX75,Sheet3!$AJ$7:$AN$83,4,0)</f>
        <v>0.74839999999999995</v>
      </c>
      <c r="HB75" s="162">
        <f t="shared" si="152"/>
        <v>0.61073750000000004</v>
      </c>
      <c r="HC75" s="131">
        <f t="shared" si="116"/>
        <v>34.951600000000006</v>
      </c>
      <c r="HD75" s="159">
        <f t="shared" ref="HD75:HD81" si="162">GY75-GO75</f>
        <v>8.0500000000000682E-2</v>
      </c>
      <c r="HE75" s="159">
        <f t="shared" ref="HE75:HE81" si="163">HA75-GQ75</f>
        <v>4.1999999999999815E-3</v>
      </c>
      <c r="HG75" s="159"/>
      <c r="HH75" s="159">
        <v>65</v>
      </c>
      <c r="HI75" s="158">
        <v>9535</v>
      </c>
      <c r="HJ75" s="161">
        <v>14.690200000000001</v>
      </c>
      <c r="HK75" s="161">
        <v>1.9684999999999999</v>
      </c>
      <c r="HL75" s="161">
        <v>0.75</v>
      </c>
      <c r="HM75" s="162">
        <f t="shared" si="153"/>
        <v>0.6120916666666667</v>
      </c>
      <c r="HN75" s="131">
        <f t="shared" si="67"/>
        <v>34.950000000000003</v>
      </c>
      <c r="HO75" s="159">
        <f t="shared" si="68"/>
        <v>3.2500000000000639E-2</v>
      </c>
      <c r="HQ75" s="183"/>
      <c r="HR75" s="183">
        <v>65</v>
      </c>
      <c r="HS75" s="178">
        <v>9535</v>
      </c>
      <c r="HT75" s="184">
        <v>14.711399999999999</v>
      </c>
      <c r="HU75" s="184">
        <v>1.9714</v>
      </c>
      <c r="HV75" s="184">
        <v>0.75109999999999999</v>
      </c>
      <c r="HW75" s="171">
        <f t="shared" si="154"/>
        <v>0.61297499999999994</v>
      </c>
      <c r="HX75" s="53">
        <f t="shared" si="69"/>
        <v>34.948900000000002</v>
      </c>
      <c r="HY75" s="183">
        <f t="shared" si="70"/>
        <v>2.1199999999998553E-2</v>
      </c>
      <c r="IA75" s="194"/>
      <c r="IB75" s="194">
        <v>65</v>
      </c>
      <c r="IC75" s="193">
        <v>9535</v>
      </c>
      <c r="ID75" s="161">
        <v>14.720599999999999</v>
      </c>
      <c r="IE75" s="184">
        <v>1.9725999999999999</v>
      </c>
      <c r="IF75" s="184">
        <v>0.75160000000000005</v>
      </c>
      <c r="IG75" s="171">
        <f t="shared" si="71"/>
        <v>0.61335833333333334</v>
      </c>
      <c r="IH75" s="53">
        <f t="shared" si="72"/>
        <v>34.948399999999999</v>
      </c>
      <c r="II75" s="194">
        <f t="shared" si="73"/>
        <v>9.1999999999998749E-3</v>
      </c>
      <c r="IL75" s="199">
        <v>65</v>
      </c>
      <c r="IM75" s="197">
        <v>9535</v>
      </c>
      <c r="IN75" s="161">
        <v>14.768800000000001</v>
      </c>
      <c r="IO75" s="184">
        <v>1.9791000000000001</v>
      </c>
      <c r="IP75" s="184">
        <v>0.754</v>
      </c>
      <c r="IQ75" s="171">
        <f t="shared" si="74"/>
        <v>0.61536666666666673</v>
      </c>
      <c r="IR75" s="53">
        <f t="shared" si="75"/>
        <v>34.946000000000005</v>
      </c>
      <c r="IS75" s="199">
        <f t="shared" si="76"/>
        <v>4.8200000000001353E-2</v>
      </c>
      <c r="IU75" s="202"/>
      <c r="IV75" s="202">
        <v>65</v>
      </c>
      <c r="IW75" s="201">
        <v>9535</v>
      </c>
      <c r="IX75" s="184">
        <v>14.8339</v>
      </c>
      <c r="IY75" s="184">
        <v>1.9878</v>
      </c>
      <c r="IZ75" s="184">
        <v>0.75739999999999996</v>
      </c>
      <c r="JA75" s="162">
        <f t="shared" si="155"/>
        <v>0.61807916666666662</v>
      </c>
      <c r="JB75" s="53">
        <f t="shared" si="77"/>
        <v>34.942600000000006</v>
      </c>
      <c r="JC75" s="202">
        <f t="shared" si="78"/>
        <v>6.509999999999927E-2</v>
      </c>
      <c r="JE75" s="204"/>
      <c r="JF75" s="204">
        <v>65</v>
      </c>
      <c r="JG75" s="203">
        <v>9535</v>
      </c>
      <c r="JH75" s="161">
        <v>14.8546</v>
      </c>
      <c r="JI75" s="184">
        <v>1.9905999999999999</v>
      </c>
      <c r="JJ75" s="184">
        <v>0.75839999999999996</v>
      </c>
      <c r="JK75" s="162">
        <f t="shared" si="79"/>
        <v>0.61894166666666661</v>
      </c>
      <c r="JL75" s="53">
        <f t="shared" si="80"/>
        <v>34.941600000000001</v>
      </c>
      <c r="JM75" s="204">
        <f t="shared" ref="JM75:JM81" si="164">JH75-IX75</f>
        <v>2.0699999999999719E-2</v>
      </c>
      <c r="JN75" s="204"/>
      <c r="JP75" s="209">
        <v>65</v>
      </c>
      <c r="JQ75" s="205">
        <v>9535</v>
      </c>
      <c r="JR75" s="161">
        <v>14.8712</v>
      </c>
      <c r="JS75" s="184">
        <v>1.9927999999999999</v>
      </c>
      <c r="JT75" s="184">
        <v>0.75929999999999997</v>
      </c>
      <c r="JU75" s="162">
        <f t="shared" si="81"/>
        <v>0.61963333333333337</v>
      </c>
      <c r="JV75" s="53">
        <f t="shared" si="82"/>
        <v>34.9407</v>
      </c>
      <c r="JW75" s="209">
        <f t="shared" ref="JW75:JW81" si="165">JR75-JH75</f>
        <v>1.6600000000000392E-2</v>
      </c>
      <c r="JX75" s="213"/>
      <c r="JY75" s="213"/>
      <c r="JZ75" s="213">
        <v>65</v>
      </c>
      <c r="KA75" s="206">
        <v>9535</v>
      </c>
      <c r="KB75" s="184">
        <v>14.9102</v>
      </c>
      <c r="KC75" s="184">
        <v>1.998</v>
      </c>
      <c r="KD75" s="184">
        <v>0.76119999999999999</v>
      </c>
      <c r="KE75" s="162">
        <f t="shared" si="83"/>
        <v>0.62125833333333336</v>
      </c>
      <c r="KF75" s="53">
        <f t="shared" si="84"/>
        <v>34.938800000000001</v>
      </c>
      <c r="KG75" s="213">
        <f t="shared" ref="KG75:KG81" si="166">KB75-JR75</f>
        <v>3.8999999999999702E-2</v>
      </c>
      <c r="KI75" s="219"/>
      <c r="KJ75" s="219">
        <v>65</v>
      </c>
      <c r="KK75" s="214">
        <v>9535</v>
      </c>
      <c r="KL75" s="161">
        <v>14.9232</v>
      </c>
      <c r="KM75" s="161">
        <v>1.9998</v>
      </c>
      <c r="KN75" s="161">
        <v>0.76190000000000002</v>
      </c>
      <c r="KO75" s="162">
        <f t="shared" si="156"/>
        <v>0.62180000000000002</v>
      </c>
      <c r="KP75" s="53">
        <f t="shared" si="85"/>
        <v>34.938100000000006</v>
      </c>
      <c r="KQ75" s="219">
        <f t="shared" ref="KQ75:KQ81" si="167">KL75-KB75</f>
        <v>1.2999999999999901E-2</v>
      </c>
      <c r="KT75" s="223">
        <v>65</v>
      </c>
      <c r="KU75" s="216">
        <v>9535</v>
      </c>
      <c r="KV75" s="161">
        <v>14.9369</v>
      </c>
      <c r="KW75" s="161">
        <v>2.0015999999999998</v>
      </c>
      <c r="KX75" s="161">
        <v>0.76259999999999994</v>
      </c>
      <c r="KY75" s="162">
        <f t="shared" si="86"/>
        <v>0.62237083333333332</v>
      </c>
      <c r="KZ75" s="53">
        <f t="shared" si="87"/>
        <v>34.937400000000004</v>
      </c>
      <c r="LA75" s="223">
        <f t="shared" ref="LA75:LA81" si="168">KV75-KL75</f>
        <v>1.3700000000000045E-2</v>
      </c>
      <c r="LD75" s="228">
        <v>65</v>
      </c>
      <c r="LE75" s="221">
        <v>9535</v>
      </c>
      <c r="LF75" s="161">
        <v>14.948399999999999</v>
      </c>
      <c r="LG75" s="161">
        <v>2.0030999999999999</v>
      </c>
      <c r="LH75" s="161">
        <v>0.76319999999999999</v>
      </c>
      <c r="LI75" s="162">
        <f t="shared" si="88"/>
        <v>0.62285000000000001</v>
      </c>
      <c r="LJ75" s="53">
        <f t="shared" si="89"/>
        <v>34.936800000000005</v>
      </c>
      <c r="LK75" s="228">
        <f t="shared" ref="LK75:LK81" si="169">LF75-KV75</f>
        <v>1.1499999999999844E-2</v>
      </c>
      <c r="LL75" s="231"/>
      <c r="LM75" s="231"/>
      <c r="LN75" s="231">
        <v>65</v>
      </c>
      <c r="LO75" s="226">
        <v>9535</v>
      </c>
      <c r="LP75" s="184">
        <v>14.964499999999999</v>
      </c>
      <c r="LQ75" s="184">
        <v>2.0053000000000001</v>
      </c>
      <c r="LR75" s="184">
        <v>0.76400000000000001</v>
      </c>
      <c r="LS75" s="162">
        <f t="shared" si="90"/>
        <v>0.6235208333333333</v>
      </c>
      <c r="LT75" s="53">
        <f t="shared" si="91"/>
        <v>34.936</v>
      </c>
      <c r="LU75" s="231">
        <f t="shared" ref="LU75:LU81" si="170">LP75-LF75</f>
        <v>1.6099999999999781E-2</v>
      </c>
      <c r="LW75" s="231"/>
      <c r="LX75" s="231">
        <v>65</v>
      </c>
      <c r="LY75" s="234">
        <v>9535</v>
      </c>
      <c r="LZ75" s="184">
        <v>14.9826</v>
      </c>
      <c r="MA75" s="184">
        <v>2.0076999999999998</v>
      </c>
      <c r="MB75" s="184">
        <v>0.76490000000000002</v>
      </c>
      <c r="MC75" s="162">
        <f t="shared" si="92"/>
        <v>0.62427500000000002</v>
      </c>
      <c r="MD75" s="53">
        <f t="shared" si="93"/>
        <v>34.935100000000006</v>
      </c>
      <c r="ME75" s="231">
        <f t="shared" ref="ME75:ME81" si="171">LZ75-LP75</f>
        <v>1.8100000000000449E-2</v>
      </c>
      <c r="MF75" s="231"/>
      <c r="MG75" s="231"/>
      <c r="MH75" s="231">
        <v>65</v>
      </c>
      <c r="MI75" s="236">
        <v>9535</v>
      </c>
      <c r="MJ75" s="184">
        <v>15.000400000000001</v>
      </c>
      <c r="MK75" s="184">
        <v>2.0101</v>
      </c>
      <c r="ML75" s="184">
        <v>0.76590000000000003</v>
      </c>
      <c r="MM75" s="162">
        <f t="shared" si="94"/>
        <v>0.62501666666666666</v>
      </c>
      <c r="MN75" s="53">
        <f t="shared" si="95"/>
        <v>34.934100000000001</v>
      </c>
      <c r="MO75" s="231">
        <f t="shared" ref="MO75:MO81" si="172">MJ75-LZ75</f>
        <v>1.7800000000001148E-2</v>
      </c>
      <c r="MP75" s="231"/>
      <c r="MQ75" s="231"/>
      <c r="MR75" s="231">
        <v>65</v>
      </c>
      <c r="MS75" s="238">
        <v>9535</v>
      </c>
      <c r="MT75" s="184">
        <v>15.0344</v>
      </c>
      <c r="MU75" s="184">
        <v>2.0146999999999999</v>
      </c>
      <c r="MV75" s="184">
        <v>0.76759999999999995</v>
      </c>
      <c r="MW75" s="162">
        <f t="shared" si="96"/>
        <v>0.62643333333333329</v>
      </c>
      <c r="MX75" s="53">
        <f t="shared" si="97"/>
        <v>34.932400000000001</v>
      </c>
      <c r="MY75" s="231">
        <f t="shared" ref="MY75:MY81" si="173">MT75-MJ75</f>
        <v>3.399999999999892E-2</v>
      </c>
      <c r="MZ75" s="246"/>
      <c r="NA75" s="246"/>
      <c r="NB75" s="246">
        <v>65</v>
      </c>
      <c r="NC75" s="242">
        <v>9535</v>
      </c>
      <c r="ND75" s="184">
        <v>15.069100000000001</v>
      </c>
      <c r="NE75" s="184">
        <v>2.0192999999999999</v>
      </c>
      <c r="NF75" s="184">
        <v>0.76939999999999997</v>
      </c>
      <c r="NG75" s="162">
        <f t="shared" si="98"/>
        <v>0.62787916666666665</v>
      </c>
      <c r="NH75" s="53">
        <f t="shared" si="99"/>
        <v>34.930600000000005</v>
      </c>
      <c r="NI75" s="232">
        <f t="shared" ref="NI75:NI81" si="174">ND75-MT75</f>
        <v>3.4700000000000841E-2</v>
      </c>
      <c r="NK75" s="250"/>
      <c r="NL75" s="250">
        <v>65</v>
      </c>
      <c r="NM75" s="244">
        <v>9535</v>
      </c>
      <c r="NN75" s="184">
        <v>15.0793</v>
      </c>
      <c r="NO75" s="184">
        <v>2.0207000000000002</v>
      </c>
      <c r="NP75" s="184">
        <v>0.76990000000000003</v>
      </c>
      <c r="NQ75" s="162">
        <f t="shared" si="133"/>
        <v>0.62830416666666666</v>
      </c>
      <c r="NR75" s="53">
        <f t="shared" si="101"/>
        <v>34.930100000000003</v>
      </c>
      <c r="NS75" s="232">
        <f t="shared" ref="NS75:NS81" si="175">NN75-ND75</f>
        <v>1.0199999999999321E-2</v>
      </c>
      <c r="NU75" s="250"/>
      <c r="NV75" s="250">
        <v>65</v>
      </c>
      <c r="NW75" s="248">
        <v>9535</v>
      </c>
      <c r="NX75" s="184">
        <v>15.095499999999999</v>
      </c>
      <c r="NY75" s="184">
        <v>2.0228999999999999</v>
      </c>
      <c r="NZ75" s="184">
        <v>0.77070000000000005</v>
      </c>
      <c r="OA75" s="162">
        <f t="shared" si="134"/>
        <v>0.62897916666666664</v>
      </c>
      <c r="OB75" s="53">
        <f t="shared" si="103"/>
        <v>34.929300000000005</v>
      </c>
      <c r="OC75" s="232">
        <f t="shared" ref="OC75:OC81" si="176">NX75-NN75</f>
        <v>1.6199999999999548E-2</v>
      </c>
      <c r="OE75" s="250"/>
      <c r="OF75" s="250">
        <v>65</v>
      </c>
      <c r="OG75" s="251">
        <v>9535</v>
      </c>
      <c r="OH75" s="184">
        <v>15.1036</v>
      </c>
      <c r="OI75" s="184">
        <v>2.0238999999999998</v>
      </c>
      <c r="OJ75" s="184">
        <v>0.77110000000000001</v>
      </c>
      <c r="OK75" s="162">
        <f t="shared" si="135"/>
        <v>0.62931666666666664</v>
      </c>
      <c r="OL75" s="53">
        <f t="shared" si="105"/>
        <v>34.928900000000006</v>
      </c>
      <c r="OM75" s="232">
        <f t="shared" ref="OM75:OM81" si="177">OH75-NX75</f>
        <v>8.1000000000006622E-3</v>
      </c>
      <c r="OP75" s="250">
        <v>65</v>
      </c>
      <c r="OQ75" s="253">
        <v>9535</v>
      </c>
      <c r="OR75" s="184">
        <f>VLOOKUP(OQ75,Sheet4!A17:F93,3,0)</f>
        <v>15.122199999999999</v>
      </c>
      <c r="OS75" s="184">
        <f>VLOOKUP(OQ75,Sheet4!A17:F93,4,0)</f>
        <v>2.0264000000000002</v>
      </c>
      <c r="OT75" s="184">
        <f>VLOOKUP(OQ75,Sheet4!A17:F93,5,0)</f>
        <v>0.77210000000000001</v>
      </c>
      <c r="OU75" s="162">
        <f t="shared" si="106"/>
        <v>0.63009166666666661</v>
      </c>
      <c r="OV75" s="53">
        <f t="shared" si="107"/>
        <v>34.927900000000001</v>
      </c>
      <c r="OW75" s="232">
        <f t="shared" ref="OW75:OW81" si="178">OR75-OH75</f>
        <v>1.8599999999999284E-2</v>
      </c>
    </row>
    <row r="76" spans="1:413" ht="15.75" x14ac:dyDescent="0.25">
      <c r="A76">
        <v>68</v>
      </c>
      <c r="B76" s="1">
        <v>9542</v>
      </c>
      <c r="C76" s="1" t="s">
        <v>1</v>
      </c>
      <c r="D76" s="2">
        <v>36.15</v>
      </c>
      <c r="E76" s="8"/>
      <c r="F76" s="8"/>
      <c r="G76" s="8"/>
      <c r="H76" s="8"/>
      <c r="J76" s="15">
        <v>9542</v>
      </c>
      <c r="K76" s="15">
        <v>13.7171</v>
      </c>
      <c r="L76" s="15">
        <v>1.8381000000000001</v>
      </c>
      <c r="M76" s="15">
        <v>0.70030000000000003</v>
      </c>
      <c r="N76" s="24">
        <f t="shared" ref="N76:N85" si="179">K76/24</f>
        <v>0.57154583333333331</v>
      </c>
      <c r="O76" s="10">
        <f t="shared" si="157"/>
        <v>35.4497</v>
      </c>
      <c r="P76" s="18"/>
      <c r="R76" s="20">
        <v>9542</v>
      </c>
      <c r="S76" s="9">
        <v>13.758800000000001</v>
      </c>
      <c r="T76" s="9">
        <v>1.8436999999999999</v>
      </c>
      <c r="U76" s="9">
        <v>0.70250000000000001</v>
      </c>
      <c r="V76" s="24">
        <f t="shared" ref="V76:V85" si="180">S76/24</f>
        <v>0.57328333333333337</v>
      </c>
      <c r="W76" s="10">
        <f t="shared" si="158"/>
        <v>35.447499999999998</v>
      </c>
      <c r="X76" s="18"/>
      <c r="Z76" s="27">
        <v>9542</v>
      </c>
      <c r="AA76" s="9">
        <v>13.8613</v>
      </c>
      <c r="AB76" s="9">
        <v>1.8574999999999999</v>
      </c>
      <c r="AC76" s="9">
        <v>0.7077</v>
      </c>
      <c r="AD76" s="24">
        <f t="shared" ref="AD76:AD78" si="181">AA76/24</f>
        <v>0.5775541666666667</v>
      </c>
      <c r="AE76" s="10">
        <f t="shared" ref="AE76:AE85" si="182">D76-AC76</f>
        <v>35.442299999999996</v>
      </c>
      <c r="AF76" s="79"/>
      <c r="AG76">
        <v>68</v>
      </c>
      <c r="AH76" s="84">
        <v>6710</v>
      </c>
      <c r="AI76" s="84" t="s">
        <v>1</v>
      </c>
      <c r="AJ76" s="85">
        <v>38</v>
      </c>
      <c r="AL76" s="32">
        <v>6710</v>
      </c>
      <c r="AM76" s="9">
        <v>0.1135</v>
      </c>
      <c r="AN76" s="9">
        <v>1.52E-2</v>
      </c>
      <c r="AO76" s="9">
        <v>5.7999999999999996E-3</v>
      </c>
      <c r="AP76" s="37">
        <f t="shared" si="146"/>
        <v>4.7291666666666671E-3</v>
      </c>
      <c r="AQ76" s="53">
        <f t="shared" si="108"/>
        <v>37.994199999999999</v>
      </c>
      <c r="AT76" s="39"/>
      <c r="AU76" s="38">
        <v>6710</v>
      </c>
      <c r="AV76" s="9">
        <v>0.16059999999999999</v>
      </c>
      <c r="AW76" s="43">
        <v>2.1499999999999998E-2</v>
      </c>
      <c r="AX76" s="43">
        <v>8.2000000000000007E-3</v>
      </c>
      <c r="AY76" s="47">
        <f t="shared" ref="AY76:AY82" si="183">AV76/24</f>
        <v>6.6916666666666661E-3</v>
      </c>
      <c r="AZ76" s="56">
        <f t="shared" si="109"/>
        <v>37.991799999999998</v>
      </c>
      <c r="BD76" s="54">
        <v>6710</v>
      </c>
      <c r="BE76" s="53">
        <v>0.16589999999999999</v>
      </c>
      <c r="BF76" s="58">
        <v>2.2200000000000001E-2</v>
      </c>
      <c r="BG76" s="58">
        <v>8.5000000000000006E-3</v>
      </c>
      <c r="BH76" s="47">
        <f t="shared" ref="BH76:BH82" si="184">BE76/24</f>
        <v>6.9124999999999994E-3</v>
      </c>
      <c r="BI76" s="56">
        <f t="shared" ref="BI76:BI85" si="185">AJ76-BG76</f>
        <v>37.991500000000002</v>
      </c>
      <c r="BJ76" s="88"/>
      <c r="BK76" s="88"/>
      <c r="BL76" s="88"/>
      <c r="BN76" s="9">
        <v>6710</v>
      </c>
      <c r="BO76" s="53">
        <v>0.18579999999999999</v>
      </c>
      <c r="BP76" s="53">
        <v>2.4899999999999999E-2</v>
      </c>
      <c r="BQ76" s="53">
        <v>9.4999999999999998E-3</v>
      </c>
      <c r="BR76" s="53">
        <f t="shared" ref="BR76:BR82" si="186">BO76/24</f>
        <v>7.7416666666666667E-3</v>
      </c>
      <c r="BS76" s="53">
        <f t="shared" ref="BS76:BS82" si="187">AJ76-BQ76</f>
        <v>37.990499999999997</v>
      </c>
      <c r="BV76" s="88"/>
      <c r="BX76" s="93">
        <v>6710</v>
      </c>
      <c r="BY76" s="9">
        <v>0.22500000000000001</v>
      </c>
      <c r="BZ76" s="9">
        <v>3.0200000000000001E-2</v>
      </c>
      <c r="CA76" s="9">
        <v>1.15E-2</v>
      </c>
      <c r="CB76" s="58">
        <f t="shared" ref="CB76:CB81" si="188">BY76/24</f>
        <v>9.3749999999999997E-3</v>
      </c>
      <c r="CC76" s="53">
        <f t="shared" ref="CC76:CC85" si="189">AJ76-CA76</f>
        <v>37.988500000000002</v>
      </c>
      <c r="CF76" s="88"/>
      <c r="CG76">
        <v>66</v>
      </c>
      <c r="CH76" s="93">
        <v>6710</v>
      </c>
      <c r="CI76" s="93">
        <v>0.25869999999999999</v>
      </c>
      <c r="CJ76" s="9">
        <v>3.4700000000000002E-2</v>
      </c>
      <c r="CK76" s="9">
        <v>1.32E-2</v>
      </c>
      <c r="CL76" s="47">
        <f t="shared" si="147"/>
        <v>1.0779166666666666E-2</v>
      </c>
      <c r="CM76" s="53">
        <f t="shared" ref="CM76:CM85" si="190">AJ76-CK76</f>
        <v>37.986800000000002</v>
      </c>
      <c r="CQ76">
        <v>66</v>
      </c>
      <c r="CR76" s="98">
        <v>6710</v>
      </c>
      <c r="CS76" s="101">
        <v>0.30109999999999998</v>
      </c>
      <c r="CT76" s="101">
        <v>4.0300000000000002E-2</v>
      </c>
      <c r="CU76" s="101">
        <v>1.54E-2</v>
      </c>
      <c r="CV76" s="47">
        <f t="shared" si="148"/>
        <v>1.2545833333333332E-2</v>
      </c>
      <c r="CW76" s="53">
        <f t="shared" si="159"/>
        <v>37.9846</v>
      </c>
      <c r="DA76">
        <v>66</v>
      </c>
      <c r="DB76" s="106">
        <v>6710</v>
      </c>
      <c r="DC76" s="107">
        <v>0.30530000000000002</v>
      </c>
      <c r="DD76" s="107">
        <v>4.0899999999999999E-2</v>
      </c>
      <c r="DE76" s="107">
        <v>1.5599999999999999E-2</v>
      </c>
      <c r="DF76" s="47">
        <f t="shared" si="136"/>
        <v>1.2720833333333334E-2</v>
      </c>
      <c r="DG76" s="53">
        <f t="shared" si="111"/>
        <v>37.984400000000001</v>
      </c>
      <c r="DK76">
        <v>66</v>
      </c>
      <c r="DL76" s="110">
        <v>6710</v>
      </c>
      <c r="DM76" s="53">
        <v>0.35360000000000003</v>
      </c>
      <c r="DN76" s="53">
        <v>4.7399999999999998E-2</v>
      </c>
      <c r="DO76" s="53">
        <v>1.8100000000000002E-2</v>
      </c>
      <c r="DP76" s="47">
        <f t="shared" si="137"/>
        <v>1.4733333333333334E-2</v>
      </c>
      <c r="DQ76" s="53">
        <f t="shared" ref="DQ76:DQ85" si="191">AJ76-DO76</f>
        <v>37.981900000000003</v>
      </c>
      <c r="DS76" s="3">
        <f t="shared" ref="DS76:DS81" si="192">DM76-DC76</f>
        <v>4.830000000000001E-2</v>
      </c>
      <c r="DU76">
        <v>66</v>
      </c>
      <c r="DV76" s="115">
        <v>6710</v>
      </c>
      <c r="DW76" s="53">
        <f>Sheet3!B$8</f>
        <v>0.38369999999999999</v>
      </c>
      <c r="DX76" s="53">
        <f>Sheet3!C$8</f>
        <v>5.1400000000000001E-2</v>
      </c>
      <c r="DY76" s="53">
        <f>Sheet3!D$8</f>
        <v>1.9599999999999999E-2</v>
      </c>
      <c r="DZ76" s="47">
        <f t="shared" si="138"/>
        <v>1.5987499999999998E-2</v>
      </c>
      <c r="EA76" s="53">
        <f t="shared" si="112"/>
        <v>37.980400000000003</v>
      </c>
      <c r="EB76" s="3"/>
      <c r="EE76">
        <v>66</v>
      </c>
      <c r="EF76" s="118">
        <v>6710</v>
      </c>
      <c r="EG76" s="9">
        <v>0.43080000000000002</v>
      </c>
      <c r="EH76" s="9">
        <v>5.7700000000000001E-2</v>
      </c>
      <c r="EI76" s="9">
        <v>2.1999999999999999E-2</v>
      </c>
      <c r="EJ76" s="47">
        <f t="shared" si="149"/>
        <v>1.7950000000000001E-2</v>
      </c>
      <c r="EK76" s="53">
        <f t="shared" ref="EK76:EK85" si="193">AJ76-EI76</f>
        <v>37.978000000000002</v>
      </c>
      <c r="EM76" s="3">
        <f t="shared" ref="EM76:EM81" si="194">EK76-EA76</f>
        <v>-2.400000000001512E-3</v>
      </c>
      <c r="EN76" s="3"/>
      <c r="EO76">
        <v>66</v>
      </c>
      <c r="EP76" s="121">
        <v>6710</v>
      </c>
      <c r="EQ76">
        <v>0.52439999999999998</v>
      </c>
      <c r="ER76">
        <v>7.0300000000000001E-2</v>
      </c>
      <c r="ES76">
        <v>2.6800000000000001E-2</v>
      </c>
      <c r="ET76" s="130">
        <f t="shared" si="150"/>
        <v>2.1849999999999998E-2</v>
      </c>
      <c r="EU76" s="131">
        <f t="shared" ref="EU76:EU85" si="195">AJ76-ES76</f>
        <v>37.973199999999999</v>
      </c>
      <c r="EX76" s="3"/>
      <c r="EY76">
        <v>66</v>
      </c>
      <c r="EZ76" s="135">
        <v>6710</v>
      </c>
      <c r="FA76" s="135">
        <v>0.56850000000000001</v>
      </c>
      <c r="FB76" s="135">
        <v>7.6200000000000004E-2</v>
      </c>
      <c r="FC76" s="135">
        <v>2.9000000000000001E-2</v>
      </c>
      <c r="FD76" s="136">
        <f t="shared" si="151"/>
        <v>2.36875E-2</v>
      </c>
      <c r="FE76" s="131">
        <f t="shared" ref="FE76:FE85" si="196">AJ76-FC76</f>
        <v>37.970999999999997</v>
      </c>
      <c r="FG76" s="123">
        <f t="shared" ref="FG76:FG81" si="197">FE76-EU76</f>
        <v>-2.2000000000019782E-3</v>
      </c>
      <c r="FH76" s="3"/>
      <c r="FI76">
        <v>66</v>
      </c>
      <c r="FJ76" s="145">
        <v>6710</v>
      </c>
      <c r="FK76" s="9">
        <v>0.62729999999999997</v>
      </c>
      <c r="FL76" s="9">
        <v>8.4099999999999994E-2</v>
      </c>
      <c r="FM76" s="9">
        <v>3.2000000000000001E-2</v>
      </c>
      <c r="FN76" s="146">
        <f t="shared" si="113"/>
        <v>2.6137499999999998E-2</v>
      </c>
      <c r="FO76" s="131">
        <f t="shared" ref="FO76:FO85" si="198">AJ76-FM76</f>
        <v>37.968000000000004</v>
      </c>
      <c r="FP76" s="123">
        <f t="shared" ref="FP76:FP81" si="199">FO76-FE76</f>
        <v>-2.9999999999930083E-3</v>
      </c>
      <c r="FS76">
        <v>66</v>
      </c>
      <c r="FT76" s="147">
        <v>6710</v>
      </c>
      <c r="FU76" s="148">
        <v>0.63939999999999997</v>
      </c>
      <c r="FV76" s="148">
        <v>8.5699999999999998E-2</v>
      </c>
      <c r="FW76" s="148">
        <v>3.2599999999999997E-2</v>
      </c>
      <c r="FX76" s="150">
        <f t="shared" si="114"/>
        <v>2.6641666666666664E-2</v>
      </c>
      <c r="FY76" s="131">
        <f t="shared" si="115"/>
        <v>37.967399999999998</v>
      </c>
      <c r="FZ76">
        <f t="shared" ref="FZ76:FZ85" si="200">FU76-FK76</f>
        <v>1.21E-2</v>
      </c>
      <c r="GC76">
        <v>66</v>
      </c>
      <c r="GD76" s="151">
        <v>6710</v>
      </c>
      <c r="GE76" s="151">
        <v>0.66930000000000001</v>
      </c>
      <c r="GF76" s="151">
        <v>8.9700000000000002E-2</v>
      </c>
      <c r="GG76" s="151">
        <v>3.4200000000000001E-2</v>
      </c>
      <c r="GH76" s="153">
        <f t="shared" si="132"/>
        <v>2.7887499999999999E-2</v>
      </c>
      <c r="GI76" s="131">
        <f t="shared" ref="GI76:GI85" si="201">$AJ76-GG76</f>
        <v>37.965800000000002</v>
      </c>
      <c r="GJ76">
        <f t="shared" si="160"/>
        <v>2.9900000000000038E-2</v>
      </c>
      <c r="GM76">
        <v>66</v>
      </c>
      <c r="GN76" s="155">
        <v>6710</v>
      </c>
      <c r="GO76" s="155">
        <v>0.73270000000000002</v>
      </c>
      <c r="GP76" s="155">
        <v>9.8199999999999996E-2</v>
      </c>
      <c r="GQ76" s="155">
        <v>3.7400000000000003E-2</v>
      </c>
      <c r="GR76" s="58">
        <f t="shared" ref="GR76:GR81" si="202">GO76/24</f>
        <v>3.0529166666666666E-2</v>
      </c>
      <c r="GS76" s="131">
        <f t="shared" ref="GS76:GS85" si="203">$AJ76-GQ76</f>
        <v>37.962600000000002</v>
      </c>
      <c r="GT76">
        <f t="shared" si="161"/>
        <v>6.3400000000000012E-2</v>
      </c>
      <c r="GW76">
        <v>66</v>
      </c>
      <c r="GX76" s="157">
        <v>6710</v>
      </c>
      <c r="GY76" s="161">
        <f>VLOOKUP(GX76,Sheet3!$AJ$7:$AN$83,2,0)</f>
        <v>0.81320000000000003</v>
      </c>
      <c r="GZ76" s="161">
        <f>VLOOKUP(GX76,Sheet3!$AJ$7:$AN$83,3,0)</f>
        <v>0.109</v>
      </c>
      <c r="HA76" s="161">
        <f>VLOOKUP(GX76,Sheet3!$AJ$7:$AN$83,4,0)</f>
        <v>4.1500000000000002E-2</v>
      </c>
      <c r="HB76" s="162">
        <f t="shared" si="152"/>
        <v>3.3883333333333335E-2</v>
      </c>
      <c r="HC76" s="131">
        <f t="shared" ref="HC76:HC85" si="204">$AJ76-HA76</f>
        <v>37.958500000000001</v>
      </c>
      <c r="HD76" s="159">
        <f t="shared" si="162"/>
        <v>8.0500000000000016E-2</v>
      </c>
      <c r="HE76" s="159">
        <f t="shared" si="163"/>
        <v>4.0999999999999995E-3</v>
      </c>
      <c r="HG76" s="159"/>
      <c r="HH76" s="159">
        <v>66</v>
      </c>
      <c r="HI76" s="158">
        <v>6710</v>
      </c>
      <c r="HJ76" s="161">
        <v>0.84570000000000001</v>
      </c>
      <c r="HK76" s="161">
        <v>0.1133</v>
      </c>
      <c r="HL76" s="161">
        <v>4.3200000000000002E-2</v>
      </c>
      <c r="HM76" s="162">
        <f t="shared" si="153"/>
        <v>3.5237499999999998E-2</v>
      </c>
      <c r="HN76" s="131">
        <f t="shared" ref="HN76:HN85" si="205">$AJ76-HL76</f>
        <v>37.956800000000001</v>
      </c>
      <c r="HO76" s="159">
        <f t="shared" ref="HO76:HO81" si="206">HJ76-GY76</f>
        <v>3.2499999999999973E-2</v>
      </c>
      <c r="HQ76" s="183"/>
      <c r="HR76" s="183">
        <v>66</v>
      </c>
      <c r="HS76" s="178">
        <v>6710</v>
      </c>
      <c r="HT76" s="184">
        <v>0.8669</v>
      </c>
      <c r="HU76" s="184">
        <v>0.1162</v>
      </c>
      <c r="HV76" s="184">
        <v>4.4299999999999999E-2</v>
      </c>
      <c r="HW76" s="171">
        <f t="shared" si="154"/>
        <v>3.6120833333333331E-2</v>
      </c>
      <c r="HX76" s="53">
        <f t="shared" ref="HX76:HX85" si="207">$AJ76-HV76</f>
        <v>37.9557</v>
      </c>
      <c r="HY76" s="183">
        <f t="shared" ref="HY76:HY81" si="208">HT76-HJ76</f>
        <v>2.1199999999999997E-2</v>
      </c>
      <c r="IA76" s="194"/>
      <c r="IB76" s="194">
        <v>66</v>
      </c>
      <c r="IC76" s="193">
        <v>6710</v>
      </c>
      <c r="ID76" s="161">
        <v>0.87609999999999999</v>
      </c>
      <c r="IE76" s="184">
        <v>0.1174</v>
      </c>
      <c r="IF76" s="184">
        <v>4.4699999999999997E-2</v>
      </c>
      <c r="IG76" s="171">
        <f t="shared" ref="IG76:IG81" si="209">ID76/24</f>
        <v>3.6504166666666664E-2</v>
      </c>
      <c r="IH76" s="53">
        <f t="shared" ref="IH76:IH81" si="210">$AJ76-IF76</f>
        <v>37.955300000000001</v>
      </c>
      <c r="II76" s="194">
        <f t="shared" ref="II76:II81" si="211">ID76-HT76</f>
        <v>9.199999999999986E-3</v>
      </c>
      <c r="IL76" s="199">
        <v>66</v>
      </c>
      <c r="IM76" s="197">
        <v>6710</v>
      </c>
      <c r="IN76" s="161">
        <v>0.92430000000000001</v>
      </c>
      <c r="IO76" s="184">
        <v>0.1239</v>
      </c>
      <c r="IP76" s="184">
        <v>4.7199999999999999E-2</v>
      </c>
      <c r="IQ76" s="171">
        <f t="shared" ref="IQ76:IQ81" si="212">IN76/24</f>
        <v>3.8512499999999998E-2</v>
      </c>
      <c r="IR76" s="53">
        <f t="shared" ref="IR76:IR81" si="213">$AJ76-IP76</f>
        <v>37.952800000000003</v>
      </c>
      <c r="IS76" s="199">
        <f t="shared" ref="IS76:IS81" si="214">IN76-ID76</f>
        <v>4.8200000000000021E-2</v>
      </c>
      <c r="IU76" s="202"/>
      <c r="IV76" s="202">
        <v>66</v>
      </c>
      <c r="IW76" s="201">
        <v>6710</v>
      </c>
      <c r="IX76" s="184">
        <v>0.98939999999999995</v>
      </c>
      <c r="IY76" s="184">
        <v>0.1326</v>
      </c>
      <c r="IZ76" s="184">
        <v>5.0500000000000003E-2</v>
      </c>
      <c r="JA76" s="162">
        <f t="shared" si="155"/>
        <v>4.1224999999999998E-2</v>
      </c>
      <c r="JB76" s="53">
        <f t="shared" ref="JB76:JB85" si="215">$AJ76-IZ76</f>
        <v>37.9495</v>
      </c>
      <c r="JC76" s="202">
        <f t="shared" ref="JC76:JC81" si="216">IX76-IN76</f>
        <v>6.5099999999999936E-2</v>
      </c>
      <c r="JE76" s="204"/>
      <c r="JF76" s="204">
        <v>66</v>
      </c>
      <c r="JG76" s="203">
        <v>6710</v>
      </c>
      <c r="JH76" s="161">
        <v>1.0101</v>
      </c>
      <c r="JI76" s="184">
        <v>0.13539999999999999</v>
      </c>
      <c r="JJ76" s="184">
        <v>5.16E-2</v>
      </c>
      <c r="JK76" s="162">
        <f t="shared" ref="JK76:JK85" si="217">JH76/24</f>
        <v>4.20875E-2</v>
      </c>
      <c r="JL76" s="53">
        <f t="shared" ref="JL76:JL85" si="218">$AJ76-JJ76</f>
        <v>37.948399999999999</v>
      </c>
      <c r="JM76" s="204">
        <f t="shared" si="164"/>
        <v>2.0700000000000052E-2</v>
      </c>
      <c r="JN76" s="204"/>
      <c r="JP76" s="209">
        <v>66</v>
      </c>
      <c r="JQ76" s="205">
        <v>6710</v>
      </c>
      <c r="JR76" s="161">
        <v>1.0266999999999999</v>
      </c>
      <c r="JS76" s="184">
        <v>0.1376</v>
      </c>
      <c r="JT76" s="184">
        <v>5.2400000000000002E-2</v>
      </c>
      <c r="JU76" s="162">
        <f t="shared" ref="JU76:JU81" si="219">JR76/24</f>
        <v>4.2779166666666667E-2</v>
      </c>
      <c r="JV76" s="53">
        <f t="shared" ref="JV76:JV85" si="220">$AJ76-JT76</f>
        <v>37.947600000000001</v>
      </c>
      <c r="JW76" s="209">
        <f t="shared" si="165"/>
        <v>1.6599999999999948E-2</v>
      </c>
      <c r="JX76" s="213"/>
      <c r="JY76" s="213"/>
      <c r="JZ76" s="213">
        <v>66</v>
      </c>
      <c r="KA76" s="206">
        <v>6710</v>
      </c>
      <c r="KB76" s="184">
        <v>1.0657000000000001</v>
      </c>
      <c r="KC76" s="184">
        <v>0.14280000000000001</v>
      </c>
      <c r="KD76" s="184">
        <v>5.4399999999999997E-2</v>
      </c>
      <c r="KE76" s="162">
        <f t="shared" ref="KE76:KE81" si="221">KB76/24</f>
        <v>4.4404166666666668E-2</v>
      </c>
      <c r="KF76" s="53">
        <f t="shared" ref="KF76:KF85" si="222">$AJ76-KD76</f>
        <v>37.945599999999999</v>
      </c>
      <c r="KG76" s="213">
        <f t="shared" si="166"/>
        <v>3.9000000000000146E-2</v>
      </c>
      <c r="KI76" s="219"/>
      <c r="KJ76" s="219">
        <v>66</v>
      </c>
      <c r="KK76" s="214">
        <v>6710</v>
      </c>
      <c r="KL76" s="161">
        <v>1.0787</v>
      </c>
      <c r="KM76" s="161">
        <v>0.14449999999999999</v>
      </c>
      <c r="KN76" s="161">
        <v>5.5100000000000003E-2</v>
      </c>
      <c r="KO76" s="162">
        <f t="shared" si="156"/>
        <v>4.4945833333333331E-2</v>
      </c>
      <c r="KP76" s="53">
        <f t="shared" ref="KP76:KP85" si="223">$AJ76-KN76</f>
        <v>37.944899999999997</v>
      </c>
      <c r="KQ76" s="219">
        <f t="shared" si="167"/>
        <v>1.2999999999999901E-2</v>
      </c>
      <c r="KT76" s="223">
        <v>66</v>
      </c>
      <c r="KU76" s="216">
        <v>6710</v>
      </c>
      <c r="KV76" s="161">
        <v>1.0924</v>
      </c>
      <c r="KW76" s="161">
        <v>0.1464</v>
      </c>
      <c r="KX76" s="161">
        <v>5.5800000000000002E-2</v>
      </c>
      <c r="KY76" s="162">
        <f t="shared" ref="KY76:KY85" si="224">KV76/24</f>
        <v>4.5516666666666671E-2</v>
      </c>
      <c r="KZ76" s="53">
        <f t="shared" ref="KZ76:KZ85" si="225">$AJ76-KX76</f>
        <v>37.944200000000002</v>
      </c>
      <c r="LA76" s="223">
        <f t="shared" si="168"/>
        <v>1.3700000000000045E-2</v>
      </c>
      <c r="LD76" s="228">
        <v>66</v>
      </c>
      <c r="LE76" s="221">
        <v>6710</v>
      </c>
      <c r="LF76" s="161">
        <v>1.1039000000000001</v>
      </c>
      <c r="LG76" s="161">
        <v>0.1479</v>
      </c>
      <c r="LH76" s="161">
        <v>5.6399999999999999E-2</v>
      </c>
      <c r="LI76" s="162">
        <f t="shared" ref="LI76:LI85" si="226">LF76/24</f>
        <v>4.599583333333334E-2</v>
      </c>
      <c r="LJ76" s="53">
        <f t="shared" ref="LJ76:LJ85" si="227">$AJ76-LH76</f>
        <v>37.943600000000004</v>
      </c>
      <c r="LK76" s="228">
        <f t="shared" si="169"/>
        <v>1.1500000000000066E-2</v>
      </c>
      <c r="LL76" s="231"/>
      <c r="LM76" s="231"/>
      <c r="LN76" s="231">
        <v>66</v>
      </c>
      <c r="LO76" s="226">
        <v>6710</v>
      </c>
      <c r="LP76" s="184">
        <v>1.1200000000000001</v>
      </c>
      <c r="LQ76" s="184">
        <v>0.15010000000000001</v>
      </c>
      <c r="LR76" s="184">
        <v>5.7200000000000001E-2</v>
      </c>
      <c r="LS76" s="162">
        <f t="shared" ref="LS76:LS85" si="228">LP76/24</f>
        <v>4.6666666666666669E-2</v>
      </c>
      <c r="LT76" s="53">
        <f t="shared" ref="LT76:LT85" si="229">$AJ76-LR76</f>
        <v>37.942799999999998</v>
      </c>
      <c r="LU76" s="231">
        <f t="shared" si="170"/>
        <v>1.6100000000000003E-2</v>
      </c>
      <c r="LW76" s="231"/>
      <c r="LX76" s="231">
        <v>66</v>
      </c>
      <c r="LY76" s="234">
        <v>6710</v>
      </c>
      <c r="LZ76" s="184">
        <v>1.1380999999999999</v>
      </c>
      <c r="MA76" s="184">
        <v>0.1525</v>
      </c>
      <c r="MB76" s="184">
        <v>5.8099999999999999E-2</v>
      </c>
      <c r="MC76" s="162">
        <f t="shared" ref="MC76:MC85" si="230">LZ76/24</f>
        <v>4.7420833333333329E-2</v>
      </c>
      <c r="MD76" s="53">
        <f t="shared" ref="MD76:MD85" si="231">$AJ76-MB76</f>
        <v>37.941899999999997</v>
      </c>
      <c r="ME76" s="231">
        <f t="shared" si="171"/>
        <v>1.8099999999999783E-2</v>
      </c>
      <c r="MF76" s="231"/>
      <c r="MG76" s="231"/>
      <c r="MH76" s="231">
        <v>66</v>
      </c>
      <c r="MI76" s="236">
        <v>6710</v>
      </c>
      <c r="MJ76" s="184">
        <v>1.1558999999999999</v>
      </c>
      <c r="MK76" s="184">
        <v>0.15490000000000001</v>
      </c>
      <c r="ML76" s="184">
        <v>5.8999999999999997E-2</v>
      </c>
      <c r="MM76" s="162">
        <f t="shared" ref="MM76:MM85" si="232">MJ76/24</f>
        <v>4.8162499999999997E-2</v>
      </c>
      <c r="MN76" s="53">
        <f t="shared" ref="MN76:MN85" si="233">$AJ76-ML76</f>
        <v>37.941000000000003</v>
      </c>
      <c r="MO76" s="231">
        <f t="shared" si="172"/>
        <v>1.7800000000000038E-2</v>
      </c>
      <c r="MP76" s="231"/>
      <c r="MQ76" s="231"/>
      <c r="MR76" s="231">
        <v>66</v>
      </c>
      <c r="MS76" s="238">
        <v>6710</v>
      </c>
      <c r="MT76" s="184">
        <v>1.1899</v>
      </c>
      <c r="MU76" s="184">
        <v>0.1595</v>
      </c>
      <c r="MV76" s="184">
        <v>6.08E-2</v>
      </c>
      <c r="MW76" s="162">
        <f t="shared" ref="MW76:MW85" si="234">MT76/24</f>
        <v>4.9579166666666667E-2</v>
      </c>
      <c r="MX76" s="53">
        <f t="shared" ref="MX76:MX85" si="235">$AJ76-MV76</f>
        <v>37.9392</v>
      </c>
      <c r="MY76" s="231">
        <f t="shared" si="173"/>
        <v>3.400000000000003E-2</v>
      </c>
      <c r="MZ76" s="246"/>
      <c r="NA76" s="246"/>
      <c r="NB76" s="246">
        <v>66</v>
      </c>
      <c r="NC76" s="242">
        <v>6710</v>
      </c>
      <c r="ND76" s="184">
        <v>1.2245999999999999</v>
      </c>
      <c r="NE76" s="184">
        <v>0.1641</v>
      </c>
      <c r="NF76" s="184">
        <v>6.25E-2</v>
      </c>
      <c r="NG76" s="162">
        <f t="shared" ref="NG76:NG83" si="236">ND76/24</f>
        <v>5.1024999999999994E-2</v>
      </c>
      <c r="NH76" s="53">
        <f t="shared" ref="NH76:NH85" si="237">$AJ76-NF76</f>
        <v>37.9375</v>
      </c>
      <c r="NI76" s="232">
        <f t="shared" si="174"/>
        <v>3.4699999999999953E-2</v>
      </c>
      <c r="NK76" s="250"/>
      <c r="NL76" s="250">
        <v>66</v>
      </c>
      <c r="NM76" s="244">
        <v>6710</v>
      </c>
      <c r="NN76" s="184">
        <v>1.2347999999999999</v>
      </c>
      <c r="NO76" s="184">
        <v>0.16550000000000001</v>
      </c>
      <c r="NP76" s="184">
        <v>6.3E-2</v>
      </c>
      <c r="NQ76" s="162">
        <f t="shared" si="133"/>
        <v>5.1449999999999996E-2</v>
      </c>
      <c r="NR76" s="53">
        <f t="shared" ref="NR76:NR81" si="238">$AJ76-NP76</f>
        <v>37.936999999999998</v>
      </c>
      <c r="NS76" s="232">
        <f t="shared" si="175"/>
        <v>1.0199999999999987E-2</v>
      </c>
      <c r="NU76" s="250"/>
      <c r="NV76" s="250">
        <v>66</v>
      </c>
      <c r="NW76" s="248">
        <v>6710</v>
      </c>
      <c r="NX76" s="184">
        <v>1.2509999999999999</v>
      </c>
      <c r="NY76" s="184">
        <v>0.1676</v>
      </c>
      <c r="NZ76" s="184">
        <v>6.3899999999999998E-2</v>
      </c>
      <c r="OA76" s="162">
        <f t="shared" si="134"/>
        <v>5.2124999999999998E-2</v>
      </c>
      <c r="OB76" s="53">
        <f t="shared" ref="OB76:OB81" si="239">$AJ76-NZ76</f>
        <v>37.936100000000003</v>
      </c>
      <c r="OC76" s="232">
        <f t="shared" si="176"/>
        <v>1.6199999999999992E-2</v>
      </c>
      <c r="OE76" s="250"/>
      <c r="OF76" s="250">
        <v>66</v>
      </c>
      <c r="OG76" s="251">
        <v>6710</v>
      </c>
      <c r="OH76" s="184">
        <v>1.2591000000000001</v>
      </c>
      <c r="OI76" s="184">
        <v>0.16869999999999999</v>
      </c>
      <c r="OJ76" s="184">
        <v>6.4299999999999996E-2</v>
      </c>
      <c r="OK76" s="162">
        <f t="shared" si="135"/>
        <v>5.2462500000000002E-2</v>
      </c>
      <c r="OL76" s="53">
        <f t="shared" ref="OL76:OL81" si="240">$AJ76-OJ76</f>
        <v>37.935699999999997</v>
      </c>
      <c r="OM76" s="232">
        <f t="shared" si="177"/>
        <v>8.1000000000002181E-3</v>
      </c>
      <c r="OP76" s="250">
        <v>66</v>
      </c>
      <c r="OQ76" s="253">
        <v>6710</v>
      </c>
      <c r="OR76" s="184">
        <f>VLOOKUP(OQ76,Sheet4!A9:F85,3,0)</f>
        <v>1.2777000000000001</v>
      </c>
      <c r="OS76" s="184">
        <f>VLOOKUP(OQ76,Sheet4!A9:F85,4,0)</f>
        <v>0.17119999999999999</v>
      </c>
      <c r="OT76" s="184">
        <f>VLOOKUP(OQ76,Sheet4!A9:F85,5,0)</f>
        <v>6.5199999999999994E-2</v>
      </c>
      <c r="OU76" s="162">
        <f t="shared" ref="OU76:OU81" si="241">OR76/24</f>
        <v>5.32375E-2</v>
      </c>
      <c r="OV76" s="53">
        <f t="shared" ref="OV76:OV81" si="242">$AJ76-OT76</f>
        <v>37.934800000000003</v>
      </c>
      <c r="OW76" s="232">
        <f t="shared" si="178"/>
        <v>1.859999999999995E-2</v>
      </c>
    </row>
    <row r="77" spans="1:413" s="64" customFormat="1" ht="15.75" x14ac:dyDescent="0.25">
      <c r="A77" s="64">
        <v>69</v>
      </c>
      <c r="B77" s="65">
        <v>9541</v>
      </c>
      <c r="C77" s="65" t="s">
        <v>1</v>
      </c>
      <c r="D77" s="66">
        <v>36.1</v>
      </c>
      <c r="E77" s="67"/>
      <c r="F77" s="67"/>
      <c r="G77" s="67"/>
      <c r="H77" s="67"/>
      <c r="J77" s="68">
        <v>9541</v>
      </c>
      <c r="K77" s="68">
        <v>13.7485</v>
      </c>
      <c r="L77" s="68">
        <v>1.8424</v>
      </c>
      <c r="M77" s="68">
        <v>0.70189999999999997</v>
      </c>
      <c r="N77" s="24">
        <f t="shared" si="179"/>
        <v>0.57285416666666666</v>
      </c>
      <c r="O77" s="69">
        <f t="shared" si="157"/>
        <v>35.398099999999999</v>
      </c>
      <c r="P77" s="70"/>
      <c r="R77" s="68">
        <v>9541</v>
      </c>
      <c r="S77" s="71">
        <v>13.7902</v>
      </c>
      <c r="T77" s="71">
        <v>1.8479000000000001</v>
      </c>
      <c r="U77" s="71">
        <v>0.70409999999999995</v>
      </c>
      <c r="V77" s="24">
        <f t="shared" si="180"/>
        <v>0.57459166666666672</v>
      </c>
      <c r="W77" s="69">
        <f t="shared" si="158"/>
        <v>35.395900000000005</v>
      </c>
      <c r="X77" s="70"/>
      <c r="Z77" s="75">
        <v>9541</v>
      </c>
      <c r="AA77" s="76">
        <v>13.8927</v>
      </c>
      <c r="AB77" s="76">
        <v>1.8616999999999999</v>
      </c>
      <c r="AC77" s="76">
        <v>0.70930000000000004</v>
      </c>
      <c r="AD77" s="62">
        <f t="shared" si="181"/>
        <v>0.57886249999999995</v>
      </c>
      <c r="AE77" s="77">
        <f>D77-AC77</f>
        <v>35.390700000000002</v>
      </c>
      <c r="AF77" s="80"/>
      <c r="AG77" s="64">
        <v>69</v>
      </c>
      <c r="AH77" s="1">
        <v>9542</v>
      </c>
      <c r="AI77" s="1" t="s">
        <v>1</v>
      </c>
      <c r="AJ77" s="2">
        <v>36.15</v>
      </c>
      <c r="AL77" s="68">
        <v>9542</v>
      </c>
      <c r="AM77" s="71">
        <v>13.972200000000001</v>
      </c>
      <c r="AN77" s="71">
        <v>1.8723000000000001</v>
      </c>
      <c r="AO77" s="71">
        <v>0.71340000000000003</v>
      </c>
      <c r="AP77" s="24">
        <f t="shared" si="146"/>
        <v>0.582175</v>
      </c>
      <c r="AQ77" s="53">
        <f t="shared" ref="AQ77:AQ85" si="243">AJ77-AO77</f>
        <v>35.436599999999999</v>
      </c>
      <c r="AT77" s="73"/>
      <c r="AU77" s="68">
        <v>9542</v>
      </c>
      <c r="AV77" s="71">
        <v>14.019299999999999</v>
      </c>
      <c r="AW77" s="68">
        <v>1.8786</v>
      </c>
      <c r="AX77" s="68">
        <v>0.71579999999999999</v>
      </c>
      <c r="AY77" s="74">
        <f t="shared" si="183"/>
        <v>0.58413749999999998</v>
      </c>
      <c r="AZ77" s="56">
        <f t="shared" ref="AZ77:AZ85" si="244">AJ77-AX77</f>
        <v>35.434199999999997</v>
      </c>
      <c r="BD77" s="68">
        <v>9542</v>
      </c>
      <c r="BE77" s="72">
        <v>14.0246</v>
      </c>
      <c r="BF77" s="24">
        <v>1.8794</v>
      </c>
      <c r="BG77" s="24">
        <v>0.71599999999999997</v>
      </c>
      <c r="BH77" s="74">
        <f t="shared" si="184"/>
        <v>0.58435833333333331</v>
      </c>
      <c r="BI77" s="56">
        <f t="shared" si="185"/>
        <v>35.433999999999997</v>
      </c>
      <c r="BJ77" s="88"/>
      <c r="BK77" s="88"/>
      <c r="BL77" s="88"/>
      <c r="BN77" s="9">
        <v>9542</v>
      </c>
      <c r="BO77" s="53">
        <v>14.044499999999999</v>
      </c>
      <c r="BP77" s="53">
        <v>1.8819999999999999</v>
      </c>
      <c r="BQ77" s="53">
        <v>0.71699999999999997</v>
      </c>
      <c r="BR77" s="53">
        <f t="shared" si="186"/>
        <v>0.58518749999999997</v>
      </c>
      <c r="BS77" s="53">
        <f t="shared" si="187"/>
        <v>35.433</v>
      </c>
      <c r="BV77" s="88"/>
      <c r="BX77" s="93">
        <v>9542</v>
      </c>
      <c r="BY77" s="9">
        <v>14.0837</v>
      </c>
      <c r="BZ77" s="9">
        <v>1.8873</v>
      </c>
      <c r="CA77" s="9">
        <v>0.71909999999999996</v>
      </c>
      <c r="CB77" s="58">
        <f t="shared" si="188"/>
        <v>0.58682083333333335</v>
      </c>
      <c r="CC77" s="53">
        <f t="shared" si="189"/>
        <v>35.430900000000001</v>
      </c>
      <c r="CF77" s="88"/>
      <c r="CG77">
        <v>67</v>
      </c>
      <c r="CH77" s="93">
        <v>9542</v>
      </c>
      <c r="CI77" s="93">
        <v>14.1174</v>
      </c>
      <c r="CJ77" s="9">
        <v>1.8917999999999999</v>
      </c>
      <c r="CK77" s="9">
        <v>0.7208</v>
      </c>
      <c r="CL77" s="47">
        <f t="shared" si="147"/>
        <v>0.588225</v>
      </c>
      <c r="CM77" s="53">
        <f t="shared" si="190"/>
        <v>35.429200000000002</v>
      </c>
      <c r="CP77"/>
      <c r="CQ77">
        <v>67</v>
      </c>
      <c r="CR77" s="98">
        <v>9542</v>
      </c>
      <c r="CS77" s="101">
        <v>14.159800000000001</v>
      </c>
      <c r="CT77" s="101">
        <v>1.8975</v>
      </c>
      <c r="CU77" s="101">
        <v>0.72289999999999999</v>
      </c>
      <c r="CV77" s="47">
        <f t="shared" si="148"/>
        <v>0.58999166666666669</v>
      </c>
      <c r="CW77" s="53">
        <f t="shared" si="159"/>
        <v>35.427099999999996</v>
      </c>
      <c r="CY77"/>
      <c r="CZ77"/>
      <c r="DA77">
        <v>67</v>
      </c>
      <c r="DB77" s="106">
        <v>9542</v>
      </c>
      <c r="DC77" s="107">
        <v>14.164</v>
      </c>
      <c r="DD77" s="107">
        <v>1.8979999999999999</v>
      </c>
      <c r="DE77" s="107">
        <v>0.72309999999999997</v>
      </c>
      <c r="DF77" s="47">
        <f t="shared" si="136"/>
        <v>0.59016666666666662</v>
      </c>
      <c r="DG77" s="53">
        <f t="shared" ref="DG77:DG85" si="245">AJ77-DE77</f>
        <v>35.426899999999996</v>
      </c>
      <c r="DI77"/>
      <c r="DJ77"/>
      <c r="DK77">
        <v>67</v>
      </c>
      <c r="DL77" s="110">
        <v>9542</v>
      </c>
      <c r="DM77" s="53">
        <v>14.212300000000001</v>
      </c>
      <c r="DN77" s="53">
        <v>1.9045000000000001</v>
      </c>
      <c r="DO77" s="53">
        <v>0.72560000000000002</v>
      </c>
      <c r="DP77" s="47">
        <f t="shared" si="137"/>
        <v>0.5921791666666667</v>
      </c>
      <c r="DQ77" s="53">
        <f t="shared" si="191"/>
        <v>35.424399999999999</v>
      </c>
      <c r="DS77" s="3">
        <f t="shared" si="192"/>
        <v>4.830000000000112E-2</v>
      </c>
      <c r="DT77"/>
      <c r="DU77">
        <v>67</v>
      </c>
      <c r="DV77" s="115">
        <v>9542</v>
      </c>
      <c r="DW77" s="53">
        <f>Sheet3!B$24</f>
        <v>14.2424</v>
      </c>
      <c r="DX77" s="53">
        <f>Sheet3!C$24</f>
        <v>1.9085000000000001</v>
      </c>
      <c r="DY77" s="53">
        <f>Sheet3!D$24</f>
        <v>0.72719999999999996</v>
      </c>
      <c r="DZ77" s="47">
        <f t="shared" si="138"/>
        <v>0.59343333333333337</v>
      </c>
      <c r="EA77" s="53">
        <f t="shared" ref="EA77:EA85" si="246">AJ77-DY77</f>
        <v>35.422799999999995</v>
      </c>
      <c r="EB77" s="3"/>
      <c r="EC77"/>
      <c r="ED77"/>
      <c r="EE77">
        <v>67</v>
      </c>
      <c r="EF77" s="118">
        <v>9542</v>
      </c>
      <c r="EG77" s="9">
        <v>14.2895</v>
      </c>
      <c r="EH77" s="9">
        <v>1.9148000000000001</v>
      </c>
      <c r="EI77" s="9">
        <v>0.72960000000000003</v>
      </c>
      <c r="EJ77" s="47">
        <f t="shared" si="149"/>
        <v>0.59539583333333335</v>
      </c>
      <c r="EK77" s="53">
        <f t="shared" si="193"/>
        <v>35.420400000000001</v>
      </c>
      <c r="EM77" s="3">
        <f t="shared" si="194"/>
        <v>-2.3999999999944066E-3</v>
      </c>
      <c r="EN77" s="3"/>
      <c r="EO77">
        <v>67</v>
      </c>
      <c r="EP77" s="121">
        <v>9542</v>
      </c>
      <c r="EQ77" s="122">
        <v>14.383100000000001</v>
      </c>
      <c r="ER77" s="122">
        <v>1.9274</v>
      </c>
      <c r="ES77" s="129">
        <v>0.73429999999999995</v>
      </c>
      <c r="ET77" s="130">
        <f t="shared" si="150"/>
        <v>0.59929583333333336</v>
      </c>
      <c r="EU77" s="131">
        <f t="shared" si="195"/>
        <v>35.415700000000001</v>
      </c>
      <c r="EX77" s="3"/>
      <c r="EY77">
        <v>67</v>
      </c>
      <c r="EZ77" s="135">
        <v>9542</v>
      </c>
      <c r="FA77" s="135">
        <v>14.427199999999999</v>
      </c>
      <c r="FB77" s="135">
        <v>1.9333</v>
      </c>
      <c r="FC77" s="135">
        <v>0.73660000000000003</v>
      </c>
      <c r="FD77" s="136">
        <f t="shared" si="151"/>
        <v>0.6011333333333333</v>
      </c>
      <c r="FE77" s="131">
        <f t="shared" si="196"/>
        <v>35.413399999999996</v>
      </c>
      <c r="FG77" s="123">
        <f t="shared" si="197"/>
        <v>-2.3000000000052978E-3</v>
      </c>
      <c r="FH77" s="3"/>
      <c r="FI77">
        <v>67</v>
      </c>
      <c r="FJ77" s="145">
        <v>9542</v>
      </c>
      <c r="FK77" s="9">
        <v>14.486000000000001</v>
      </c>
      <c r="FL77" s="9">
        <v>1.9412</v>
      </c>
      <c r="FM77" s="9">
        <v>0.73960000000000004</v>
      </c>
      <c r="FN77" s="146">
        <f t="shared" ref="FN77:FN85" si="247">FK77/24</f>
        <v>0.60358333333333336</v>
      </c>
      <c r="FO77" s="131">
        <f t="shared" si="198"/>
        <v>35.410399999999996</v>
      </c>
      <c r="FP77" s="123">
        <f t="shared" si="199"/>
        <v>-3.0000000000001137E-3</v>
      </c>
      <c r="FS77">
        <v>67</v>
      </c>
      <c r="FT77" s="147">
        <v>9542</v>
      </c>
      <c r="FU77" s="148">
        <v>14.498100000000001</v>
      </c>
      <c r="FV77" s="148">
        <v>1.9428000000000001</v>
      </c>
      <c r="FW77" s="148">
        <v>0.74019999999999997</v>
      </c>
      <c r="FX77" s="150">
        <f t="shared" ref="FX77:FX85" si="248">FU77/24</f>
        <v>0.6040875</v>
      </c>
      <c r="FY77" s="131">
        <f t="shared" ref="FY77:FY85" si="249">AJ77-FW77</f>
        <v>35.409799999999997</v>
      </c>
      <c r="FZ77">
        <f t="shared" si="200"/>
        <v>1.2100000000000222E-2</v>
      </c>
      <c r="GA77"/>
      <c r="GB77"/>
      <c r="GC77">
        <v>67</v>
      </c>
      <c r="GD77" s="151">
        <v>9542</v>
      </c>
      <c r="GE77" s="151">
        <v>14.528</v>
      </c>
      <c r="GF77" s="151">
        <v>1.9468000000000001</v>
      </c>
      <c r="GG77" s="151">
        <v>0.74170000000000003</v>
      </c>
      <c r="GH77" s="153">
        <f t="shared" ref="GH77:GH85" si="250">GE77/24</f>
        <v>0.60533333333333339</v>
      </c>
      <c r="GI77" s="131">
        <f t="shared" si="201"/>
        <v>35.408299999999997</v>
      </c>
      <c r="GJ77">
        <f t="shared" si="160"/>
        <v>2.9899999999999594E-2</v>
      </c>
      <c r="GM77">
        <v>67</v>
      </c>
      <c r="GN77" s="155">
        <v>9542</v>
      </c>
      <c r="GO77" s="155">
        <v>14.5914</v>
      </c>
      <c r="GP77" s="155">
        <v>1.9553</v>
      </c>
      <c r="GQ77" s="155">
        <v>0.745</v>
      </c>
      <c r="GR77" s="58">
        <f t="shared" si="202"/>
        <v>0.60797500000000004</v>
      </c>
      <c r="GS77" s="131">
        <f t="shared" si="203"/>
        <v>35.405000000000001</v>
      </c>
      <c r="GT77">
        <f t="shared" si="161"/>
        <v>6.3399999999999679E-2</v>
      </c>
      <c r="GU77"/>
      <c r="GV77"/>
      <c r="GW77">
        <v>67</v>
      </c>
      <c r="GX77" s="157">
        <v>9542</v>
      </c>
      <c r="GY77" s="161">
        <f>VLOOKUP(GX77,Sheet3!$AJ$7:$AN$83,2,0)</f>
        <v>14.671900000000001</v>
      </c>
      <c r="GZ77" s="161">
        <f>VLOOKUP(GX77,Sheet3!$AJ$7:$AN$83,3,0)</f>
        <v>1.9661</v>
      </c>
      <c r="HA77" s="161">
        <f>VLOOKUP(GX77,Sheet3!$AJ$7:$AN$83,4,0)</f>
        <v>0.74909999999999999</v>
      </c>
      <c r="HB77" s="162">
        <f t="shared" si="152"/>
        <v>0.6113291666666667</v>
      </c>
      <c r="HC77" s="131">
        <f t="shared" si="204"/>
        <v>35.4009</v>
      </c>
      <c r="HD77" s="159">
        <f t="shared" si="162"/>
        <v>8.0500000000000682E-2</v>
      </c>
      <c r="HE77" s="159">
        <f t="shared" si="163"/>
        <v>4.0999999999999925E-3</v>
      </c>
      <c r="HH77" s="159">
        <v>67</v>
      </c>
      <c r="HI77" s="158">
        <v>9542</v>
      </c>
      <c r="HJ77" s="161">
        <v>14.7044</v>
      </c>
      <c r="HK77" s="161">
        <v>1.9703999999999999</v>
      </c>
      <c r="HL77" s="161">
        <v>0.75070000000000003</v>
      </c>
      <c r="HM77" s="162">
        <f t="shared" si="153"/>
        <v>0.61268333333333336</v>
      </c>
      <c r="HN77" s="131">
        <f t="shared" si="205"/>
        <v>35.399299999999997</v>
      </c>
      <c r="HO77" s="159">
        <f t="shared" si="206"/>
        <v>3.2499999999998863E-2</v>
      </c>
      <c r="HR77" s="183">
        <v>67</v>
      </c>
      <c r="HS77" s="178">
        <v>9542</v>
      </c>
      <c r="HT77" s="184">
        <v>14.7256</v>
      </c>
      <c r="HU77" s="184">
        <v>1.9733000000000001</v>
      </c>
      <c r="HV77" s="184">
        <v>0.75180000000000002</v>
      </c>
      <c r="HW77" s="171">
        <f t="shared" si="154"/>
        <v>0.6135666666666667</v>
      </c>
      <c r="HX77" s="53">
        <f t="shared" si="207"/>
        <v>35.398199999999996</v>
      </c>
      <c r="HY77" s="183">
        <f t="shared" si="208"/>
        <v>2.120000000000033E-2</v>
      </c>
      <c r="IB77" s="194">
        <v>67</v>
      </c>
      <c r="IC77" s="193">
        <v>9542</v>
      </c>
      <c r="ID77" s="161">
        <v>14.7348</v>
      </c>
      <c r="IE77" s="184">
        <v>1.9744999999999999</v>
      </c>
      <c r="IF77" s="184">
        <v>0.75229999999999997</v>
      </c>
      <c r="IG77" s="171">
        <f t="shared" si="209"/>
        <v>0.61395</v>
      </c>
      <c r="IH77" s="53">
        <f t="shared" si="210"/>
        <v>35.3977</v>
      </c>
      <c r="II77" s="194">
        <f t="shared" si="211"/>
        <v>9.1999999999998749E-3</v>
      </c>
      <c r="IL77" s="199">
        <v>67</v>
      </c>
      <c r="IM77" s="197">
        <v>9542</v>
      </c>
      <c r="IN77" s="161">
        <v>14.782999999999999</v>
      </c>
      <c r="IO77" s="184">
        <v>1.9810000000000001</v>
      </c>
      <c r="IP77" s="184">
        <v>0.75480000000000003</v>
      </c>
      <c r="IQ77" s="171">
        <f t="shared" si="212"/>
        <v>0.61595833333333327</v>
      </c>
      <c r="IR77" s="53">
        <f t="shared" si="213"/>
        <v>35.395199999999996</v>
      </c>
      <c r="IS77" s="199">
        <f t="shared" si="214"/>
        <v>4.8199999999999577E-2</v>
      </c>
      <c r="IV77" s="202">
        <v>67</v>
      </c>
      <c r="IW77" s="201">
        <v>9542</v>
      </c>
      <c r="IX77" s="184">
        <v>14.848100000000001</v>
      </c>
      <c r="IY77" s="184">
        <v>1.9897</v>
      </c>
      <c r="IZ77" s="184">
        <v>0.7581</v>
      </c>
      <c r="JA77" s="162">
        <f t="shared" si="155"/>
        <v>0.61867083333333339</v>
      </c>
      <c r="JB77" s="53">
        <f t="shared" si="215"/>
        <v>35.3919</v>
      </c>
      <c r="JC77" s="202">
        <f t="shared" si="216"/>
        <v>6.5100000000001046E-2</v>
      </c>
      <c r="JF77" s="204">
        <v>67</v>
      </c>
      <c r="JG77" s="203">
        <v>9542</v>
      </c>
      <c r="JH77" s="161">
        <v>14.8688</v>
      </c>
      <c r="JI77" s="184">
        <v>1.9924999999999999</v>
      </c>
      <c r="JJ77" s="184">
        <v>0.7591</v>
      </c>
      <c r="JK77" s="162">
        <f t="shared" si="217"/>
        <v>0.61953333333333338</v>
      </c>
      <c r="JL77" s="53">
        <f t="shared" si="218"/>
        <v>35.390900000000002</v>
      </c>
      <c r="JM77" s="204">
        <f t="shared" si="164"/>
        <v>2.0699999999999719E-2</v>
      </c>
      <c r="JP77" s="209">
        <v>67</v>
      </c>
      <c r="JQ77" s="205">
        <v>9542</v>
      </c>
      <c r="JR77" s="161">
        <v>14.885400000000001</v>
      </c>
      <c r="JS77" s="184">
        <v>1.9946999999999999</v>
      </c>
      <c r="JT77" s="184">
        <v>0.76</v>
      </c>
      <c r="JU77" s="162">
        <f t="shared" si="219"/>
        <v>0.62022500000000003</v>
      </c>
      <c r="JV77" s="53">
        <f t="shared" si="220"/>
        <v>35.39</v>
      </c>
      <c r="JW77" s="209">
        <f t="shared" si="165"/>
        <v>1.6600000000000392E-2</v>
      </c>
      <c r="JZ77" s="213">
        <v>67</v>
      </c>
      <c r="KA77" s="206">
        <v>9542</v>
      </c>
      <c r="KB77" s="184">
        <v>14.9244</v>
      </c>
      <c r="KC77" s="184">
        <v>1.9999</v>
      </c>
      <c r="KD77" s="184">
        <v>0.76200000000000001</v>
      </c>
      <c r="KE77" s="162">
        <f t="shared" si="221"/>
        <v>0.62185000000000001</v>
      </c>
      <c r="KF77" s="53">
        <f t="shared" si="222"/>
        <v>35.387999999999998</v>
      </c>
      <c r="KG77" s="213">
        <f t="shared" si="166"/>
        <v>3.8999999999999702E-2</v>
      </c>
      <c r="KJ77" s="219">
        <v>67</v>
      </c>
      <c r="KK77" s="214">
        <v>9542</v>
      </c>
      <c r="KL77" s="161">
        <v>14.9374</v>
      </c>
      <c r="KM77" s="161">
        <v>2.0017</v>
      </c>
      <c r="KN77" s="161">
        <v>0.76259999999999994</v>
      </c>
      <c r="KO77" s="162">
        <f t="shared" si="156"/>
        <v>0.62239166666666668</v>
      </c>
      <c r="KP77" s="53">
        <f t="shared" si="223"/>
        <v>35.3874</v>
      </c>
      <c r="KQ77" s="219">
        <f t="shared" si="167"/>
        <v>1.2999999999999901E-2</v>
      </c>
      <c r="KT77" s="223">
        <v>67</v>
      </c>
      <c r="KU77" s="216">
        <v>9542</v>
      </c>
      <c r="KV77" s="161">
        <v>14.9511</v>
      </c>
      <c r="KW77" s="161">
        <v>2.0034999999999998</v>
      </c>
      <c r="KX77" s="161">
        <v>0.76329999999999998</v>
      </c>
      <c r="KY77" s="162">
        <f t="shared" si="224"/>
        <v>0.62296249999999997</v>
      </c>
      <c r="KZ77" s="53">
        <f t="shared" si="225"/>
        <v>35.386699999999998</v>
      </c>
      <c r="LA77" s="223">
        <f t="shared" si="168"/>
        <v>1.3700000000000045E-2</v>
      </c>
      <c r="LD77" s="228">
        <v>67</v>
      </c>
      <c r="LE77" s="221">
        <v>9542</v>
      </c>
      <c r="LF77" s="161">
        <v>14.9626</v>
      </c>
      <c r="LG77" s="161">
        <v>2.0049999999999999</v>
      </c>
      <c r="LH77" s="161">
        <v>0.76390000000000002</v>
      </c>
      <c r="LI77" s="162">
        <f t="shared" si="226"/>
        <v>0.62344166666666667</v>
      </c>
      <c r="LJ77" s="53">
        <f t="shared" si="227"/>
        <v>35.386099999999999</v>
      </c>
      <c r="LK77" s="228">
        <f t="shared" si="169"/>
        <v>1.1499999999999844E-2</v>
      </c>
      <c r="LN77" s="231">
        <v>67</v>
      </c>
      <c r="LO77" s="226">
        <v>9542</v>
      </c>
      <c r="LP77" s="184">
        <v>14.9787</v>
      </c>
      <c r="LQ77" s="184">
        <v>2.0072000000000001</v>
      </c>
      <c r="LR77" s="184">
        <v>0.76470000000000005</v>
      </c>
      <c r="LS77" s="162">
        <f t="shared" si="228"/>
        <v>0.62411249999999996</v>
      </c>
      <c r="LT77" s="53">
        <f t="shared" si="229"/>
        <v>35.385300000000001</v>
      </c>
      <c r="LU77" s="231">
        <f t="shared" si="170"/>
        <v>1.6099999999999781E-2</v>
      </c>
      <c r="LX77" s="231">
        <v>67</v>
      </c>
      <c r="LY77" s="234">
        <v>9542</v>
      </c>
      <c r="LZ77" s="184">
        <v>14.9968</v>
      </c>
      <c r="MA77" s="184">
        <v>2.0095999999999998</v>
      </c>
      <c r="MB77" s="184">
        <v>0.76570000000000005</v>
      </c>
      <c r="MC77" s="162">
        <f t="shared" si="230"/>
        <v>0.62486666666666668</v>
      </c>
      <c r="MD77" s="53">
        <f t="shared" si="231"/>
        <v>35.384299999999996</v>
      </c>
      <c r="ME77" s="231">
        <f t="shared" si="171"/>
        <v>1.8100000000000449E-2</v>
      </c>
      <c r="MH77" s="231">
        <v>67</v>
      </c>
      <c r="MI77" s="236">
        <v>9542</v>
      </c>
      <c r="MJ77" s="184">
        <v>15.0146</v>
      </c>
      <c r="MK77" s="184">
        <v>2.012</v>
      </c>
      <c r="ML77" s="184">
        <v>0.76659999999999995</v>
      </c>
      <c r="MM77" s="162">
        <f t="shared" si="232"/>
        <v>0.62560833333333332</v>
      </c>
      <c r="MN77" s="53">
        <f t="shared" si="233"/>
        <v>35.383400000000002</v>
      </c>
      <c r="MO77" s="231">
        <f t="shared" si="172"/>
        <v>1.7799999999999372E-2</v>
      </c>
      <c r="MR77" s="231">
        <v>67</v>
      </c>
      <c r="MS77" s="238">
        <v>9542</v>
      </c>
      <c r="MT77" s="184">
        <v>15.0486</v>
      </c>
      <c r="MU77" s="184">
        <v>2.0165999999999999</v>
      </c>
      <c r="MV77" s="184">
        <v>0.76829999999999998</v>
      </c>
      <c r="MW77" s="162">
        <f t="shared" si="234"/>
        <v>0.62702500000000005</v>
      </c>
      <c r="MX77" s="53">
        <f t="shared" si="235"/>
        <v>35.381699999999995</v>
      </c>
      <c r="MY77" s="231">
        <f t="shared" si="173"/>
        <v>3.4000000000000696E-2</v>
      </c>
      <c r="NB77" s="246">
        <v>67</v>
      </c>
      <c r="NC77" s="242">
        <v>9542</v>
      </c>
      <c r="ND77" s="184">
        <v>15.083299999999999</v>
      </c>
      <c r="NE77" s="184">
        <v>2.0211999999999999</v>
      </c>
      <c r="NF77" s="184">
        <v>0.77010000000000001</v>
      </c>
      <c r="NG77" s="162">
        <f t="shared" si="236"/>
        <v>0.62847083333333331</v>
      </c>
      <c r="NH77" s="53">
        <f t="shared" si="237"/>
        <v>35.379899999999999</v>
      </c>
      <c r="NI77" s="232">
        <f t="shared" si="174"/>
        <v>3.4699999999999065E-2</v>
      </c>
      <c r="NL77" s="250">
        <v>67</v>
      </c>
      <c r="NM77" s="244">
        <v>9542</v>
      </c>
      <c r="NN77" s="184">
        <v>15.093500000000001</v>
      </c>
      <c r="NO77" s="184">
        <v>2.0226000000000002</v>
      </c>
      <c r="NP77" s="184">
        <v>0.77059999999999995</v>
      </c>
      <c r="NQ77" s="162">
        <f t="shared" si="133"/>
        <v>0.62889583333333332</v>
      </c>
      <c r="NR77" s="53">
        <f t="shared" si="238"/>
        <v>35.379399999999997</v>
      </c>
      <c r="NS77" s="232">
        <f t="shared" si="175"/>
        <v>1.0200000000001097E-2</v>
      </c>
      <c r="NV77" s="250">
        <v>67</v>
      </c>
      <c r="NW77" s="248">
        <v>9542</v>
      </c>
      <c r="NX77" s="184">
        <v>15.1097</v>
      </c>
      <c r="NY77" s="184">
        <v>2.0247999999999999</v>
      </c>
      <c r="NZ77" s="184">
        <v>0.77139999999999997</v>
      </c>
      <c r="OA77" s="162">
        <f t="shared" si="134"/>
        <v>0.6295708333333333</v>
      </c>
      <c r="OB77" s="53">
        <f t="shared" si="239"/>
        <v>35.378599999999999</v>
      </c>
      <c r="OC77" s="232">
        <f t="shared" si="176"/>
        <v>1.6199999999999548E-2</v>
      </c>
      <c r="OF77" s="250">
        <v>67</v>
      </c>
      <c r="OG77" s="251">
        <v>9542</v>
      </c>
      <c r="OH77" s="184">
        <v>15.117800000000001</v>
      </c>
      <c r="OI77" s="184">
        <v>2.0257999999999998</v>
      </c>
      <c r="OJ77" s="184">
        <v>0.77180000000000004</v>
      </c>
      <c r="OK77" s="162">
        <f t="shared" si="135"/>
        <v>0.6299083333333334</v>
      </c>
      <c r="OL77" s="53">
        <f t="shared" si="240"/>
        <v>35.3782</v>
      </c>
      <c r="OM77" s="232">
        <f t="shared" si="177"/>
        <v>8.1000000000006622E-3</v>
      </c>
      <c r="OP77" s="250">
        <v>67</v>
      </c>
      <c r="OQ77" s="253">
        <v>9542</v>
      </c>
      <c r="OR77" s="184">
        <f>VLOOKUP(OQ77,Sheet4!A10:F86,3,0)</f>
        <v>15.1364</v>
      </c>
      <c r="OS77" s="184">
        <f>VLOOKUP(OQ77,Sheet4!A10:F86,4,0)</f>
        <v>2.0283000000000002</v>
      </c>
      <c r="OT77" s="184">
        <f>VLOOKUP(OQ77,Sheet4!A10:F86,5,0)</f>
        <v>0.77280000000000004</v>
      </c>
      <c r="OU77" s="162">
        <f t="shared" si="241"/>
        <v>0.63068333333333337</v>
      </c>
      <c r="OV77" s="53">
        <f t="shared" si="242"/>
        <v>35.377200000000002</v>
      </c>
      <c r="OW77" s="232">
        <f t="shared" si="178"/>
        <v>1.8599999999999284E-2</v>
      </c>
    </row>
    <row r="78" spans="1:413" ht="15.75" x14ac:dyDescent="0.25">
      <c r="A78">
        <v>70</v>
      </c>
      <c r="B78" s="1">
        <v>9539</v>
      </c>
      <c r="C78" s="1" t="s">
        <v>1</v>
      </c>
      <c r="D78" s="2">
        <v>36.72</v>
      </c>
      <c r="E78" s="8"/>
      <c r="F78" s="8"/>
      <c r="G78" s="8"/>
      <c r="H78" s="8"/>
      <c r="J78" s="15">
        <v>9539</v>
      </c>
      <c r="K78" s="15">
        <v>14.0726</v>
      </c>
      <c r="L78" s="15">
        <v>1.8857999999999999</v>
      </c>
      <c r="M78" s="15">
        <v>0.71850000000000003</v>
      </c>
      <c r="N78" s="24">
        <f t="shared" si="179"/>
        <v>0.58635833333333331</v>
      </c>
      <c r="O78" s="10">
        <f t="shared" si="157"/>
        <v>36.0015</v>
      </c>
      <c r="P78" s="18"/>
      <c r="R78" s="20">
        <v>9539</v>
      </c>
      <c r="S78" s="9">
        <v>14.1143</v>
      </c>
      <c r="T78" s="9">
        <v>1.8914</v>
      </c>
      <c r="U78" s="9">
        <v>0.72060000000000002</v>
      </c>
      <c r="V78" s="24">
        <f t="shared" si="180"/>
        <v>0.58809583333333337</v>
      </c>
      <c r="W78" s="10">
        <f t="shared" si="158"/>
        <v>35.999400000000001</v>
      </c>
      <c r="X78" s="18"/>
      <c r="Z78" s="27">
        <v>9539</v>
      </c>
      <c r="AA78" s="9">
        <v>14.216799999999999</v>
      </c>
      <c r="AB78" s="9">
        <v>1.9051</v>
      </c>
      <c r="AC78" s="9">
        <v>0.7258</v>
      </c>
      <c r="AD78" s="24">
        <f t="shared" si="181"/>
        <v>0.5923666666666666</v>
      </c>
      <c r="AE78" s="10">
        <f t="shared" si="182"/>
        <v>35.994199999999999</v>
      </c>
      <c r="AF78" s="79"/>
      <c r="AG78">
        <v>70</v>
      </c>
      <c r="AH78" s="65">
        <v>9541</v>
      </c>
      <c r="AI78" s="65" t="s">
        <v>1</v>
      </c>
      <c r="AJ78" s="66">
        <v>36.1</v>
      </c>
      <c r="AL78" s="59">
        <v>9541</v>
      </c>
      <c r="AM78" s="61">
        <v>14.0036</v>
      </c>
      <c r="AN78" s="63">
        <v>1.8765000000000001</v>
      </c>
      <c r="AO78" s="63">
        <v>0.71499999999999997</v>
      </c>
      <c r="AP78" s="60">
        <f t="shared" si="146"/>
        <v>0.58348333333333335</v>
      </c>
      <c r="AQ78" s="53">
        <f t="shared" si="243"/>
        <v>35.384999999999998</v>
      </c>
      <c r="AT78" s="39"/>
      <c r="AU78" s="38">
        <v>9541</v>
      </c>
      <c r="AV78" s="9">
        <v>14.050700000000001</v>
      </c>
      <c r="AW78" s="43">
        <v>1.8828</v>
      </c>
      <c r="AX78" s="43">
        <v>0.71740000000000004</v>
      </c>
      <c r="AY78" s="47">
        <f t="shared" si="183"/>
        <v>0.58544583333333333</v>
      </c>
      <c r="AZ78" s="56">
        <f t="shared" si="244"/>
        <v>35.382600000000004</v>
      </c>
      <c r="BD78" s="54">
        <v>9541</v>
      </c>
      <c r="BE78" s="53">
        <v>14.055999999999999</v>
      </c>
      <c r="BF78" s="58">
        <v>1.8835999999999999</v>
      </c>
      <c r="BG78" s="58">
        <v>0.71760000000000002</v>
      </c>
      <c r="BH78" s="47">
        <f t="shared" si="184"/>
        <v>0.58566666666666667</v>
      </c>
      <c r="BI78" s="56">
        <f t="shared" si="185"/>
        <v>35.382400000000004</v>
      </c>
      <c r="BJ78" s="88"/>
      <c r="BK78" s="88"/>
      <c r="BL78" s="88"/>
      <c r="BN78" s="9">
        <v>9541</v>
      </c>
      <c r="BO78" s="53">
        <v>14.075900000000001</v>
      </c>
      <c r="BP78" s="53">
        <v>1.8862000000000001</v>
      </c>
      <c r="BQ78" s="53">
        <v>0.71870000000000001</v>
      </c>
      <c r="BR78" s="53">
        <f t="shared" si="186"/>
        <v>0.58649583333333333</v>
      </c>
      <c r="BS78" s="53">
        <f t="shared" si="187"/>
        <v>35.381300000000003</v>
      </c>
      <c r="BV78" s="88"/>
      <c r="BX78" s="93">
        <v>9541</v>
      </c>
      <c r="BY78" s="9">
        <v>14.1151</v>
      </c>
      <c r="BZ78" s="9">
        <v>1.8915</v>
      </c>
      <c r="CA78" s="9">
        <v>0.72070000000000001</v>
      </c>
      <c r="CB78" s="58">
        <f t="shared" si="188"/>
        <v>0.5881291666666667</v>
      </c>
      <c r="CC78" s="53">
        <f t="shared" si="189"/>
        <v>35.379300000000001</v>
      </c>
      <c r="CF78" s="88"/>
      <c r="CG78">
        <v>68</v>
      </c>
      <c r="CH78" s="93">
        <v>9541</v>
      </c>
      <c r="CI78" s="93">
        <v>14.1488</v>
      </c>
      <c r="CJ78" s="9">
        <v>1.8959999999999999</v>
      </c>
      <c r="CK78" s="9">
        <v>0.72240000000000004</v>
      </c>
      <c r="CL78" s="47">
        <f t="shared" si="147"/>
        <v>0.58953333333333335</v>
      </c>
      <c r="CM78" s="53">
        <f t="shared" si="190"/>
        <v>35.377600000000001</v>
      </c>
      <c r="CQ78">
        <v>68</v>
      </c>
      <c r="CR78" s="98">
        <v>9541</v>
      </c>
      <c r="CS78" s="101">
        <v>14.1912</v>
      </c>
      <c r="CT78" s="101">
        <v>1.9016999999999999</v>
      </c>
      <c r="CU78" s="101">
        <v>0.72450000000000003</v>
      </c>
      <c r="CV78" s="47">
        <f t="shared" si="148"/>
        <v>0.59130000000000005</v>
      </c>
      <c r="CW78" s="53">
        <f t="shared" si="159"/>
        <v>35.375500000000002</v>
      </c>
      <c r="DA78">
        <v>68</v>
      </c>
      <c r="DB78" s="106">
        <v>9541</v>
      </c>
      <c r="DC78" s="107">
        <v>14.195399999999999</v>
      </c>
      <c r="DD78" s="107">
        <v>1.9021999999999999</v>
      </c>
      <c r="DE78" s="107">
        <v>0.7248</v>
      </c>
      <c r="DF78" s="47">
        <f t="shared" si="136"/>
        <v>0.59147499999999997</v>
      </c>
      <c r="DG78" s="53">
        <f t="shared" si="245"/>
        <v>35.3752</v>
      </c>
      <c r="DK78">
        <v>68</v>
      </c>
      <c r="DL78" s="110">
        <v>9541</v>
      </c>
      <c r="DM78" s="53">
        <v>14.2437</v>
      </c>
      <c r="DN78" s="53">
        <v>1.9087000000000001</v>
      </c>
      <c r="DO78" s="53">
        <v>0.72719999999999996</v>
      </c>
      <c r="DP78" s="47">
        <f t="shared" si="137"/>
        <v>0.59348750000000006</v>
      </c>
      <c r="DQ78" s="53">
        <f t="shared" si="191"/>
        <v>35.372799999999998</v>
      </c>
      <c r="DS78" s="3">
        <f t="shared" si="192"/>
        <v>4.830000000000112E-2</v>
      </c>
      <c r="DU78">
        <v>68</v>
      </c>
      <c r="DV78" s="115">
        <v>9541</v>
      </c>
      <c r="DW78" s="53">
        <f>Sheet3!B$23</f>
        <v>14.2738</v>
      </c>
      <c r="DX78" s="53">
        <f>Sheet3!C$23</f>
        <v>1.9127000000000001</v>
      </c>
      <c r="DY78" s="53">
        <f>Sheet3!D$23</f>
        <v>0.7288</v>
      </c>
      <c r="DZ78" s="47">
        <f t="shared" si="138"/>
        <v>0.59474166666666661</v>
      </c>
      <c r="EA78" s="53">
        <f t="shared" si="246"/>
        <v>35.371200000000002</v>
      </c>
      <c r="EB78" s="3"/>
      <c r="EE78">
        <v>68</v>
      </c>
      <c r="EF78" s="118">
        <v>9541</v>
      </c>
      <c r="EG78" s="9">
        <v>14.3209</v>
      </c>
      <c r="EH78" s="9">
        <v>1.9191</v>
      </c>
      <c r="EI78" s="9">
        <v>0.73119999999999996</v>
      </c>
      <c r="EJ78" s="47">
        <f t="shared" si="149"/>
        <v>0.5967041666666667</v>
      </c>
      <c r="EK78" s="53">
        <f t="shared" si="193"/>
        <v>35.3688</v>
      </c>
      <c r="EM78" s="3">
        <f t="shared" si="194"/>
        <v>-2.400000000001512E-3</v>
      </c>
      <c r="EN78" s="3"/>
      <c r="EO78">
        <v>68</v>
      </c>
      <c r="EP78" s="121">
        <v>9541</v>
      </c>
      <c r="EQ78" s="122">
        <v>14.4145</v>
      </c>
      <c r="ER78" s="122">
        <v>1.9316</v>
      </c>
      <c r="ES78" s="129">
        <v>0.7359</v>
      </c>
      <c r="ET78" s="130">
        <f t="shared" si="150"/>
        <v>0.60060416666666672</v>
      </c>
      <c r="EU78" s="131">
        <f t="shared" si="195"/>
        <v>35.364100000000001</v>
      </c>
      <c r="EX78" s="3"/>
      <c r="EY78">
        <v>68</v>
      </c>
      <c r="EZ78" s="135">
        <v>9541</v>
      </c>
      <c r="FA78" s="135">
        <v>14.458600000000001</v>
      </c>
      <c r="FB78" s="135">
        <v>1.9375</v>
      </c>
      <c r="FC78" s="135">
        <v>0.73819999999999997</v>
      </c>
      <c r="FD78" s="136">
        <f t="shared" si="151"/>
        <v>0.60244166666666665</v>
      </c>
      <c r="FE78" s="131">
        <f t="shared" si="196"/>
        <v>35.361800000000002</v>
      </c>
      <c r="FG78" s="123">
        <f t="shared" si="197"/>
        <v>-2.2999999999981924E-3</v>
      </c>
      <c r="FH78" s="3"/>
      <c r="FI78">
        <v>68</v>
      </c>
      <c r="FJ78" s="145">
        <v>9541</v>
      </c>
      <c r="FK78" s="9">
        <v>14.5174</v>
      </c>
      <c r="FL78" s="9">
        <v>1.9454</v>
      </c>
      <c r="FM78" s="9">
        <v>0.74119999999999997</v>
      </c>
      <c r="FN78" s="146">
        <f t="shared" si="247"/>
        <v>0.60489166666666672</v>
      </c>
      <c r="FO78" s="131">
        <f t="shared" si="198"/>
        <v>35.358800000000002</v>
      </c>
      <c r="FP78" s="123">
        <f t="shared" si="199"/>
        <v>-3.0000000000001137E-3</v>
      </c>
      <c r="FS78">
        <v>68</v>
      </c>
      <c r="FT78" s="147">
        <v>9541</v>
      </c>
      <c r="FU78" s="148">
        <v>14.529500000000001</v>
      </c>
      <c r="FV78" s="148">
        <v>1.9470000000000001</v>
      </c>
      <c r="FW78" s="148">
        <v>0.74180000000000001</v>
      </c>
      <c r="FX78" s="150">
        <f t="shared" si="248"/>
        <v>0.60539583333333336</v>
      </c>
      <c r="FY78" s="131">
        <f t="shared" si="249"/>
        <v>35.358200000000004</v>
      </c>
      <c r="FZ78">
        <f t="shared" si="200"/>
        <v>1.2100000000000222E-2</v>
      </c>
      <c r="GC78">
        <v>68</v>
      </c>
      <c r="GD78" s="151">
        <v>9541</v>
      </c>
      <c r="GE78" s="151">
        <v>14.5594</v>
      </c>
      <c r="GF78" s="151">
        <v>1.9510000000000001</v>
      </c>
      <c r="GG78" s="151">
        <v>0.74329999999999996</v>
      </c>
      <c r="GH78" s="153">
        <f t="shared" si="250"/>
        <v>0.60664166666666663</v>
      </c>
      <c r="GI78" s="131">
        <f t="shared" si="201"/>
        <v>35.356700000000004</v>
      </c>
      <c r="GJ78">
        <f t="shared" si="160"/>
        <v>2.9899999999999594E-2</v>
      </c>
      <c r="GM78">
        <v>68</v>
      </c>
      <c r="GN78" s="155">
        <v>9541</v>
      </c>
      <c r="GO78" s="155">
        <v>14.6228</v>
      </c>
      <c r="GP78" s="155">
        <v>1.9595</v>
      </c>
      <c r="GQ78" s="155">
        <v>0.74660000000000004</v>
      </c>
      <c r="GR78" s="58">
        <f t="shared" si="202"/>
        <v>0.60928333333333329</v>
      </c>
      <c r="GS78" s="131">
        <f t="shared" si="203"/>
        <v>35.353400000000001</v>
      </c>
      <c r="GT78">
        <f t="shared" si="161"/>
        <v>6.3399999999999679E-2</v>
      </c>
      <c r="GW78">
        <v>68</v>
      </c>
      <c r="GX78" s="157">
        <v>9541</v>
      </c>
      <c r="GY78" s="161">
        <f>VLOOKUP(GX78,Sheet3!$AJ$7:$AN$83,2,0)</f>
        <v>14.7033</v>
      </c>
      <c r="GZ78" s="161">
        <f>VLOOKUP(GX78,Sheet3!$AJ$7:$AN$83,3,0)</f>
        <v>1.9702999999999999</v>
      </c>
      <c r="HA78" s="161">
        <f>VLOOKUP(GX78,Sheet3!$AJ$7:$AN$83,4,0)</f>
        <v>0.75070000000000003</v>
      </c>
      <c r="HB78" s="162">
        <f t="shared" si="152"/>
        <v>0.61263750000000006</v>
      </c>
      <c r="HC78" s="131">
        <f t="shared" si="204"/>
        <v>35.349299999999999</v>
      </c>
      <c r="HD78" s="159">
        <f t="shared" si="162"/>
        <v>8.0500000000000682E-2</v>
      </c>
      <c r="HE78" s="159">
        <f t="shared" si="163"/>
        <v>4.0999999999999925E-3</v>
      </c>
      <c r="HG78" s="159"/>
      <c r="HH78" s="159">
        <v>68</v>
      </c>
      <c r="HI78" s="158">
        <v>9541</v>
      </c>
      <c r="HJ78" s="161">
        <v>14.735799999999999</v>
      </c>
      <c r="HK78" s="161">
        <v>1.9746999999999999</v>
      </c>
      <c r="HL78" s="161">
        <v>0.75229999999999997</v>
      </c>
      <c r="HM78" s="162">
        <f t="shared" si="153"/>
        <v>0.6139916666666666</v>
      </c>
      <c r="HN78" s="131">
        <f t="shared" si="205"/>
        <v>35.347700000000003</v>
      </c>
      <c r="HO78" s="159">
        <f t="shared" si="206"/>
        <v>3.2499999999998863E-2</v>
      </c>
      <c r="HQ78" s="183"/>
      <c r="HR78" s="183">
        <v>68</v>
      </c>
      <c r="HS78" s="178">
        <v>9541</v>
      </c>
      <c r="HT78" s="184">
        <v>14.757</v>
      </c>
      <c r="HU78" s="184">
        <v>1.9775</v>
      </c>
      <c r="HV78" s="184">
        <v>0.75339999999999996</v>
      </c>
      <c r="HW78" s="171">
        <f t="shared" si="154"/>
        <v>0.61487499999999995</v>
      </c>
      <c r="HX78" s="53">
        <f t="shared" si="207"/>
        <v>35.346600000000002</v>
      </c>
      <c r="HY78" s="183">
        <f t="shared" si="208"/>
        <v>2.120000000000033E-2</v>
      </c>
      <c r="IA78" s="194"/>
      <c r="IB78" s="194">
        <v>68</v>
      </c>
      <c r="IC78" s="193">
        <v>9541</v>
      </c>
      <c r="ID78" s="161">
        <v>14.7662</v>
      </c>
      <c r="IE78" s="184">
        <v>1.9786999999999999</v>
      </c>
      <c r="IF78" s="184">
        <v>0.75390000000000001</v>
      </c>
      <c r="IG78" s="171">
        <f t="shared" si="209"/>
        <v>0.61525833333333335</v>
      </c>
      <c r="IH78" s="53">
        <f t="shared" si="210"/>
        <v>35.3461</v>
      </c>
      <c r="II78" s="194">
        <f t="shared" si="211"/>
        <v>9.1999999999998749E-3</v>
      </c>
      <c r="IL78" s="199">
        <v>68</v>
      </c>
      <c r="IM78" s="197">
        <v>9541</v>
      </c>
      <c r="IN78" s="161">
        <v>14.814399999999999</v>
      </c>
      <c r="IO78" s="184">
        <v>1.9852000000000001</v>
      </c>
      <c r="IP78" s="184">
        <v>0.75639999999999996</v>
      </c>
      <c r="IQ78" s="171">
        <f t="shared" si="212"/>
        <v>0.61726666666666663</v>
      </c>
      <c r="IR78" s="53">
        <f t="shared" si="213"/>
        <v>35.343600000000002</v>
      </c>
      <c r="IS78" s="199">
        <f t="shared" si="214"/>
        <v>4.8199999999999577E-2</v>
      </c>
      <c r="IU78" s="202"/>
      <c r="IV78" s="202">
        <v>68</v>
      </c>
      <c r="IW78" s="201">
        <v>9541</v>
      </c>
      <c r="IX78" s="184">
        <v>14.8795</v>
      </c>
      <c r="IY78" s="184">
        <v>1.9939</v>
      </c>
      <c r="IZ78" s="184">
        <v>0.75970000000000004</v>
      </c>
      <c r="JA78" s="162">
        <f t="shared" si="155"/>
        <v>0.61997916666666664</v>
      </c>
      <c r="JB78" s="53">
        <f t="shared" si="215"/>
        <v>35.340299999999999</v>
      </c>
      <c r="JC78" s="202">
        <f t="shared" si="216"/>
        <v>6.5100000000001046E-2</v>
      </c>
      <c r="JE78" s="204"/>
      <c r="JF78" s="204">
        <v>68</v>
      </c>
      <c r="JG78" s="203">
        <v>9541</v>
      </c>
      <c r="JH78" s="161">
        <v>14.9002</v>
      </c>
      <c r="JI78" s="184">
        <v>1.9966999999999999</v>
      </c>
      <c r="JJ78" s="184">
        <v>0.76070000000000004</v>
      </c>
      <c r="JK78" s="162">
        <f t="shared" si="217"/>
        <v>0.62084166666666663</v>
      </c>
      <c r="JL78" s="53">
        <f t="shared" si="218"/>
        <v>35.339300000000001</v>
      </c>
      <c r="JM78" s="204">
        <f t="shared" si="164"/>
        <v>2.0699999999999719E-2</v>
      </c>
      <c r="JN78" s="204"/>
      <c r="JP78" s="209">
        <v>68</v>
      </c>
      <c r="JQ78" s="205">
        <v>9541</v>
      </c>
      <c r="JR78" s="161">
        <v>14.9168</v>
      </c>
      <c r="JS78" s="184">
        <v>1.9988999999999999</v>
      </c>
      <c r="JT78" s="184">
        <v>0.76160000000000005</v>
      </c>
      <c r="JU78" s="162">
        <f t="shared" si="219"/>
        <v>0.62153333333333338</v>
      </c>
      <c r="JV78" s="53">
        <f t="shared" si="220"/>
        <v>35.3384</v>
      </c>
      <c r="JW78" s="209">
        <f t="shared" si="165"/>
        <v>1.6600000000000392E-2</v>
      </c>
      <c r="JX78" s="213"/>
      <c r="JY78" s="213"/>
      <c r="JZ78" s="213">
        <v>68</v>
      </c>
      <c r="KA78" s="206">
        <v>9541</v>
      </c>
      <c r="KB78" s="184">
        <v>14.9558</v>
      </c>
      <c r="KC78" s="184">
        <v>2.0041000000000002</v>
      </c>
      <c r="KD78" s="184">
        <v>0.76359999999999995</v>
      </c>
      <c r="KE78" s="162">
        <f t="shared" si="221"/>
        <v>0.62315833333333337</v>
      </c>
      <c r="KF78" s="53">
        <f t="shared" si="222"/>
        <v>35.336400000000005</v>
      </c>
      <c r="KG78" s="213">
        <f t="shared" si="166"/>
        <v>3.8999999999999702E-2</v>
      </c>
      <c r="KI78" s="219"/>
      <c r="KJ78" s="219">
        <v>68</v>
      </c>
      <c r="KK78" s="214">
        <v>9541</v>
      </c>
      <c r="KL78" s="161">
        <v>14.9688</v>
      </c>
      <c r="KM78" s="161">
        <v>2.0059</v>
      </c>
      <c r="KN78" s="161">
        <v>0.76419999999999999</v>
      </c>
      <c r="KO78" s="162">
        <f t="shared" si="156"/>
        <v>0.62370000000000003</v>
      </c>
      <c r="KP78" s="53">
        <f t="shared" si="223"/>
        <v>35.335799999999999</v>
      </c>
      <c r="KQ78" s="219">
        <f t="shared" si="167"/>
        <v>1.2999999999999901E-2</v>
      </c>
      <c r="KT78" s="223">
        <v>68</v>
      </c>
      <c r="KU78" s="216">
        <v>9541</v>
      </c>
      <c r="KV78" s="161">
        <v>14.982499999999998</v>
      </c>
      <c r="KW78" s="161">
        <v>2.0077000000000003</v>
      </c>
      <c r="KX78" s="161">
        <v>0.76490000000000002</v>
      </c>
      <c r="KY78" s="162">
        <f t="shared" si="224"/>
        <v>0.62427083333333322</v>
      </c>
      <c r="KZ78" s="53">
        <f t="shared" si="225"/>
        <v>35.335100000000004</v>
      </c>
      <c r="LA78" s="223">
        <f t="shared" si="168"/>
        <v>1.3699999999998269E-2</v>
      </c>
      <c r="LD78" s="228">
        <v>68</v>
      </c>
      <c r="LE78" s="221">
        <v>9541</v>
      </c>
      <c r="LF78" s="161">
        <v>14.994</v>
      </c>
      <c r="LG78" s="161">
        <v>2.0093000000000001</v>
      </c>
      <c r="LH78" s="161">
        <v>0.76549999999999996</v>
      </c>
      <c r="LI78" s="162">
        <f t="shared" si="226"/>
        <v>0.62475000000000003</v>
      </c>
      <c r="LJ78" s="53">
        <f t="shared" si="227"/>
        <v>35.334499999999998</v>
      </c>
      <c r="LK78" s="228">
        <f t="shared" si="169"/>
        <v>1.150000000000162E-2</v>
      </c>
      <c r="LL78" s="231"/>
      <c r="LM78" s="231"/>
      <c r="LN78" s="231">
        <v>68</v>
      </c>
      <c r="LO78" s="226">
        <v>9541</v>
      </c>
      <c r="LP78" s="184">
        <v>15.0101</v>
      </c>
      <c r="LQ78" s="184">
        <v>2.0114000000000001</v>
      </c>
      <c r="LR78" s="184">
        <v>0.76629999999999998</v>
      </c>
      <c r="LS78" s="162">
        <f t="shared" si="228"/>
        <v>0.62542083333333331</v>
      </c>
      <c r="LT78" s="53">
        <f t="shared" si="229"/>
        <v>35.3337</v>
      </c>
      <c r="LU78" s="231">
        <f t="shared" si="170"/>
        <v>1.6099999999999781E-2</v>
      </c>
      <c r="LW78" s="231"/>
      <c r="LX78" s="231">
        <v>68</v>
      </c>
      <c r="LY78" s="234">
        <v>9541</v>
      </c>
      <c r="LZ78" s="184">
        <v>15.0282</v>
      </c>
      <c r="MA78" s="184">
        <v>2.0137999999999998</v>
      </c>
      <c r="MB78" s="184">
        <v>0.76729999999999998</v>
      </c>
      <c r="MC78" s="162">
        <f t="shared" si="230"/>
        <v>0.62617500000000004</v>
      </c>
      <c r="MD78" s="53">
        <f t="shared" si="231"/>
        <v>35.332700000000003</v>
      </c>
      <c r="ME78" s="231">
        <f t="shared" si="171"/>
        <v>1.8100000000000449E-2</v>
      </c>
      <c r="MF78" s="231"/>
      <c r="MG78" s="231"/>
      <c r="MH78" s="231">
        <v>68</v>
      </c>
      <c r="MI78" s="236">
        <v>9541</v>
      </c>
      <c r="MJ78" s="184">
        <v>15.045999999999999</v>
      </c>
      <c r="MK78" s="184">
        <v>2.0162</v>
      </c>
      <c r="ML78" s="184">
        <v>0.76819999999999999</v>
      </c>
      <c r="MM78" s="162">
        <f t="shared" si="232"/>
        <v>0.62691666666666668</v>
      </c>
      <c r="MN78" s="53">
        <f t="shared" si="233"/>
        <v>35.331800000000001</v>
      </c>
      <c r="MO78" s="231">
        <f t="shared" si="172"/>
        <v>1.7799999999999372E-2</v>
      </c>
      <c r="MP78" s="231"/>
      <c r="MQ78" s="231"/>
      <c r="MR78" s="231">
        <v>68</v>
      </c>
      <c r="MS78" s="238">
        <v>9541</v>
      </c>
      <c r="MT78" s="184">
        <v>15.08</v>
      </c>
      <c r="MU78" s="184">
        <v>2.0207999999999999</v>
      </c>
      <c r="MV78" s="184">
        <v>0.76990000000000003</v>
      </c>
      <c r="MW78" s="162">
        <f t="shared" si="234"/>
        <v>0.6283333333333333</v>
      </c>
      <c r="MX78" s="53">
        <f t="shared" si="235"/>
        <v>35.330100000000002</v>
      </c>
      <c r="MY78" s="231">
        <f t="shared" si="173"/>
        <v>3.4000000000000696E-2</v>
      </c>
      <c r="MZ78" s="246"/>
      <c r="NA78" s="246"/>
      <c r="NB78" s="246">
        <v>68</v>
      </c>
      <c r="NC78" s="242">
        <v>9541</v>
      </c>
      <c r="ND78" s="184">
        <v>15.114699999999999</v>
      </c>
      <c r="NE78" s="184">
        <v>2.0253999999999999</v>
      </c>
      <c r="NF78" s="184">
        <v>0.77170000000000005</v>
      </c>
      <c r="NG78" s="162">
        <f t="shared" si="236"/>
        <v>0.62977916666666667</v>
      </c>
      <c r="NH78" s="53">
        <f t="shared" si="237"/>
        <v>35.328299999999999</v>
      </c>
      <c r="NI78" s="232">
        <f t="shared" si="174"/>
        <v>3.4699999999999065E-2</v>
      </c>
      <c r="NK78" s="250"/>
      <c r="NL78" s="250">
        <v>68</v>
      </c>
      <c r="NM78" s="244">
        <v>9541</v>
      </c>
      <c r="NN78" s="184">
        <v>15.1249</v>
      </c>
      <c r="NO78" s="184">
        <v>2.0268000000000002</v>
      </c>
      <c r="NP78" s="184">
        <v>0.7722</v>
      </c>
      <c r="NQ78" s="162">
        <f t="shared" si="133"/>
        <v>0.63020416666666668</v>
      </c>
      <c r="NR78" s="53">
        <f t="shared" si="238"/>
        <v>35.327800000000003</v>
      </c>
      <c r="NS78" s="232">
        <f t="shared" si="175"/>
        <v>1.0200000000001097E-2</v>
      </c>
      <c r="NU78" s="250"/>
      <c r="NV78" s="250">
        <v>68</v>
      </c>
      <c r="NW78" s="248">
        <v>9541</v>
      </c>
      <c r="NX78" s="184">
        <v>15.1411</v>
      </c>
      <c r="NY78" s="184">
        <v>2.0289999999999999</v>
      </c>
      <c r="NZ78" s="184">
        <v>0.77300000000000002</v>
      </c>
      <c r="OA78" s="162">
        <f t="shared" si="134"/>
        <v>0.63087916666666666</v>
      </c>
      <c r="OB78" s="53">
        <f t="shared" si="239"/>
        <v>35.326999999999998</v>
      </c>
      <c r="OC78" s="232">
        <f t="shared" si="176"/>
        <v>1.6199999999999548E-2</v>
      </c>
      <c r="OE78" s="250"/>
      <c r="OF78" s="250">
        <v>68</v>
      </c>
      <c r="OG78" s="251">
        <v>9541</v>
      </c>
      <c r="OH78" s="184">
        <v>15.1492</v>
      </c>
      <c r="OI78" s="184">
        <v>2.0301</v>
      </c>
      <c r="OJ78" s="184">
        <v>0.77339999999999998</v>
      </c>
      <c r="OK78" s="162">
        <f t="shared" si="135"/>
        <v>0.63121666666666665</v>
      </c>
      <c r="OL78" s="53">
        <f t="shared" si="240"/>
        <v>35.326599999999999</v>
      </c>
      <c r="OM78" s="232">
        <f t="shared" si="177"/>
        <v>8.1000000000006622E-3</v>
      </c>
      <c r="OP78" s="250">
        <v>68</v>
      </c>
      <c r="OQ78" s="253">
        <v>9541</v>
      </c>
      <c r="OR78" s="184">
        <f>VLOOKUP(OQ78,Sheet4!A11:F87,3,0)</f>
        <v>15.1678</v>
      </c>
      <c r="OS78" s="184">
        <f>VLOOKUP(OQ78,Sheet4!A11:F87,4,0)</f>
        <v>2.0325000000000002</v>
      </c>
      <c r="OT78" s="184">
        <f>VLOOKUP(OQ78,Sheet4!A11:F87,5,0)</f>
        <v>0.77439999999999998</v>
      </c>
      <c r="OU78" s="162">
        <f t="shared" si="241"/>
        <v>0.63199166666666662</v>
      </c>
      <c r="OV78" s="53">
        <f t="shared" si="242"/>
        <v>35.325600000000001</v>
      </c>
      <c r="OW78" s="232">
        <f t="shared" si="178"/>
        <v>1.8599999999999284E-2</v>
      </c>
    </row>
    <row r="79" spans="1:413" ht="15.75" x14ac:dyDescent="0.25">
      <c r="A79">
        <v>71</v>
      </c>
      <c r="B79" s="1">
        <v>9543</v>
      </c>
      <c r="C79" s="1" t="s">
        <v>1</v>
      </c>
      <c r="D79" s="2">
        <v>36.94</v>
      </c>
      <c r="E79" s="8"/>
      <c r="F79" s="8"/>
      <c r="G79" s="8"/>
      <c r="H79" s="8"/>
      <c r="J79" s="15">
        <v>9543</v>
      </c>
      <c r="K79" s="15">
        <v>10.481</v>
      </c>
      <c r="L79" s="15">
        <v>1.4045000000000001</v>
      </c>
      <c r="M79" s="15">
        <v>0.53510000000000002</v>
      </c>
      <c r="N79" s="24">
        <f t="shared" si="179"/>
        <v>0.43670833333333331</v>
      </c>
      <c r="O79" s="10">
        <f t="shared" si="157"/>
        <v>36.404899999999998</v>
      </c>
      <c r="P79" s="18"/>
      <c r="R79" s="20">
        <v>9543</v>
      </c>
      <c r="S79" s="9">
        <v>10.5227</v>
      </c>
      <c r="T79" s="9">
        <v>1.4100999999999999</v>
      </c>
      <c r="U79" s="9">
        <v>0.53720000000000001</v>
      </c>
      <c r="V79" s="24">
        <f t="shared" si="180"/>
        <v>0.43844583333333337</v>
      </c>
      <c r="W79" s="10">
        <f t="shared" si="158"/>
        <v>36.402799999999999</v>
      </c>
      <c r="X79" s="18"/>
      <c r="Z79" s="27">
        <v>9543</v>
      </c>
      <c r="AA79" s="9">
        <v>10.6252</v>
      </c>
      <c r="AB79" s="9">
        <v>1.4238</v>
      </c>
      <c r="AC79" s="9">
        <v>0.54249999999999998</v>
      </c>
      <c r="AD79" s="24">
        <f>AA79/24</f>
        <v>0.44271666666666665</v>
      </c>
      <c r="AE79" s="10">
        <f t="shared" si="182"/>
        <v>36.397500000000001</v>
      </c>
      <c r="AF79" s="79"/>
      <c r="AG79">
        <v>71</v>
      </c>
      <c r="AH79" s="1">
        <v>9539</v>
      </c>
      <c r="AI79" s="1" t="s">
        <v>1</v>
      </c>
      <c r="AJ79" s="2">
        <v>36.72</v>
      </c>
      <c r="AL79" s="32">
        <v>9539</v>
      </c>
      <c r="AM79" s="9">
        <v>14.3277</v>
      </c>
      <c r="AN79" s="9">
        <v>1.92</v>
      </c>
      <c r="AO79" s="9">
        <v>0.73150000000000004</v>
      </c>
      <c r="AP79" s="37">
        <f t="shared" si="146"/>
        <v>0.5969875</v>
      </c>
      <c r="AQ79" s="53">
        <f t="shared" si="243"/>
        <v>35.988500000000002</v>
      </c>
      <c r="AT79" s="39"/>
      <c r="AU79" s="38">
        <v>9539</v>
      </c>
      <c r="AV79" s="9">
        <v>14.3748</v>
      </c>
      <c r="AW79" s="43">
        <v>1.9262999999999999</v>
      </c>
      <c r="AX79" s="43">
        <v>0.7339</v>
      </c>
      <c r="AY79" s="47">
        <f t="shared" si="183"/>
        <v>0.59894999999999998</v>
      </c>
      <c r="AZ79" s="56">
        <f t="shared" si="244"/>
        <v>35.9861</v>
      </c>
      <c r="BD79" s="54">
        <v>9539</v>
      </c>
      <c r="BE79" s="53">
        <v>14.380100000000001</v>
      </c>
      <c r="BF79" s="58">
        <v>1.927</v>
      </c>
      <c r="BG79" s="58">
        <v>0.73419999999999996</v>
      </c>
      <c r="BH79" s="47">
        <f t="shared" si="184"/>
        <v>0.59917083333333332</v>
      </c>
      <c r="BI79" s="56">
        <f t="shared" si="185"/>
        <v>35.985799999999998</v>
      </c>
      <c r="BJ79" s="88"/>
      <c r="BK79" s="88"/>
      <c r="BL79" s="88"/>
      <c r="BN79" s="9">
        <v>9539</v>
      </c>
      <c r="BO79" s="53">
        <v>14.4</v>
      </c>
      <c r="BP79" s="53">
        <v>1.9297</v>
      </c>
      <c r="BQ79" s="53">
        <v>0.73519999999999996</v>
      </c>
      <c r="BR79" s="53">
        <f t="shared" si="186"/>
        <v>0.6</v>
      </c>
      <c r="BS79" s="53">
        <f t="shared" si="187"/>
        <v>35.9848</v>
      </c>
      <c r="BV79" s="88"/>
      <c r="BX79" s="93">
        <v>9539</v>
      </c>
      <c r="BY79" s="9">
        <v>14.4392</v>
      </c>
      <c r="BZ79" s="9">
        <v>1.9349000000000001</v>
      </c>
      <c r="CA79" s="9">
        <v>0.73719999999999997</v>
      </c>
      <c r="CB79" s="58">
        <f t="shared" si="188"/>
        <v>0.60163333333333335</v>
      </c>
      <c r="CC79" s="53">
        <f t="shared" si="189"/>
        <v>35.982799999999997</v>
      </c>
      <c r="CF79" s="88"/>
      <c r="CG79">
        <v>69</v>
      </c>
      <c r="CH79" s="93">
        <v>9539</v>
      </c>
      <c r="CI79" s="93">
        <v>14.472899999999999</v>
      </c>
      <c r="CJ79" s="9">
        <v>1.9394</v>
      </c>
      <c r="CK79" s="9">
        <v>0.7389</v>
      </c>
      <c r="CL79" s="47">
        <f t="shared" si="147"/>
        <v>0.6030375</v>
      </c>
      <c r="CM79" s="53">
        <f t="shared" si="190"/>
        <v>35.981099999999998</v>
      </c>
      <c r="CQ79">
        <v>69</v>
      </c>
      <c r="CR79" s="98">
        <v>9539</v>
      </c>
      <c r="CS79" s="101">
        <v>14.5153</v>
      </c>
      <c r="CT79" s="101">
        <v>1.9451000000000001</v>
      </c>
      <c r="CU79" s="101">
        <v>0.74109999999999998</v>
      </c>
      <c r="CV79" s="47">
        <f t="shared" si="148"/>
        <v>0.6048041666666667</v>
      </c>
      <c r="CW79" s="53">
        <f t="shared" si="159"/>
        <v>35.978899999999996</v>
      </c>
      <c r="DA79">
        <v>69</v>
      </c>
      <c r="DB79" s="106">
        <v>9539</v>
      </c>
      <c r="DC79" s="107">
        <v>14.519500000000001</v>
      </c>
      <c r="DD79" s="107">
        <v>1.9457</v>
      </c>
      <c r="DE79" s="107">
        <v>0.74129999999999996</v>
      </c>
      <c r="DF79" s="47">
        <f t="shared" si="136"/>
        <v>0.60497916666666673</v>
      </c>
      <c r="DG79" s="53">
        <f t="shared" si="245"/>
        <v>35.978699999999996</v>
      </c>
      <c r="DK79">
        <v>69</v>
      </c>
      <c r="DL79" s="110">
        <v>9539</v>
      </c>
      <c r="DM79" s="53">
        <v>14.5678</v>
      </c>
      <c r="DN79" s="53">
        <v>1.9520999999999999</v>
      </c>
      <c r="DO79" s="53">
        <v>0.74380000000000002</v>
      </c>
      <c r="DP79" s="47">
        <f t="shared" si="137"/>
        <v>0.60699166666666671</v>
      </c>
      <c r="DQ79" s="53">
        <f t="shared" si="191"/>
        <v>35.976199999999999</v>
      </c>
      <c r="DS79" s="3">
        <f t="shared" si="192"/>
        <v>4.8299999999999343E-2</v>
      </c>
      <c r="DU79">
        <v>69</v>
      </c>
      <c r="DV79" s="115">
        <v>9539</v>
      </c>
      <c r="DW79" s="53">
        <f>Sheet3!B$21</f>
        <v>14.597899999999999</v>
      </c>
      <c r="DX79" s="53">
        <f>Sheet3!C$21</f>
        <v>1.9561999999999999</v>
      </c>
      <c r="DY79" s="53">
        <f>Sheet3!D$21</f>
        <v>0.74529999999999996</v>
      </c>
      <c r="DZ79" s="47">
        <f t="shared" si="138"/>
        <v>0.60824583333333326</v>
      </c>
      <c r="EA79" s="53">
        <f t="shared" si="246"/>
        <v>35.974699999999999</v>
      </c>
      <c r="EB79" s="3"/>
      <c r="EE79">
        <v>69</v>
      </c>
      <c r="EF79" s="118">
        <v>9539</v>
      </c>
      <c r="EG79" s="9">
        <v>14.645</v>
      </c>
      <c r="EH79" s="9">
        <v>1.9624999999999999</v>
      </c>
      <c r="EI79" s="9">
        <v>0.74770000000000003</v>
      </c>
      <c r="EJ79" s="47">
        <f t="shared" si="149"/>
        <v>0.61020833333333335</v>
      </c>
      <c r="EK79" s="53">
        <f t="shared" si="193"/>
        <v>35.972299999999997</v>
      </c>
      <c r="EM79" s="3">
        <f t="shared" si="194"/>
        <v>-2.400000000001512E-3</v>
      </c>
      <c r="EN79" s="3"/>
      <c r="EO79">
        <v>69</v>
      </c>
      <c r="EP79" s="121">
        <v>9539</v>
      </c>
      <c r="EQ79" s="122">
        <v>14.7386</v>
      </c>
      <c r="ER79" s="122">
        <v>1.9750000000000001</v>
      </c>
      <c r="ES79" s="129">
        <v>0.75249999999999995</v>
      </c>
      <c r="ET79" s="130">
        <f t="shared" si="150"/>
        <v>0.61410833333333337</v>
      </c>
      <c r="EU79" s="131">
        <f t="shared" si="195"/>
        <v>35.967500000000001</v>
      </c>
      <c r="EX79" s="3"/>
      <c r="EY79">
        <v>69</v>
      </c>
      <c r="EZ79" s="135">
        <v>9539</v>
      </c>
      <c r="FA79" s="135">
        <v>14.7827</v>
      </c>
      <c r="FB79" s="135">
        <v>1.9809000000000001</v>
      </c>
      <c r="FC79" s="135">
        <v>0.75470000000000004</v>
      </c>
      <c r="FD79" s="136">
        <f t="shared" si="151"/>
        <v>0.6159458333333333</v>
      </c>
      <c r="FE79" s="131">
        <f t="shared" si="196"/>
        <v>35.965299999999999</v>
      </c>
      <c r="FG79" s="123">
        <f t="shared" si="197"/>
        <v>-2.2000000000019782E-3</v>
      </c>
      <c r="FH79" s="3"/>
      <c r="FI79">
        <v>69</v>
      </c>
      <c r="FJ79" s="145">
        <v>9539</v>
      </c>
      <c r="FK79" s="9">
        <v>14.8415</v>
      </c>
      <c r="FL79" s="9">
        <v>1.9887999999999999</v>
      </c>
      <c r="FM79" s="9">
        <v>0.75770000000000004</v>
      </c>
      <c r="FN79" s="146">
        <f t="shared" si="247"/>
        <v>0.61839583333333337</v>
      </c>
      <c r="FO79" s="131">
        <f t="shared" si="198"/>
        <v>35.962299999999999</v>
      </c>
      <c r="FP79" s="123">
        <f t="shared" si="199"/>
        <v>-3.0000000000001137E-3</v>
      </c>
      <c r="FS79">
        <v>69</v>
      </c>
      <c r="FT79" s="147">
        <v>9539</v>
      </c>
      <c r="FU79" s="148">
        <v>14.8536</v>
      </c>
      <c r="FV79" s="148">
        <v>1.9903999999999999</v>
      </c>
      <c r="FW79" s="148">
        <v>0.75839999999999996</v>
      </c>
      <c r="FX79" s="150">
        <f t="shared" si="248"/>
        <v>0.61890000000000001</v>
      </c>
      <c r="FY79" s="131">
        <f t="shared" si="249"/>
        <v>35.961599999999997</v>
      </c>
      <c r="FZ79">
        <f t="shared" si="200"/>
        <v>1.2100000000000222E-2</v>
      </c>
      <c r="GC79">
        <v>69</v>
      </c>
      <c r="GD79" s="151">
        <v>9539</v>
      </c>
      <c r="GE79" s="151">
        <v>14.8835</v>
      </c>
      <c r="GF79" s="151">
        <v>1.9944</v>
      </c>
      <c r="GG79" s="151">
        <v>0.75990000000000002</v>
      </c>
      <c r="GH79" s="153">
        <f t="shared" si="250"/>
        <v>0.62014583333333329</v>
      </c>
      <c r="GI79" s="131">
        <f t="shared" si="201"/>
        <v>35.960099999999997</v>
      </c>
      <c r="GJ79">
        <f t="shared" si="160"/>
        <v>2.9899999999999594E-2</v>
      </c>
      <c r="GM79">
        <v>69</v>
      </c>
      <c r="GN79" s="155">
        <v>9539</v>
      </c>
      <c r="GO79" s="155">
        <v>14.946899999999999</v>
      </c>
      <c r="GP79" s="155">
        <v>2.0028999999999999</v>
      </c>
      <c r="GQ79" s="155">
        <v>0.7631</v>
      </c>
      <c r="GR79" s="58">
        <f t="shared" si="202"/>
        <v>0.62278749999999994</v>
      </c>
      <c r="GS79" s="131">
        <f t="shared" si="203"/>
        <v>35.956899999999997</v>
      </c>
      <c r="GT79">
        <f t="shared" si="161"/>
        <v>6.3399999999999679E-2</v>
      </c>
      <c r="GW79">
        <v>69</v>
      </c>
      <c r="GX79" s="157">
        <v>9539</v>
      </c>
      <c r="GY79" s="161">
        <f>VLOOKUP(GX79,Sheet3!$AJ$7:$AN$83,2,0)</f>
        <v>15.0274</v>
      </c>
      <c r="GZ79" s="161">
        <f>VLOOKUP(GX79,Sheet3!$AJ$7:$AN$83,3,0)</f>
        <v>2.0137</v>
      </c>
      <c r="HA79" s="161">
        <f>VLOOKUP(GX79,Sheet3!$AJ$7:$AN$83,4,0)</f>
        <v>0.76719999999999999</v>
      </c>
      <c r="HB79" s="162">
        <f t="shared" si="152"/>
        <v>0.62614166666666671</v>
      </c>
      <c r="HC79" s="131">
        <f t="shared" si="204"/>
        <v>35.952799999999996</v>
      </c>
      <c r="HD79" s="159">
        <f t="shared" si="162"/>
        <v>8.0500000000000682E-2</v>
      </c>
      <c r="HE79" s="159">
        <f t="shared" si="163"/>
        <v>4.0999999999999925E-3</v>
      </c>
      <c r="HG79" s="159"/>
      <c r="HH79" s="159">
        <v>69</v>
      </c>
      <c r="HI79" s="158">
        <v>9539</v>
      </c>
      <c r="HJ79" s="161">
        <v>15.059900000000001</v>
      </c>
      <c r="HK79" s="161">
        <v>2.0181</v>
      </c>
      <c r="HL79" s="161">
        <v>0.76890000000000003</v>
      </c>
      <c r="HM79" s="162">
        <f t="shared" si="153"/>
        <v>0.62749583333333336</v>
      </c>
      <c r="HN79" s="131">
        <f t="shared" si="205"/>
        <v>35.951099999999997</v>
      </c>
      <c r="HO79" s="159">
        <f t="shared" si="206"/>
        <v>3.2500000000000639E-2</v>
      </c>
      <c r="HQ79" s="183"/>
      <c r="HR79" s="183">
        <v>69</v>
      </c>
      <c r="HS79" s="178">
        <v>9539</v>
      </c>
      <c r="HT79" s="184">
        <v>15.081099999999999</v>
      </c>
      <c r="HU79" s="184">
        <v>2.0209000000000001</v>
      </c>
      <c r="HV79" s="184">
        <v>0.77</v>
      </c>
      <c r="HW79" s="171">
        <f t="shared" si="154"/>
        <v>0.6283791666666666</v>
      </c>
      <c r="HX79" s="53">
        <f t="shared" si="207"/>
        <v>35.949999999999996</v>
      </c>
      <c r="HY79" s="183">
        <f t="shared" si="208"/>
        <v>2.1199999999998553E-2</v>
      </c>
      <c r="IA79" s="194"/>
      <c r="IB79" s="194">
        <v>69</v>
      </c>
      <c r="IC79" s="193">
        <v>9539</v>
      </c>
      <c r="ID79" s="161">
        <v>15.090299999999999</v>
      </c>
      <c r="IE79" s="184">
        <v>2.0222000000000002</v>
      </c>
      <c r="IF79" s="184">
        <v>0.77039999999999997</v>
      </c>
      <c r="IG79" s="171">
        <f t="shared" si="209"/>
        <v>0.6287625</v>
      </c>
      <c r="IH79" s="53">
        <f t="shared" si="210"/>
        <v>35.949599999999997</v>
      </c>
      <c r="II79" s="194">
        <f t="shared" si="211"/>
        <v>9.1999999999998749E-3</v>
      </c>
      <c r="IL79" s="199">
        <v>69</v>
      </c>
      <c r="IM79" s="197">
        <v>9539</v>
      </c>
      <c r="IN79" s="161">
        <v>15.138500000000001</v>
      </c>
      <c r="IO79" s="184">
        <v>2.0286</v>
      </c>
      <c r="IP79" s="184">
        <v>0.77290000000000003</v>
      </c>
      <c r="IQ79" s="171">
        <f t="shared" si="212"/>
        <v>0.63077083333333339</v>
      </c>
      <c r="IR79" s="53">
        <f t="shared" si="213"/>
        <v>35.947099999999999</v>
      </c>
      <c r="IS79" s="199">
        <f t="shared" si="214"/>
        <v>4.8200000000001353E-2</v>
      </c>
      <c r="IU79" s="202"/>
      <c r="IV79" s="202">
        <v>69</v>
      </c>
      <c r="IW79" s="201">
        <v>9539</v>
      </c>
      <c r="IX79" s="184">
        <v>15.2036</v>
      </c>
      <c r="IY79" s="184">
        <v>2.0373000000000001</v>
      </c>
      <c r="IZ79" s="184">
        <v>0.7762</v>
      </c>
      <c r="JA79" s="162">
        <f t="shared" si="155"/>
        <v>0.63348333333333329</v>
      </c>
      <c r="JB79" s="53">
        <f t="shared" si="215"/>
        <v>35.943799999999996</v>
      </c>
      <c r="JC79" s="202">
        <f t="shared" si="216"/>
        <v>6.509999999999927E-2</v>
      </c>
      <c r="JE79" s="204"/>
      <c r="JF79" s="204">
        <v>69</v>
      </c>
      <c r="JG79" s="203">
        <v>9539</v>
      </c>
      <c r="JH79" s="161">
        <v>15.224299999999999</v>
      </c>
      <c r="JI79" s="184">
        <v>2.0400999999999998</v>
      </c>
      <c r="JJ79" s="184">
        <v>0.77729999999999999</v>
      </c>
      <c r="JK79" s="162">
        <f t="shared" si="217"/>
        <v>0.63434583333333328</v>
      </c>
      <c r="JL79" s="53">
        <f t="shared" si="218"/>
        <v>35.942700000000002</v>
      </c>
      <c r="JM79" s="204">
        <f t="shared" si="164"/>
        <v>2.0699999999999719E-2</v>
      </c>
      <c r="JN79" s="204"/>
      <c r="JP79" s="209">
        <v>69</v>
      </c>
      <c r="JQ79" s="205">
        <v>9539</v>
      </c>
      <c r="JR79" s="161">
        <v>15.2409</v>
      </c>
      <c r="JS79" s="184">
        <v>2.0423</v>
      </c>
      <c r="JT79" s="184">
        <v>0.77810000000000001</v>
      </c>
      <c r="JU79" s="162">
        <f t="shared" si="219"/>
        <v>0.63503750000000003</v>
      </c>
      <c r="JV79" s="53">
        <f t="shared" si="220"/>
        <v>35.941899999999997</v>
      </c>
      <c r="JW79" s="209">
        <f t="shared" si="165"/>
        <v>1.6600000000000392E-2</v>
      </c>
      <c r="JX79" s="213"/>
      <c r="JY79" s="213"/>
      <c r="JZ79" s="213">
        <v>69</v>
      </c>
      <c r="KA79" s="206">
        <v>9539</v>
      </c>
      <c r="KB79" s="184">
        <v>15.2799</v>
      </c>
      <c r="KC79" s="184">
        <v>2.0476000000000001</v>
      </c>
      <c r="KD79" s="184">
        <v>0.78010000000000002</v>
      </c>
      <c r="KE79" s="162">
        <f t="shared" si="221"/>
        <v>0.63666250000000002</v>
      </c>
      <c r="KF79" s="53">
        <f t="shared" si="222"/>
        <v>35.939900000000002</v>
      </c>
      <c r="KG79" s="213">
        <f t="shared" si="166"/>
        <v>3.8999999999999702E-2</v>
      </c>
      <c r="KI79" s="219"/>
      <c r="KJ79" s="219">
        <v>69</v>
      </c>
      <c r="KK79" s="214">
        <v>9539</v>
      </c>
      <c r="KL79" s="161">
        <v>15.292899999999999</v>
      </c>
      <c r="KM79" s="161">
        <v>2.0493000000000001</v>
      </c>
      <c r="KN79" s="161">
        <v>0.78080000000000005</v>
      </c>
      <c r="KO79" s="162">
        <f t="shared" si="156"/>
        <v>0.63720416666666668</v>
      </c>
      <c r="KP79" s="53">
        <f t="shared" si="223"/>
        <v>35.9392</v>
      </c>
      <c r="KQ79" s="219">
        <f t="shared" si="167"/>
        <v>1.2999999999999901E-2</v>
      </c>
      <c r="KT79" s="223">
        <v>69</v>
      </c>
      <c r="KU79" s="216">
        <v>9539</v>
      </c>
      <c r="KV79" s="161">
        <v>15.3066</v>
      </c>
      <c r="KW79" s="161">
        <v>2.0510999999999999</v>
      </c>
      <c r="KX79" s="161">
        <v>0.78149999999999997</v>
      </c>
      <c r="KY79" s="162">
        <f t="shared" si="224"/>
        <v>0.63777499999999998</v>
      </c>
      <c r="KZ79" s="53">
        <f t="shared" si="225"/>
        <v>35.938499999999998</v>
      </c>
      <c r="LA79" s="223">
        <f t="shared" si="168"/>
        <v>1.3700000000000045E-2</v>
      </c>
      <c r="LD79" s="228">
        <v>69</v>
      </c>
      <c r="LE79" s="221">
        <v>9539</v>
      </c>
      <c r="LF79" s="161">
        <v>15.318099999999999</v>
      </c>
      <c r="LG79" s="161">
        <v>2.0527000000000002</v>
      </c>
      <c r="LH79" s="161">
        <v>0.78210000000000002</v>
      </c>
      <c r="LI79" s="162">
        <f t="shared" si="226"/>
        <v>0.63825416666666668</v>
      </c>
      <c r="LJ79" s="53">
        <f t="shared" si="227"/>
        <v>35.937899999999999</v>
      </c>
      <c r="LK79" s="228">
        <f t="shared" si="169"/>
        <v>1.1499999999999844E-2</v>
      </c>
      <c r="LL79" s="231"/>
      <c r="LM79" s="231"/>
      <c r="LN79" s="231">
        <v>69</v>
      </c>
      <c r="LO79" s="226">
        <v>9539</v>
      </c>
      <c r="LP79" s="184">
        <v>15.334199999999999</v>
      </c>
      <c r="LQ79" s="184">
        <v>2.0548000000000002</v>
      </c>
      <c r="LR79" s="184">
        <v>0.78290000000000004</v>
      </c>
      <c r="LS79" s="162">
        <f t="shared" si="228"/>
        <v>0.63892499999999997</v>
      </c>
      <c r="LT79" s="53">
        <f t="shared" si="229"/>
        <v>35.937100000000001</v>
      </c>
      <c r="LU79" s="231">
        <f t="shared" si="170"/>
        <v>1.6099999999999781E-2</v>
      </c>
      <c r="LW79" s="231"/>
      <c r="LX79" s="231">
        <v>69</v>
      </c>
      <c r="LY79" s="234">
        <v>9539</v>
      </c>
      <c r="LZ79" s="184">
        <v>15.3523</v>
      </c>
      <c r="MA79" s="184">
        <v>2.0573000000000001</v>
      </c>
      <c r="MB79" s="184">
        <v>0.78380000000000005</v>
      </c>
      <c r="MC79" s="162">
        <f t="shared" si="230"/>
        <v>0.63967916666666669</v>
      </c>
      <c r="MD79" s="53">
        <f t="shared" si="231"/>
        <v>35.936199999999999</v>
      </c>
      <c r="ME79" s="231">
        <f t="shared" si="171"/>
        <v>1.8100000000000449E-2</v>
      </c>
      <c r="MF79" s="231"/>
      <c r="MG79" s="231"/>
      <c r="MH79" s="231">
        <v>69</v>
      </c>
      <c r="MI79" s="236">
        <v>9539</v>
      </c>
      <c r="MJ79" s="184">
        <v>15.370100000000001</v>
      </c>
      <c r="MK79" s="184">
        <v>2.0596999999999999</v>
      </c>
      <c r="ML79" s="184">
        <v>0.78469999999999995</v>
      </c>
      <c r="MM79" s="162">
        <f t="shared" si="232"/>
        <v>0.64042083333333333</v>
      </c>
      <c r="MN79" s="53">
        <f t="shared" si="233"/>
        <v>35.935299999999998</v>
      </c>
      <c r="MO79" s="231">
        <f t="shared" si="172"/>
        <v>1.7800000000001148E-2</v>
      </c>
      <c r="MP79" s="231"/>
      <c r="MQ79" s="231"/>
      <c r="MR79" s="231">
        <v>69</v>
      </c>
      <c r="MS79" s="238">
        <v>9539</v>
      </c>
      <c r="MT79" s="184">
        <v>15.4041</v>
      </c>
      <c r="MU79" s="184">
        <v>2.0642</v>
      </c>
      <c r="MV79" s="184">
        <v>0.78649999999999998</v>
      </c>
      <c r="MW79" s="162">
        <f t="shared" si="234"/>
        <v>0.64183749999999995</v>
      </c>
      <c r="MX79" s="53">
        <f t="shared" si="235"/>
        <v>35.933500000000002</v>
      </c>
      <c r="MY79" s="231">
        <f t="shared" si="173"/>
        <v>3.399999999999892E-2</v>
      </c>
      <c r="MZ79" s="246"/>
      <c r="NA79" s="246"/>
      <c r="NB79" s="246">
        <v>69</v>
      </c>
      <c r="NC79" s="242">
        <v>9539</v>
      </c>
      <c r="ND79" s="184">
        <v>15.438800000000001</v>
      </c>
      <c r="NE79" s="184">
        <v>2.0689000000000002</v>
      </c>
      <c r="NF79" s="184">
        <v>0.78820000000000001</v>
      </c>
      <c r="NG79" s="162">
        <f t="shared" si="236"/>
        <v>0.64328333333333332</v>
      </c>
      <c r="NH79" s="53">
        <f t="shared" si="237"/>
        <v>35.931799999999996</v>
      </c>
      <c r="NI79" s="232">
        <f t="shared" si="174"/>
        <v>3.4700000000000841E-2</v>
      </c>
      <c r="NK79" s="250"/>
      <c r="NL79" s="250">
        <v>69</v>
      </c>
      <c r="NM79" s="244">
        <v>9539</v>
      </c>
      <c r="NN79" s="184">
        <v>15.449</v>
      </c>
      <c r="NO79" s="184">
        <v>2.0701999999999998</v>
      </c>
      <c r="NP79" s="184">
        <v>0.78879999999999995</v>
      </c>
      <c r="NQ79" s="162">
        <f t="shared" si="133"/>
        <v>0.64370833333333333</v>
      </c>
      <c r="NR79" s="53">
        <f t="shared" si="238"/>
        <v>35.931199999999997</v>
      </c>
      <c r="NS79" s="232">
        <f t="shared" si="175"/>
        <v>1.0199999999999321E-2</v>
      </c>
      <c r="NU79" s="250"/>
      <c r="NV79" s="250">
        <v>69</v>
      </c>
      <c r="NW79" s="248">
        <v>9539</v>
      </c>
      <c r="NX79" s="184">
        <v>15.465199999999999</v>
      </c>
      <c r="NY79" s="184">
        <v>2.0724</v>
      </c>
      <c r="NZ79" s="184">
        <v>0.78959999999999997</v>
      </c>
      <c r="OA79" s="162">
        <f t="shared" si="134"/>
        <v>0.64438333333333331</v>
      </c>
      <c r="OB79" s="53">
        <f t="shared" si="239"/>
        <v>35.930399999999999</v>
      </c>
      <c r="OC79" s="232">
        <f t="shared" si="176"/>
        <v>1.6199999999999548E-2</v>
      </c>
      <c r="OE79" s="250"/>
      <c r="OF79" s="250">
        <v>69</v>
      </c>
      <c r="OG79" s="251">
        <v>9539</v>
      </c>
      <c r="OH79" s="184">
        <v>15.4733</v>
      </c>
      <c r="OI79" s="184">
        <v>2.0735000000000001</v>
      </c>
      <c r="OJ79" s="184">
        <v>0.79</v>
      </c>
      <c r="OK79" s="162">
        <f t="shared" si="135"/>
        <v>0.6447208333333333</v>
      </c>
      <c r="OL79" s="53">
        <f t="shared" si="240"/>
        <v>35.93</v>
      </c>
      <c r="OM79" s="232">
        <f t="shared" si="177"/>
        <v>8.1000000000006622E-3</v>
      </c>
      <c r="OP79" s="250">
        <v>69</v>
      </c>
      <c r="OQ79" s="253">
        <v>9539</v>
      </c>
      <c r="OR79" s="184">
        <f>VLOOKUP(OQ79,Sheet4!A12:F88,3,0)</f>
        <v>15.491899999999999</v>
      </c>
      <c r="OS79" s="184">
        <f>VLOOKUP(OQ79,Sheet4!A12:F88,4,0)</f>
        <v>2.0760000000000001</v>
      </c>
      <c r="OT79" s="184">
        <f>VLOOKUP(OQ79,Sheet4!A12:F88,5,0)</f>
        <v>0.79090000000000005</v>
      </c>
      <c r="OU79" s="162">
        <f t="shared" si="241"/>
        <v>0.64549583333333327</v>
      </c>
      <c r="OV79" s="53">
        <f t="shared" si="242"/>
        <v>35.929099999999998</v>
      </c>
      <c r="OW79" s="232">
        <f t="shared" si="178"/>
        <v>1.8599999999999284E-2</v>
      </c>
    </row>
    <row r="80" spans="1:413" ht="15.75" x14ac:dyDescent="0.25">
      <c r="A80">
        <v>72</v>
      </c>
      <c r="B80" s="13">
        <v>6710</v>
      </c>
      <c r="C80" s="13" t="s">
        <v>91</v>
      </c>
      <c r="D80" s="14">
        <v>38</v>
      </c>
      <c r="E80" s="8"/>
      <c r="F80" s="8"/>
      <c r="G80" s="8"/>
      <c r="H80" s="8"/>
      <c r="J80" s="23"/>
      <c r="K80" s="23"/>
      <c r="L80" s="23"/>
      <c r="M80" s="23"/>
      <c r="N80" s="25"/>
      <c r="O80" s="12"/>
      <c r="P80" s="19"/>
      <c r="R80" s="23"/>
      <c r="S80" s="23"/>
      <c r="T80" s="23"/>
      <c r="U80" s="23"/>
      <c r="V80" s="25"/>
      <c r="W80" s="12"/>
      <c r="X80" s="19"/>
      <c r="Z80" s="34">
        <v>6710</v>
      </c>
      <c r="AA80" s="9">
        <v>2.5999999999999999E-3</v>
      </c>
      <c r="AB80" s="9">
        <v>2.9999999999999997E-4</v>
      </c>
      <c r="AC80" s="9">
        <v>1E-4</v>
      </c>
      <c r="AD80" s="24">
        <f>AA80/24</f>
        <v>1.0833333333333333E-4</v>
      </c>
      <c r="AE80" s="10">
        <f>D80-AC80</f>
        <v>37.999899999999997</v>
      </c>
      <c r="AF80" s="79"/>
      <c r="AG80">
        <v>72</v>
      </c>
      <c r="AH80" s="1">
        <v>9543</v>
      </c>
      <c r="AI80" s="1" t="s">
        <v>1</v>
      </c>
      <c r="AJ80" s="2">
        <v>36.94</v>
      </c>
      <c r="AL80" s="32">
        <v>9543</v>
      </c>
      <c r="AM80" s="9">
        <v>10.7361</v>
      </c>
      <c r="AN80" s="9">
        <v>1.4387000000000001</v>
      </c>
      <c r="AO80" s="9">
        <v>0.54810000000000003</v>
      </c>
      <c r="AP80" s="37">
        <f t="shared" si="146"/>
        <v>0.4473375</v>
      </c>
      <c r="AQ80" s="53">
        <f t="shared" si="243"/>
        <v>36.3919</v>
      </c>
      <c r="AT80" s="39"/>
      <c r="AU80" s="38">
        <v>9543</v>
      </c>
      <c r="AV80" s="9">
        <v>10.783200000000001</v>
      </c>
      <c r="AW80" s="43">
        <v>1.4450000000000001</v>
      </c>
      <c r="AX80" s="43">
        <v>0.55049999999999999</v>
      </c>
      <c r="AY80" s="47">
        <f t="shared" si="183"/>
        <v>0.44930000000000003</v>
      </c>
      <c r="AZ80" s="56">
        <f t="shared" si="244"/>
        <v>36.389499999999998</v>
      </c>
      <c r="BD80" s="54">
        <v>9543</v>
      </c>
      <c r="BE80" s="53">
        <v>10.788500000000001</v>
      </c>
      <c r="BF80" s="58">
        <v>1.4457</v>
      </c>
      <c r="BG80" s="58">
        <v>0.55079999999999996</v>
      </c>
      <c r="BH80" s="47">
        <f t="shared" si="184"/>
        <v>0.44952083333333337</v>
      </c>
      <c r="BI80" s="56">
        <f t="shared" si="185"/>
        <v>36.389199999999995</v>
      </c>
      <c r="BJ80" s="88"/>
      <c r="BK80" s="88"/>
      <c r="BL80" s="88"/>
      <c r="BN80" s="9">
        <v>9543</v>
      </c>
      <c r="BO80" s="53">
        <v>10.808400000000001</v>
      </c>
      <c r="BP80" s="53">
        <v>1.4483999999999999</v>
      </c>
      <c r="BQ80" s="53">
        <v>0.55179999999999996</v>
      </c>
      <c r="BR80" s="53">
        <f t="shared" si="186"/>
        <v>0.45035000000000003</v>
      </c>
      <c r="BS80" s="53">
        <f t="shared" si="187"/>
        <v>36.388199999999998</v>
      </c>
      <c r="BV80" s="88"/>
      <c r="BX80" s="93">
        <v>9543</v>
      </c>
      <c r="BY80" s="9">
        <v>10.8476</v>
      </c>
      <c r="BZ80" s="9">
        <v>1.4536</v>
      </c>
      <c r="CA80" s="9">
        <v>0.55379999999999996</v>
      </c>
      <c r="CB80" s="58">
        <f t="shared" si="188"/>
        <v>0.45198333333333335</v>
      </c>
      <c r="CC80" s="53">
        <f t="shared" si="189"/>
        <v>36.386199999999995</v>
      </c>
      <c r="CF80" s="88"/>
      <c r="CG80">
        <v>70</v>
      </c>
      <c r="CH80" s="93">
        <v>9543</v>
      </c>
      <c r="CI80" s="93">
        <v>10.8813</v>
      </c>
      <c r="CJ80" s="9">
        <v>1.4581</v>
      </c>
      <c r="CK80" s="9">
        <v>0.55549999999999999</v>
      </c>
      <c r="CL80" s="47">
        <f t="shared" si="147"/>
        <v>0.4533875</v>
      </c>
      <c r="CM80" s="53">
        <f t="shared" si="190"/>
        <v>36.384499999999996</v>
      </c>
      <c r="CQ80">
        <v>70</v>
      </c>
      <c r="CR80" s="98">
        <v>9543</v>
      </c>
      <c r="CS80" s="101">
        <v>10.9237</v>
      </c>
      <c r="CT80" s="101">
        <v>1.4638</v>
      </c>
      <c r="CU80" s="101">
        <v>0.55769999999999997</v>
      </c>
      <c r="CV80" s="47">
        <f t="shared" si="148"/>
        <v>0.45515416666666669</v>
      </c>
      <c r="CW80" s="53">
        <f t="shared" si="159"/>
        <v>36.382300000000001</v>
      </c>
      <c r="DA80">
        <v>70</v>
      </c>
      <c r="DB80" s="106">
        <v>9543</v>
      </c>
      <c r="DC80" s="107">
        <v>10.927899999999999</v>
      </c>
      <c r="DD80" s="107">
        <v>1.4643999999999999</v>
      </c>
      <c r="DE80" s="107">
        <v>0.55789999999999995</v>
      </c>
      <c r="DF80" s="47">
        <f t="shared" si="136"/>
        <v>0.45532916666666662</v>
      </c>
      <c r="DG80" s="53">
        <f t="shared" si="245"/>
        <v>36.382100000000001</v>
      </c>
      <c r="DK80">
        <v>70</v>
      </c>
      <c r="DL80" s="110">
        <v>9543</v>
      </c>
      <c r="DM80" s="53">
        <v>10.9762</v>
      </c>
      <c r="DN80" s="53">
        <v>1.4709000000000001</v>
      </c>
      <c r="DO80" s="53">
        <v>0.56040000000000001</v>
      </c>
      <c r="DP80" s="47">
        <f t="shared" si="137"/>
        <v>0.4573416666666667</v>
      </c>
      <c r="DQ80" s="53">
        <f t="shared" si="191"/>
        <v>36.379599999999996</v>
      </c>
      <c r="DS80" s="3">
        <f t="shared" si="192"/>
        <v>4.830000000000112E-2</v>
      </c>
      <c r="DU80">
        <v>70</v>
      </c>
      <c r="DV80" s="115">
        <v>9543</v>
      </c>
      <c r="DW80" s="53">
        <f>Sheet3!B$25</f>
        <v>11.0063</v>
      </c>
      <c r="DX80" s="53">
        <f>Sheet3!C$25</f>
        <v>1.4749000000000001</v>
      </c>
      <c r="DY80" s="53">
        <f>Sheet3!D$25</f>
        <v>0.56189999999999996</v>
      </c>
      <c r="DZ80" s="47">
        <f t="shared" si="138"/>
        <v>0.45859583333333331</v>
      </c>
      <c r="EA80" s="53">
        <f t="shared" si="246"/>
        <v>36.378099999999996</v>
      </c>
      <c r="EB80" s="3"/>
      <c r="EE80">
        <v>70</v>
      </c>
      <c r="EF80" s="118">
        <v>9543</v>
      </c>
      <c r="EG80" s="9">
        <v>11.0534</v>
      </c>
      <c r="EH80" s="9">
        <v>1.4812000000000001</v>
      </c>
      <c r="EI80" s="9">
        <v>0.56430000000000002</v>
      </c>
      <c r="EJ80" s="47">
        <f t="shared" si="149"/>
        <v>0.46055833333333335</v>
      </c>
      <c r="EK80" s="53">
        <f t="shared" si="193"/>
        <v>36.375699999999995</v>
      </c>
      <c r="EM80" s="3">
        <f t="shared" si="194"/>
        <v>-2.400000000001512E-3</v>
      </c>
      <c r="EN80" s="3"/>
      <c r="EO80">
        <v>70</v>
      </c>
      <c r="EP80" s="121">
        <v>9543</v>
      </c>
      <c r="EQ80" s="122">
        <v>11.147</v>
      </c>
      <c r="ER80" s="122">
        <v>1.4937</v>
      </c>
      <c r="ES80" s="129">
        <v>0.56910000000000005</v>
      </c>
      <c r="ET80" s="130">
        <f t="shared" si="150"/>
        <v>0.46445833333333336</v>
      </c>
      <c r="EU80" s="131">
        <f t="shared" si="195"/>
        <v>36.370899999999999</v>
      </c>
      <c r="EX80" s="3"/>
      <c r="EY80">
        <v>70</v>
      </c>
      <c r="EZ80" s="135">
        <v>9543</v>
      </c>
      <c r="FA80" s="135">
        <v>11.1911</v>
      </c>
      <c r="FB80" s="135">
        <v>1.4997</v>
      </c>
      <c r="FC80" s="135">
        <v>0.57140000000000002</v>
      </c>
      <c r="FD80" s="136">
        <f t="shared" si="151"/>
        <v>0.46629583333333335</v>
      </c>
      <c r="FE80" s="131">
        <f t="shared" si="196"/>
        <v>36.368600000000001</v>
      </c>
      <c r="FG80" s="123">
        <f t="shared" si="197"/>
        <v>-2.2999999999981924E-3</v>
      </c>
      <c r="FH80" s="3"/>
      <c r="FI80">
        <v>70</v>
      </c>
      <c r="FJ80" s="145">
        <v>9543</v>
      </c>
      <c r="FK80" s="9">
        <v>11.2499</v>
      </c>
      <c r="FL80" s="9">
        <v>1.5075000000000001</v>
      </c>
      <c r="FM80" s="9">
        <v>0.57440000000000002</v>
      </c>
      <c r="FN80" s="146">
        <f t="shared" si="247"/>
        <v>0.46874583333333336</v>
      </c>
      <c r="FO80" s="131">
        <f t="shared" si="198"/>
        <v>36.365600000000001</v>
      </c>
      <c r="FP80" s="123">
        <f t="shared" si="199"/>
        <v>-3.0000000000001137E-3</v>
      </c>
      <c r="FS80">
        <v>70</v>
      </c>
      <c r="FT80" s="147">
        <v>9543</v>
      </c>
      <c r="FU80" s="148">
        <v>11.262</v>
      </c>
      <c r="FV80" s="148">
        <v>1.5092000000000001</v>
      </c>
      <c r="FW80" s="148">
        <v>0.57499999999999996</v>
      </c>
      <c r="FX80" s="150">
        <f t="shared" si="248"/>
        <v>0.46925</v>
      </c>
      <c r="FY80" s="131">
        <f t="shared" si="249"/>
        <v>36.364999999999995</v>
      </c>
      <c r="FZ80">
        <f t="shared" si="200"/>
        <v>1.2100000000000222E-2</v>
      </c>
      <c r="GC80">
        <v>70</v>
      </c>
      <c r="GD80" s="151">
        <v>9543</v>
      </c>
      <c r="GE80" s="151">
        <v>11.2919</v>
      </c>
      <c r="GF80" s="151">
        <v>1.5132000000000001</v>
      </c>
      <c r="GG80" s="151">
        <v>0.57650000000000001</v>
      </c>
      <c r="GH80" s="153">
        <f t="shared" si="250"/>
        <v>0.47049583333333334</v>
      </c>
      <c r="GI80" s="131">
        <f t="shared" si="201"/>
        <v>36.363499999999995</v>
      </c>
      <c r="GJ80">
        <f t="shared" si="160"/>
        <v>2.9899999999999594E-2</v>
      </c>
      <c r="GM80">
        <v>70</v>
      </c>
      <c r="GN80" s="155">
        <v>9543</v>
      </c>
      <c r="GO80" s="155">
        <v>11.3553</v>
      </c>
      <c r="GP80" s="155">
        <v>1.5217000000000001</v>
      </c>
      <c r="GQ80" s="155">
        <v>0.57979999999999998</v>
      </c>
      <c r="GR80" s="58">
        <f t="shared" si="202"/>
        <v>0.47313749999999999</v>
      </c>
      <c r="GS80" s="131">
        <f t="shared" si="203"/>
        <v>36.360199999999999</v>
      </c>
      <c r="GT80">
        <f t="shared" si="161"/>
        <v>6.3399999999999679E-2</v>
      </c>
      <c r="GW80">
        <v>70</v>
      </c>
      <c r="GX80" s="157">
        <v>9543</v>
      </c>
      <c r="GY80" s="161">
        <f>VLOOKUP(GX80,Sheet3!$AJ$7:$AN$83,2,0)</f>
        <v>11.4358</v>
      </c>
      <c r="GZ80" s="161">
        <f>VLOOKUP(GX80,Sheet3!$AJ$7:$AN$83,3,0)</f>
        <v>1.5324</v>
      </c>
      <c r="HA80" s="161">
        <f>VLOOKUP(GX80,Sheet3!$AJ$7:$AN$83,4,0)</f>
        <v>0.58389999999999997</v>
      </c>
      <c r="HB80" s="162">
        <f t="shared" si="152"/>
        <v>0.4764916666666667</v>
      </c>
      <c r="HC80" s="131">
        <f t="shared" si="204"/>
        <v>36.356099999999998</v>
      </c>
      <c r="HD80" s="159">
        <f t="shared" si="162"/>
        <v>8.0500000000000682E-2</v>
      </c>
      <c r="HE80" s="159">
        <f t="shared" si="163"/>
        <v>4.0999999999999925E-3</v>
      </c>
      <c r="HG80" s="159"/>
      <c r="HH80" s="159">
        <v>70</v>
      </c>
      <c r="HI80" s="158">
        <v>9543</v>
      </c>
      <c r="HJ80" s="161">
        <v>11.468299999999999</v>
      </c>
      <c r="HK80" s="161">
        <v>1.5367999999999999</v>
      </c>
      <c r="HL80" s="161">
        <v>0.58550000000000002</v>
      </c>
      <c r="HM80" s="162">
        <f t="shared" si="153"/>
        <v>0.4778458333333333</v>
      </c>
      <c r="HN80" s="131">
        <f t="shared" si="205"/>
        <v>36.354499999999994</v>
      </c>
      <c r="HO80" s="159">
        <f t="shared" si="206"/>
        <v>3.2499999999998863E-2</v>
      </c>
      <c r="HQ80" s="183"/>
      <c r="HR80" s="183">
        <v>70</v>
      </c>
      <c r="HS80" s="178">
        <v>9543</v>
      </c>
      <c r="HT80" s="184">
        <v>11.4895</v>
      </c>
      <c r="HU80" s="184">
        <v>1.5396000000000001</v>
      </c>
      <c r="HV80" s="184">
        <v>0.58660000000000001</v>
      </c>
      <c r="HW80" s="171">
        <f t="shared" si="154"/>
        <v>0.47872916666666665</v>
      </c>
      <c r="HX80" s="53">
        <f t="shared" si="207"/>
        <v>36.353400000000001</v>
      </c>
      <c r="HY80" s="183">
        <f t="shared" si="208"/>
        <v>2.120000000000033E-2</v>
      </c>
      <c r="IA80" s="194"/>
      <c r="IB80" s="194">
        <v>70</v>
      </c>
      <c r="IC80" s="193">
        <v>9543</v>
      </c>
      <c r="ID80" s="161">
        <v>11.498699999999999</v>
      </c>
      <c r="IE80" s="184">
        <v>1.5408999999999999</v>
      </c>
      <c r="IF80" s="184">
        <v>0.58709999999999996</v>
      </c>
      <c r="IG80" s="171">
        <f t="shared" si="209"/>
        <v>0.4791125</v>
      </c>
      <c r="IH80" s="53">
        <f t="shared" si="210"/>
        <v>36.352899999999998</v>
      </c>
      <c r="II80" s="194">
        <f t="shared" si="211"/>
        <v>9.1999999999998749E-3</v>
      </c>
      <c r="IL80" s="199">
        <v>70</v>
      </c>
      <c r="IM80" s="197">
        <v>9543</v>
      </c>
      <c r="IN80" s="161">
        <v>11.546900000000001</v>
      </c>
      <c r="IO80" s="184">
        <v>1.5472999999999999</v>
      </c>
      <c r="IP80" s="184">
        <v>0.58950000000000002</v>
      </c>
      <c r="IQ80" s="171">
        <f t="shared" si="212"/>
        <v>0.48112083333333339</v>
      </c>
      <c r="IR80" s="53">
        <f t="shared" si="213"/>
        <v>36.350499999999997</v>
      </c>
      <c r="IS80" s="199">
        <f t="shared" si="214"/>
        <v>4.8200000000001353E-2</v>
      </c>
      <c r="IU80" s="202"/>
      <c r="IV80" s="202">
        <v>70</v>
      </c>
      <c r="IW80" s="201">
        <v>9543</v>
      </c>
      <c r="IX80" s="184">
        <v>11.612</v>
      </c>
      <c r="IY80" s="184">
        <v>1.5561</v>
      </c>
      <c r="IZ80" s="184">
        <v>0.59289999999999998</v>
      </c>
      <c r="JA80" s="162">
        <f t="shared" si="155"/>
        <v>0.48383333333333334</v>
      </c>
      <c r="JB80" s="53">
        <f t="shared" si="215"/>
        <v>36.347099999999998</v>
      </c>
      <c r="JC80" s="202">
        <f t="shared" si="216"/>
        <v>6.509999999999927E-2</v>
      </c>
      <c r="JE80" s="204"/>
      <c r="JF80" s="204">
        <v>70</v>
      </c>
      <c r="JG80" s="203">
        <v>9543</v>
      </c>
      <c r="JH80" s="161">
        <v>11.6327</v>
      </c>
      <c r="JI80" s="184">
        <v>1.5588</v>
      </c>
      <c r="JJ80" s="184">
        <v>0.59389999999999998</v>
      </c>
      <c r="JK80" s="162">
        <f t="shared" si="217"/>
        <v>0.48469583333333333</v>
      </c>
      <c r="JL80" s="53">
        <f t="shared" si="218"/>
        <v>36.3461</v>
      </c>
      <c r="JM80" s="204">
        <f t="shared" si="164"/>
        <v>2.0699999999999719E-2</v>
      </c>
      <c r="JN80" s="204"/>
      <c r="JP80" s="209">
        <v>70</v>
      </c>
      <c r="JQ80" s="205">
        <v>9543</v>
      </c>
      <c r="JR80" s="161">
        <v>11.6493</v>
      </c>
      <c r="JS80" s="184">
        <v>1.5610999999999999</v>
      </c>
      <c r="JT80" s="184">
        <v>0.5948</v>
      </c>
      <c r="JU80" s="162">
        <f t="shared" si="219"/>
        <v>0.48538750000000003</v>
      </c>
      <c r="JV80" s="53">
        <f t="shared" si="220"/>
        <v>36.345199999999998</v>
      </c>
      <c r="JW80" s="209">
        <f t="shared" si="165"/>
        <v>1.6600000000000392E-2</v>
      </c>
      <c r="JX80" s="213"/>
      <c r="JY80" s="213"/>
      <c r="JZ80" s="213">
        <v>70</v>
      </c>
      <c r="KA80" s="206">
        <v>9543</v>
      </c>
      <c r="KB80" s="184">
        <v>11.6883</v>
      </c>
      <c r="KC80" s="184">
        <v>1.5663</v>
      </c>
      <c r="KD80" s="184">
        <v>0.5968</v>
      </c>
      <c r="KE80" s="162">
        <f t="shared" si="221"/>
        <v>0.48701250000000001</v>
      </c>
      <c r="KF80" s="53">
        <f t="shared" si="222"/>
        <v>36.343199999999996</v>
      </c>
      <c r="KG80" s="213">
        <f t="shared" si="166"/>
        <v>3.8999999999999702E-2</v>
      </c>
      <c r="KI80" s="219"/>
      <c r="KJ80" s="219">
        <v>70</v>
      </c>
      <c r="KK80" s="214">
        <v>9543</v>
      </c>
      <c r="KL80" s="161">
        <v>11.7013</v>
      </c>
      <c r="KM80" s="161">
        <v>1.5680000000000001</v>
      </c>
      <c r="KN80" s="161">
        <v>0.59740000000000004</v>
      </c>
      <c r="KO80" s="162">
        <f t="shared" si="156"/>
        <v>0.48755416666666668</v>
      </c>
      <c r="KP80" s="53">
        <f t="shared" si="223"/>
        <v>36.342599999999997</v>
      </c>
      <c r="KQ80" s="219">
        <f t="shared" si="167"/>
        <v>1.2999999999999901E-2</v>
      </c>
      <c r="KT80" s="223">
        <v>70</v>
      </c>
      <c r="KU80" s="216">
        <v>9543</v>
      </c>
      <c r="KV80" s="161">
        <v>11.715</v>
      </c>
      <c r="KW80" s="161">
        <v>1.5699000000000001</v>
      </c>
      <c r="KX80" s="161">
        <v>0.59809999999999997</v>
      </c>
      <c r="KY80" s="162">
        <f t="shared" si="224"/>
        <v>0.48812499999999998</v>
      </c>
      <c r="KZ80" s="53">
        <f t="shared" si="225"/>
        <v>36.341899999999995</v>
      </c>
      <c r="LA80" s="223">
        <f t="shared" si="168"/>
        <v>1.3700000000000045E-2</v>
      </c>
      <c r="LD80" s="228">
        <v>70</v>
      </c>
      <c r="LE80" s="221">
        <v>9543</v>
      </c>
      <c r="LF80" s="161">
        <v>11.7265</v>
      </c>
      <c r="LG80" s="161">
        <v>1.5713999999999999</v>
      </c>
      <c r="LH80" s="161">
        <v>0.59870000000000001</v>
      </c>
      <c r="LI80" s="162">
        <f t="shared" si="226"/>
        <v>0.48860416666666667</v>
      </c>
      <c r="LJ80" s="53">
        <f t="shared" si="227"/>
        <v>36.341299999999997</v>
      </c>
      <c r="LK80" s="228">
        <f t="shared" si="169"/>
        <v>1.1499999999999844E-2</v>
      </c>
      <c r="LL80" s="231"/>
      <c r="LM80" s="231"/>
      <c r="LN80" s="231">
        <v>70</v>
      </c>
      <c r="LO80" s="226">
        <v>9543</v>
      </c>
      <c r="LP80" s="184">
        <v>11.742599999999999</v>
      </c>
      <c r="LQ80" s="184">
        <v>1.5736000000000001</v>
      </c>
      <c r="LR80" s="184">
        <v>0.59950000000000003</v>
      </c>
      <c r="LS80" s="162">
        <f t="shared" si="228"/>
        <v>0.48927499999999996</v>
      </c>
      <c r="LT80" s="53">
        <f t="shared" si="229"/>
        <v>36.340499999999999</v>
      </c>
      <c r="LU80" s="231">
        <f t="shared" si="170"/>
        <v>1.6099999999999781E-2</v>
      </c>
      <c r="LW80" s="231"/>
      <c r="LX80" s="231">
        <v>70</v>
      </c>
      <c r="LY80" s="234">
        <v>9543</v>
      </c>
      <c r="LZ80" s="184">
        <v>11.7607</v>
      </c>
      <c r="MA80" s="184">
        <v>1.5760000000000001</v>
      </c>
      <c r="MB80" s="184">
        <v>0.60040000000000004</v>
      </c>
      <c r="MC80" s="162">
        <f t="shared" si="230"/>
        <v>0.49002916666666668</v>
      </c>
      <c r="MD80" s="53">
        <f t="shared" si="231"/>
        <v>36.339599999999997</v>
      </c>
      <c r="ME80" s="231">
        <f t="shared" si="171"/>
        <v>1.8100000000000449E-2</v>
      </c>
      <c r="MF80" s="231"/>
      <c r="MG80" s="231"/>
      <c r="MH80" s="231">
        <v>70</v>
      </c>
      <c r="MI80" s="236">
        <v>9543</v>
      </c>
      <c r="MJ80" s="184">
        <v>11.778499999999999</v>
      </c>
      <c r="MK80" s="184">
        <v>1.5784</v>
      </c>
      <c r="ML80" s="184">
        <v>0.60140000000000005</v>
      </c>
      <c r="MM80" s="162">
        <f t="shared" si="232"/>
        <v>0.49077083333333332</v>
      </c>
      <c r="MN80" s="53">
        <f t="shared" si="233"/>
        <v>36.3386</v>
      </c>
      <c r="MO80" s="231">
        <f t="shared" si="172"/>
        <v>1.7799999999999372E-2</v>
      </c>
      <c r="MP80" s="231"/>
      <c r="MQ80" s="231"/>
      <c r="MR80" s="231">
        <v>70</v>
      </c>
      <c r="MS80" s="238">
        <v>9543</v>
      </c>
      <c r="MT80" s="184">
        <v>11.8125</v>
      </c>
      <c r="MU80" s="184">
        <v>1.5829</v>
      </c>
      <c r="MV80" s="184">
        <v>0.60309999999999997</v>
      </c>
      <c r="MW80" s="162">
        <f t="shared" si="234"/>
        <v>0.4921875</v>
      </c>
      <c r="MX80" s="53">
        <f t="shared" si="235"/>
        <v>36.3369</v>
      </c>
      <c r="MY80" s="231">
        <f t="shared" si="173"/>
        <v>3.4000000000000696E-2</v>
      </c>
      <c r="MZ80" s="246"/>
      <c r="NA80" s="246"/>
      <c r="NB80" s="246">
        <v>70</v>
      </c>
      <c r="NC80" s="242">
        <v>9543</v>
      </c>
      <c r="ND80" s="184">
        <v>11.847200000000001</v>
      </c>
      <c r="NE80" s="184">
        <v>1.5875999999999999</v>
      </c>
      <c r="NF80" s="184">
        <v>0.60489999999999999</v>
      </c>
      <c r="NG80" s="162">
        <f t="shared" si="236"/>
        <v>0.49363333333333337</v>
      </c>
      <c r="NH80" s="53">
        <f t="shared" si="237"/>
        <v>36.335099999999997</v>
      </c>
      <c r="NI80" s="232">
        <f t="shared" si="174"/>
        <v>3.4700000000000841E-2</v>
      </c>
      <c r="NK80" s="250"/>
      <c r="NL80" s="250">
        <v>70</v>
      </c>
      <c r="NM80" s="244">
        <v>9543</v>
      </c>
      <c r="NN80" s="184">
        <v>11.8574</v>
      </c>
      <c r="NO80" s="184">
        <v>1.5889</v>
      </c>
      <c r="NP80" s="184">
        <v>0.60540000000000005</v>
      </c>
      <c r="NQ80" s="162">
        <f t="shared" si="133"/>
        <v>0.49405833333333332</v>
      </c>
      <c r="NR80" s="53">
        <f t="shared" si="238"/>
        <v>36.334599999999995</v>
      </c>
      <c r="NS80" s="232">
        <f t="shared" si="175"/>
        <v>1.0199999999999321E-2</v>
      </c>
      <c r="NU80" s="250"/>
      <c r="NV80" s="250">
        <v>70</v>
      </c>
      <c r="NW80" s="248">
        <v>9543</v>
      </c>
      <c r="NX80" s="184">
        <v>11.8736</v>
      </c>
      <c r="NY80" s="184">
        <v>1.5911</v>
      </c>
      <c r="NZ80" s="184">
        <v>0.60619999999999996</v>
      </c>
      <c r="OA80" s="162">
        <f t="shared" si="134"/>
        <v>0.4947333333333333</v>
      </c>
      <c r="OB80" s="53">
        <f t="shared" si="239"/>
        <v>36.333799999999997</v>
      </c>
      <c r="OC80" s="232">
        <f t="shared" si="176"/>
        <v>1.6199999999999548E-2</v>
      </c>
      <c r="OE80" s="250"/>
      <c r="OF80" s="250">
        <v>70</v>
      </c>
      <c r="OG80" s="251">
        <v>9543</v>
      </c>
      <c r="OH80" s="184">
        <v>11.8817</v>
      </c>
      <c r="OI80" s="184">
        <v>1.5922000000000001</v>
      </c>
      <c r="OJ80" s="184">
        <v>0.60660000000000003</v>
      </c>
      <c r="OK80" s="162">
        <f t="shared" si="135"/>
        <v>0.49507083333333335</v>
      </c>
      <c r="OL80" s="53">
        <f t="shared" si="240"/>
        <v>36.333399999999997</v>
      </c>
      <c r="OM80" s="232">
        <f t="shared" si="177"/>
        <v>8.1000000000006622E-3</v>
      </c>
      <c r="OP80" s="250">
        <v>70</v>
      </c>
      <c r="OQ80" s="253">
        <v>9543</v>
      </c>
      <c r="OR80" s="184">
        <f>VLOOKUP(OQ80,Sheet4!A13:F89,3,0)</f>
        <v>11.9003</v>
      </c>
      <c r="OS80" s="184">
        <f>VLOOKUP(OQ80,Sheet4!A13:F89,4,0)</f>
        <v>1.5947</v>
      </c>
      <c r="OT80" s="184">
        <f>VLOOKUP(OQ80,Sheet4!A13:F89,5,0)</f>
        <v>0.60760000000000003</v>
      </c>
      <c r="OU80" s="162">
        <f t="shared" si="241"/>
        <v>0.49584583333333332</v>
      </c>
      <c r="OV80" s="53">
        <f t="shared" si="242"/>
        <v>36.3324</v>
      </c>
      <c r="OW80" s="232">
        <f t="shared" si="178"/>
        <v>1.8599999999999284E-2</v>
      </c>
    </row>
    <row r="81" spans="1:413" ht="15.75" x14ac:dyDescent="0.25">
      <c r="A81">
        <v>73</v>
      </c>
      <c r="B81" s="13">
        <v>6688</v>
      </c>
      <c r="C81" s="13" t="s">
        <v>91</v>
      </c>
      <c r="D81" s="14">
        <v>38</v>
      </c>
      <c r="E81" s="8"/>
      <c r="F81" s="8"/>
      <c r="G81" s="8"/>
      <c r="H81" s="8"/>
      <c r="J81" s="23"/>
      <c r="K81" s="23"/>
      <c r="L81" s="23"/>
      <c r="M81" s="23"/>
      <c r="N81" s="25"/>
      <c r="O81" s="12"/>
      <c r="P81" s="19"/>
      <c r="R81" s="23"/>
      <c r="S81" s="23"/>
      <c r="T81" s="23"/>
      <c r="U81" s="23"/>
      <c r="V81" s="25"/>
      <c r="W81" s="12"/>
      <c r="X81" s="19"/>
      <c r="Z81" s="34">
        <v>6688</v>
      </c>
      <c r="AA81" s="9">
        <v>2.9000000000000001E-2</v>
      </c>
      <c r="AB81" s="9">
        <v>3.8999999999999998E-3</v>
      </c>
      <c r="AC81" s="9">
        <v>1.5E-3</v>
      </c>
      <c r="AD81" s="24">
        <f>AA81/24</f>
        <v>1.2083333333333334E-3</v>
      </c>
      <c r="AE81" s="10">
        <f>D81-AC81</f>
        <v>37.9985</v>
      </c>
      <c r="AF81" s="79"/>
      <c r="AG81">
        <v>73</v>
      </c>
      <c r="AH81" s="84">
        <v>6688</v>
      </c>
      <c r="AI81" s="84" t="s">
        <v>1</v>
      </c>
      <c r="AJ81" s="85">
        <v>38</v>
      </c>
      <c r="AL81" s="32">
        <v>6688</v>
      </c>
      <c r="AM81" s="9">
        <v>0.1399</v>
      </c>
      <c r="AN81" s="9">
        <v>1.8700000000000001E-2</v>
      </c>
      <c r="AO81" s="9">
        <v>7.1000000000000004E-3</v>
      </c>
      <c r="AP81" s="37">
        <f t="shared" si="146"/>
        <v>5.8291666666666665E-3</v>
      </c>
      <c r="AQ81" s="53">
        <f t="shared" si="243"/>
        <v>37.992899999999999</v>
      </c>
      <c r="AT81" s="39"/>
      <c r="AU81" s="38">
        <v>6688</v>
      </c>
      <c r="AV81" s="9">
        <v>0.187</v>
      </c>
      <c r="AW81" s="43">
        <v>2.5100000000000001E-2</v>
      </c>
      <c r="AX81" s="43">
        <v>9.4999999999999998E-3</v>
      </c>
      <c r="AY81" s="47">
        <f t="shared" si="183"/>
        <v>7.7916666666666664E-3</v>
      </c>
      <c r="AZ81" s="56">
        <f t="shared" si="244"/>
        <v>37.990499999999997</v>
      </c>
      <c r="BD81" s="54">
        <v>6688</v>
      </c>
      <c r="BE81" s="53">
        <v>0.1923</v>
      </c>
      <c r="BF81" s="58">
        <v>2.58E-2</v>
      </c>
      <c r="BG81" s="58">
        <v>9.7999999999999997E-3</v>
      </c>
      <c r="BH81" s="47">
        <f t="shared" si="184"/>
        <v>8.0125000000000005E-3</v>
      </c>
      <c r="BI81" s="56">
        <f t="shared" si="185"/>
        <v>37.990200000000002</v>
      </c>
      <c r="BJ81" s="88"/>
      <c r="BK81" s="88"/>
      <c r="BL81" s="88"/>
      <c r="BN81" s="9">
        <v>6688</v>
      </c>
      <c r="BO81" s="53">
        <v>0.2122</v>
      </c>
      <c r="BP81" s="53">
        <v>2.8400000000000002E-2</v>
      </c>
      <c r="BQ81" s="53">
        <v>1.0800000000000001E-2</v>
      </c>
      <c r="BR81" s="53">
        <f t="shared" si="186"/>
        <v>8.8416666666666661E-3</v>
      </c>
      <c r="BS81" s="53">
        <f t="shared" si="187"/>
        <v>37.989199999999997</v>
      </c>
      <c r="BV81" s="88"/>
      <c r="BX81" s="93">
        <v>6688</v>
      </c>
      <c r="BY81" s="9">
        <v>0.25140000000000001</v>
      </c>
      <c r="BZ81" s="9">
        <v>3.3700000000000001E-2</v>
      </c>
      <c r="CA81" s="9">
        <v>1.2800000000000001E-2</v>
      </c>
      <c r="CB81" s="58">
        <f t="shared" si="188"/>
        <v>1.0475E-2</v>
      </c>
      <c r="CC81" s="53">
        <f t="shared" si="189"/>
        <v>37.987200000000001</v>
      </c>
      <c r="CF81" s="88"/>
      <c r="CG81">
        <v>71</v>
      </c>
      <c r="CH81" s="93">
        <v>6688</v>
      </c>
      <c r="CI81" s="93">
        <v>0.28510000000000002</v>
      </c>
      <c r="CJ81" s="9">
        <v>3.8199999999999998E-2</v>
      </c>
      <c r="CK81" s="9">
        <v>1.46E-2</v>
      </c>
      <c r="CL81" s="47">
        <f t="shared" si="147"/>
        <v>1.1879166666666668E-2</v>
      </c>
      <c r="CM81" s="53">
        <f t="shared" si="190"/>
        <v>37.985399999999998</v>
      </c>
      <c r="CQ81">
        <v>71</v>
      </c>
      <c r="CR81" s="98">
        <v>6688</v>
      </c>
      <c r="CS81" s="101">
        <v>0.32750000000000001</v>
      </c>
      <c r="CT81" s="101">
        <v>4.3900000000000002E-2</v>
      </c>
      <c r="CU81" s="101">
        <v>1.67E-2</v>
      </c>
      <c r="CV81" s="47">
        <f t="shared" si="148"/>
        <v>1.3645833333333334E-2</v>
      </c>
      <c r="CW81" s="53">
        <f t="shared" si="159"/>
        <v>37.9833</v>
      </c>
      <c r="DA81">
        <v>71</v>
      </c>
      <c r="DB81" s="106">
        <v>6688</v>
      </c>
      <c r="DC81" s="107">
        <v>0.33169999999999999</v>
      </c>
      <c r="DD81" s="107">
        <v>4.4400000000000002E-2</v>
      </c>
      <c r="DE81" s="107">
        <v>1.6899999999999998E-2</v>
      </c>
      <c r="DF81" s="47">
        <f t="shared" si="136"/>
        <v>1.3820833333333333E-2</v>
      </c>
      <c r="DG81" s="53">
        <f t="shared" si="245"/>
        <v>37.9831</v>
      </c>
      <c r="DK81">
        <v>71</v>
      </c>
      <c r="DL81" s="110">
        <v>6688</v>
      </c>
      <c r="DM81" s="53">
        <v>0.38</v>
      </c>
      <c r="DN81" s="53">
        <v>5.0900000000000001E-2</v>
      </c>
      <c r="DO81" s="53">
        <v>1.9400000000000001E-2</v>
      </c>
      <c r="DP81" s="47">
        <f t="shared" si="137"/>
        <v>1.5833333333333335E-2</v>
      </c>
      <c r="DQ81" s="53">
        <f t="shared" si="191"/>
        <v>37.980600000000003</v>
      </c>
      <c r="DS81" s="3">
        <f t="shared" si="192"/>
        <v>4.830000000000001E-2</v>
      </c>
      <c r="DU81">
        <v>71</v>
      </c>
      <c r="DV81" s="115">
        <v>6688</v>
      </c>
      <c r="DW81" s="53">
        <f>Sheet3!B$7</f>
        <v>0.41010000000000002</v>
      </c>
      <c r="DX81" s="53">
        <f>Sheet3!C$7</f>
        <v>5.5E-2</v>
      </c>
      <c r="DY81" s="53">
        <f>Sheet3!D$7</f>
        <v>2.0899999999999998E-2</v>
      </c>
      <c r="DZ81" s="47">
        <f t="shared" si="138"/>
        <v>1.7087500000000002E-2</v>
      </c>
      <c r="EA81" s="53">
        <f t="shared" si="246"/>
        <v>37.979100000000003</v>
      </c>
      <c r="EB81" s="3"/>
      <c r="EE81">
        <v>71</v>
      </c>
      <c r="EF81" s="118">
        <v>6688</v>
      </c>
      <c r="EG81" s="9">
        <v>0.4572</v>
      </c>
      <c r="EH81" s="9">
        <v>6.13E-2</v>
      </c>
      <c r="EI81" s="9">
        <v>2.3300000000000001E-2</v>
      </c>
      <c r="EJ81" s="47">
        <f t="shared" si="149"/>
        <v>1.9050000000000001E-2</v>
      </c>
      <c r="EK81" s="53">
        <f t="shared" si="193"/>
        <v>37.976700000000001</v>
      </c>
      <c r="EM81" s="3">
        <f t="shared" si="194"/>
        <v>-2.400000000001512E-3</v>
      </c>
      <c r="EN81" s="3"/>
      <c r="EO81">
        <v>71</v>
      </c>
      <c r="EP81" s="121">
        <v>6688</v>
      </c>
      <c r="EQ81">
        <v>0.55079999999999996</v>
      </c>
      <c r="ER81">
        <v>7.3800000000000004E-2</v>
      </c>
      <c r="ES81">
        <v>2.81E-2</v>
      </c>
      <c r="ET81" s="130">
        <f t="shared" si="150"/>
        <v>2.2949999999999998E-2</v>
      </c>
      <c r="EU81" s="131">
        <f t="shared" si="195"/>
        <v>37.971899999999998</v>
      </c>
      <c r="EX81" s="3"/>
      <c r="EY81">
        <v>71</v>
      </c>
      <c r="EZ81" s="135">
        <v>6688</v>
      </c>
      <c r="FA81" s="135">
        <v>0.59489999999999998</v>
      </c>
      <c r="FB81" s="135">
        <v>7.9699999999999993E-2</v>
      </c>
      <c r="FC81" s="135">
        <v>3.04E-2</v>
      </c>
      <c r="FD81" s="136">
        <f t="shared" si="151"/>
        <v>2.4787500000000001E-2</v>
      </c>
      <c r="FE81" s="131">
        <f t="shared" si="196"/>
        <v>37.9696</v>
      </c>
      <c r="FG81" s="123">
        <f t="shared" si="197"/>
        <v>-2.2999999999981924E-3</v>
      </c>
      <c r="FH81" s="3"/>
      <c r="FI81">
        <v>71</v>
      </c>
      <c r="FJ81" s="145">
        <v>6688</v>
      </c>
      <c r="FK81" s="9">
        <v>0.65369999999999995</v>
      </c>
      <c r="FL81" s="9">
        <v>8.7599999999999997E-2</v>
      </c>
      <c r="FM81" s="9">
        <v>3.3399999999999999E-2</v>
      </c>
      <c r="FN81" s="146">
        <f t="shared" si="247"/>
        <v>2.7237499999999998E-2</v>
      </c>
      <c r="FO81" s="131">
        <f t="shared" si="198"/>
        <v>37.9666</v>
      </c>
      <c r="FP81" s="123">
        <f t="shared" si="199"/>
        <v>-3.0000000000001137E-3</v>
      </c>
      <c r="FS81">
        <v>71</v>
      </c>
      <c r="FT81" s="147">
        <v>6688</v>
      </c>
      <c r="FU81" s="148">
        <v>0.66579999999999995</v>
      </c>
      <c r="FV81" s="148">
        <v>8.9200000000000002E-2</v>
      </c>
      <c r="FW81" s="148">
        <v>3.4000000000000002E-2</v>
      </c>
      <c r="FX81" s="150">
        <f t="shared" si="248"/>
        <v>2.7741666666666664E-2</v>
      </c>
      <c r="FY81" s="131">
        <f t="shared" si="249"/>
        <v>37.966000000000001</v>
      </c>
      <c r="FZ81">
        <f t="shared" si="200"/>
        <v>1.21E-2</v>
      </c>
      <c r="GC81">
        <v>71</v>
      </c>
      <c r="GD81" s="151">
        <v>6688</v>
      </c>
      <c r="GE81" s="151">
        <v>0.69569999999999999</v>
      </c>
      <c r="GF81" s="151">
        <v>9.3200000000000005E-2</v>
      </c>
      <c r="GG81" s="151">
        <v>3.5499999999999997E-2</v>
      </c>
      <c r="GH81" s="153">
        <f t="shared" si="250"/>
        <v>2.8987499999999999E-2</v>
      </c>
      <c r="GI81" s="131">
        <f t="shared" si="201"/>
        <v>37.964500000000001</v>
      </c>
      <c r="GJ81">
        <f t="shared" si="160"/>
        <v>2.9900000000000038E-2</v>
      </c>
      <c r="GM81">
        <v>71</v>
      </c>
      <c r="GN81" s="155">
        <v>6688</v>
      </c>
      <c r="GO81" s="155">
        <v>0.7591</v>
      </c>
      <c r="GP81" s="155">
        <v>0.1017</v>
      </c>
      <c r="GQ81" s="155">
        <v>3.8800000000000001E-2</v>
      </c>
      <c r="GR81" s="58">
        <f t="shared" si="202"/>
        <v>3.1629166666666667E-2</v>
      </c>
      <c r="GS81" s="131">
        <f t="shared" si="203"/>
        <v>37.961199999999998</v>
      </c>
      <c r="GT81">
        <f t="shared" si="161"/>
        <v>6.3400000000000012E-2</v>
      </c>
      <c r="GW81">
        <v>71</v>
      </c>
      <c r="GX81" s="157">
        <v>6688</v>
      </c>
      <c r="GY81" s="161">
        <f>VLOOKUP(GX81,Sheet3!$AJ$7:$AN$83,2,0)</f>
        <v>0.83960000000000001</v>
      </c>
      <c r="GZ81" s="161">
        <f>VLOOKUP(GX81,Sheet3!$AJ$7:$AN$83,3,0)</f>
        <v>0.1125</v>
      </c>
      <c r="HA81" s="161">
        <f>VLOOKUP(GX81,Sheet3!$AJ$7:$AN$83,4,0)</f>
        <v>4.2900000000000001E-2</v>
      </c>
      <c r="HB81" s="162">
        <f t="shared" si="152"/>
        <v>3.4983333333333332E-2</v>
      </c>
      <c r="HC81" s="131">
        <f>$AJ81-HA81</f>
        <v>37.957099999999997</v>
      </c>
      <c r="HD81" s="159">
        <f t="shared" si="162"/>
        <v>8.0500000000000016E-2</v>
      </c>
      <c r="HE81" s="159">
        <f t="shared" si="163"/>
        <v>4.0999999999999995E-3</v>
      </c>
      <c r="HG81" s="159"/>
      <c r="HH81" s="159">
        <v>71</v>
      </c>
      <c r="HI81" s="158">
        <v>6688</v>
      </c>
      <c r="HJ81" s="161">
        <v>0.87209999999999999</v>
      </c>
      <c r="HK81" s="161">
        <v>0.1169</v>
      </c>
      <c r="HL81" s="161">
        <v>4.4499999999999998E-2</v>
      </c>
      <c r="HM81" s="162">
        <f t="shared" si="153"/>
        <v>3.6337500000000002E-2</v>
      </c>
      <c r="HN81" s="131">
        <f t="shared" si="205"/>
        <v>37.955500000000001</v>
      </c>
      <c r="HO81" s="159">
        <f t="shared" si="206"/>
        <v>3.2499999999999973E-2</v>
      </c>
      <c r="HQ81" s="183"/>
      <c r="HR81" s="183">
        <v>71</v>
      </c>
      <c r="HS81" s="178">
        <v>6688</v>
      </c>
      <c r="HT81" s="184">
        <v>0.89329999999999998</v>
      </c>
      <c r="HU81" s="184">
        <v>0.1197</v>
      </c>
      <c r="HV81" s="184">
        <v>4.5600000000000002E-2</v>
      </c>
      <c r="HW81" s="171">
        <f t="shared" si="154"/>
        <v>3.7220833333333335E-2</v>
      </c>
      <c r="HX81" s="53">
        <f t="shared" si="207"/>
        <v>37.9544</v>
      </c>
      <c r="HY81" s="183">
        <f t="shared" si="208"/>
        <v>2.1199999999999997E-2</v>
      </c>
      <c r="IA81" s="194"/>
      <c r="IB81" s="194">
        <v>71</v>
      </c>
      <c r="IC81" s="193">
        <v>6688</v>
      </c>
      <c r="ID81" s="161">
        <v>0.90249999999999997</v>
      </c>
      <c r="IE81" s="184">
        <v>0.12089999999999999</v>
      </c>
      <c r="IF81" s="184">
        <v>4.6100000000000002E-2</v>
      </c>
      <c r="IG81" s="171">
        <f t="shared" si="209"/>
        <v>3.7604166666666668E-2</v>
      </c>
      <c r="IH81" s="53">
        <f t="shared" si="210"/>
        <v>37.953899999999997</v>
      </c>
      <c r="II81" s="194">
        <f t="shared" si="211"/>
        <v>9.199999999999986E-3</v>
      </c>
      <c r="IL81" s="199">
        <v>71</v>
      </c>
      <c r="IM81" s="197">
        <v>6688</v>
      </c>
      <c r="IN81" s="161">
        <v>0.95069999999999999</v>
      </c>
      <c r="IO81" s="184">
        <v>0.12740000000000001</v>
      </c>
      <c r="IP81" s="184">
        <v>4.8500000000000001E-2</v>
      </c>
      <c r="IQ81" s="171">
        <f t="shared" si="212"/>
        <v>3.9612500000000002E-2</v>
      </c>
      <c r="IR81" s="53">
        <f t="shared" si="213"/>
        <v>37.951500000000003</v>
      </c>
      <c r="IS81" s="199">
        <f t="shared" si="214"/>
        <v>4.8200000000000021E-2</v>
      </c>
      <c r="IU81" s="202"/>
      <c r="IV81" s="202">
        <v>71</v>
      </c>
      <c r="IW81" s="201">
        <v>6688</v>
      </c>
      <c r="IX81" s="184">
        <v>1.0158</v>
      </c>
      <c r="IY81" s="184">
        <v>0.1361</v>
      </c>
      <c r="IZ81" s="184">
        <v>5.1900000000000002E-2</v>
      </c>
      <c r="JA81" s="162">
        <f t="shared" si="155"/>
        <v>4.2325000000000002E-2</v>
      </c>
      <c r="JB81" s="53">
        <f t="shared" si="215"/>
        <v>37.948099999999997</v>
      </c>
      <c r="JC81" s="202">
        <f t="shared" si="216"/>
        <v>6.5100000000000047E-2</v>
      </c>
      <c r="JE81" s="204"/>
      <c r="JF81" s="204">
        <v>71</v>
      </c>
      <c r="JG81" s="203">
        <v>6688</v>
      </c>
      <c r="JH81" s="161">
        <v>1.0365</v>
      </c>
      <c r="JI81" s="184">
        <v>0.1389</v>
      </c>
      <c r="JJ81" s="184">
        <v>5.2900000000000003E-2</v>
      </c>
      <c r="JK81" s="162">
        <f t="shared" si="217"/>
        <v>4.3187499999999997E-2</v>
      </c>
      <c r="JL81" s="53">
        <f t="shared" si="218"/>
        <v>37.947099999999999</v>
      </c>
      <c r="JM81" s="204">
        <f t="shared" si="164"/>
        <v>2.0699999999999941E-2</v>
      </c>
      <c r="JN81" s="204"/>
      <c r="JP81" s="209">
        <v>71</v>
      </c>
      <c r="JQ81" s="205">
        <v>6688</v>
      </c>
      <c r="JR81" s="161">
        <v>1.0530999999999999</v>
      </c>
      <c r="JS81" s="184">
        <v>0.1411</v>
      </c>
      <c r="JT81" s="184">
        <v>5.3800000000000001E-2</v>
      </c>
      <c r="JU81" s="162">
        <f t="shared" si="219"/>
        <v>4.3879166666666664E-2</v>
      </c>
      <c r="JV81" s="53">
        <f t="shared" si="220"/>
        <v>37.946199999999997</v>
      </c>
      <c r="JW81" s="209">
        <f t="shared" si="165"/>
        <v>1.6599999999999948E-2</v>
      </c>
      <c r="JX81" s="213"/>
      <c r="JY81" s="213"/>
      <c r="JZ81" s="213">
        <v>71</v>
      </c>
      <c r="KA81" s="206">
        <v>6688</v>
      </c>
      <c r="KB81" s="184">
        <v>1.0921000000000001</v>
      </c>
      <c r="KC81" s="184">
        <v>0.14630000000000001</v>
      </c>
      <c r="KD81" s="184">
        <v>5.5800000000000002E-2</v>
      </c>
      <c r="KE81" s="162">
        <f t="shared" si="221"/>
        <v>4.5504166666666672E-2</v>
      </c>
      <c r="KF81" s="53">
        <f t="shared" si="222"/>
        <v>37.944200000000002</v>
      </c>
      <c r="KG81" s="213">
        <f t="shared" si="166"/>
        <v>3.9000000000000146E-2</v>
      </c>
      <c r="KI81" s="219"/>
      <c r="KJ81" s="219">
        <v>71</v>
      </c>
      <c r="KK81" s="214">
        <v>6688</v>
      </c>
      <c r="KL81" s="161">
        <v>1.1051</v>
      </c>
      <c r="KM81" s="161">
        <v>0.14810000000000001</v>
      </c>
      <c r="KN81" s="161">
        <v>5.6399999999999999E-2</v>
      </c>
      <c r="KO81" s="162">
        <f t="shared" si="156"/>
        <v>4.6045833333333334E-2</v>
      </c>
      <c r="KP81" s="53">
        <f t="shared" si="223"/>
        <v>37.943600000000004</v>
      </c>
      <c r="KQ81" s="219">
        <f t="shared" si="167"/>
        <v>1.2999999999999901E-2</v>
      </c>
      <c r="KT81" s="223">
        <v>71</v>
      </c>
      <c r="KU81" s="216">
        <v>6688</v>
      </c>
      <c r="KV81" s="161">
        <v>1.1188</v>
      </c>
      <c r="KW81" s="161">
        <v>0.14990000000000001</v>
      </c>
      <c r="KX81" s="161">
        <v>5.7099999999999998E-2</v>
      </c>
      <c r="KY81" s="162">
        <f t="shared" si="224"/>
        <v>4.6616666666666667E-2</v>
      </c>
      <c r="KZ81" s="53">
        <f t="shared" si="225"/>
        <v>37.942900000000002</v>
      </c>
      <c r="LA81" s="223">
        <f t="shared" si="168"/>
        <v>1.3700000000000045E-2</v>
      </c>
      <c r="LD81" s="228">
        <v>71</v>
      </c>
      <c r="LE81" s="221">
        <v>6688</v>
      </c>
      <c r="LF81" s="161">
        <v>1.1303000000000001</v>
      </c>
      <c r="LG81" s="161">
        <v>0.1515</v>
      </c>
      <c r="LH81" s="161">
        <v>5.7700000000000001E-2</v>
      </c>
      <c r="LI81" s="162">
        <f t="shared" si="226"/>
        <v>4.7095833333333337E-2</v>
      </c>
      <c r="LJ81" s="53">
        <f t="shared" si="227"/>
        <v>37.942300000000003</v>
      </c>
      <c r="LK81" s="228">
        <f t="shared" si="169"/>
        <v>1.1500000000000066E-2</v>
      </c>
      <c r="LL81" s="231"/>
      <c r="LM81" s="231"/>
      <c r="LN81" s="231">
        <v>71</v>
      </c>
      <c r="LO81" s="226">
        <v>6688</v>
      </c>
      <c r="LP81" s="184">
        <v>1.1464000000000001</v>
      </c>
      <c r="LQ81" s="184">
        <v>0.15359999999999999</v>
      </c>
      <c r="LR81" s="184">
        <v>5.8500000000000003E-2</v>
      </c>
      <c r="LS81" s="162">
        <f t="shared" si="228"/>
        <v>4.7766666666666673E-2</v>
      </c>
      <c r="LT81" s="53">
        <f t="shared" si="229"/>
        <v>37.941499999999998</v>
      </c>
      <c r="LU81" s="231">
        <f t="shared" si="170"/>
        <v>1.6100000000000003E-2</v>
      </c>
      <c r="LW81" s="231"/>
      <c r="LX81" s="231">
        <v>71</v>
      </c>
      <c r="LY81" s="234">
        <v>6688</v>
      </c>
      <c r="LZ81" s="184">
        <v>1.1645000000000001</v>
      </c>
      <c r="MA81" s="184">
        <v>0.156</v>
      </c>
      <c r="MB81" s="184">
        <v>5.9499999999999997E-2</v>
      </c>
      <c r="MC81" s="162">
        <f t="shared" si="230"/>
        <v>4.8520833333333339E-2</v>
      </c>
      <c r="MD81" s="53">
        <f t="shared" si="231"/>
        <v>37.9405</v>
      </c>
      <c r="ME81" s="231">
        <f t="shared" si="171"/>
        <v>1.8100000000000005E-2</v>
      </c>
      <c r="MF81" s="231"/>
      <c r="MG81" s="231"/>
      <c r="MH81" s="231">
        <v>71</v>
      </c>
      <c r="MI81" s="236">
        <v>6688</v>
      </c>
      <c r="MJ81" s="184">
        <v>1.1822999999999999</v>
      </c>
      <c r="MK81" s="184">
        <v>0.15840000000000001</v>
      </c>
      <c r="ML81" s="184">
        <v>6.0400000000000002E-2</v>
      </c>
      <c r="MM81" s="162">
        <f t="shared" si="232"/>
        <v>4.9262499999999994E-2</v>
      </c>
      <c r="MN81" s="53">
        <f t="shared" si="233"/>
        <v>37.939599999999999</v>
      </c>
      <c r="MO81" s="231">
        <f t="shared" si="172"/>
        <v>1.7799999999999816E-2</v>
      </c>
      <c r="MP81" s="231"/>
      <c r="MQ81" s="231"/>
      <c r="MR81" s="231">
        <v>71</v>
      </c>
      <c r="MS81" s="238">
        <v>6688</v>
      </c>
      <c r="MT81" s="184">
        <v>1.2162999999999999</v>
      </c>
      <c r="MU81" s="184">
        <v>0.16300000000000001</v>
      </c>
      <c r="MV81" s="184">
        <v>6.2100000000000002E-2</v>
      </c>
      <c r="MW81" s="162">
        <f t="shared" si="234"/>
        <v>5.0679166666666664E-2</v>
      </c>
      <c r="MX81" s="53">
        <f t="shared" si="235"/>
        <v>37.937899999999999</v>
      </c>
      <c r="MY81" s="231">
        <f t="shared" si="173"/>
        <v>3.400000000000003E-2</v>
      </c>
      <c r="MZ81" s="246"/>
      <c r="NA81" s="246"/>
      <c r="NB81" s="246">
        <v>71</v>
      </c>
      <c r="NC81" s="242">
        <v>6688</v>
      </c>
      <c r="ND81" s="184">
        <v>1.2509999999999999</v>
      </c>
      <c r="NE81" s="184">
        <v>0.1676</v>
      </c>
      <c r="NF81" s="184">
        <v>6.3899999999999998E-2</v>
      </c>
      <c r="NG81" s="162">
        <f t="shared" si="236"/>
        <v>5.2124999999999998E-2</v>
      </c>
      <c r="NH81" s="53">
        <f t="shared" si="237"/>
        <v>37.936100000000003</v>
      </c>
      <c r="NI81" s="232">
        <f t="shared" si="174"/>
        <v>3.4699999999999953E-2</v>
      </c>
      <c r="NK81" s="250"/>
      <c r="NL81" s="250">
        <v>71</v>
      </c>
      <c r="NM81" s="244">
        <v>6688</v>
      </c>
      <c r="NN81" s="184">
        <v>1.2612000000000001</v>
      </c>
      <c r="NO81" s="184">
        <v>0.16900000000000001</v>
      </c>
      <c r="NP81" s="184">
        <v>6.4399999999999999E-2</v>
      </c>
      <c r="NQ81" s="162">
        <f t="shared" si="133"/>
        <v>5.2550000000000006E-2</v>
      </c>
      <c r="NR81" s="53">
        <f t="shared" si="238"/>
        <v>37.935600000000001</v>
      </c>
      <c r="NS81" s="232">
        <f t="shared" si="175"/>
        <v>1.0200000000000209E-2</v>
      </c>
      <c r="NU81" s="250"/>
      <c r="NV81" s="250">
        <v>71</v>
      </c>
      <c r="NW81" s="248">
        <v>6688</v>
      </c>
      <c r="NX81" s="184">
        <v>1.2774000000000001</v>
      </c>
      <c r="NY81" s="184">
        <v>0.17119999999999999</v>
      </c>
      <c r="NZ81" s="184">
        <v>6.5199999999999994E-2</v>
      </c>
      <c r="OA81" s="162">
        <f t="shared" si="134"/>
        <v>5.3225000000000001E-2</v>
      </c>
      <c r="OB81" s="53">
        <f t="shared" si="239"/>
        <v>37.934800000000003</v>
      </c>
      <c r="OC81" s="232">
        <f t="shared" si="176"/>
        <v>1.6199999999999992E-2</v>
      </c>
      <c r="OE81" s="250"/>
      <c r="OF81" s="250">
        <v>71</v>
      </c>
      <c r="OG81" s="251">
        <v>6688</v>
      </c>
      <c r="OH81" s="184">
        <v>1.2855000000000001</v>
      </c>
      <c r="OI81" s="184">
        <v>0.17230000000000001</v>
      </c>
      <c r="OJ81" s="184">
        <v>6.5600000000000006E-2</v>
      </c>
      <c r="OK81" s="162">
        <f t="shared" si="135"/>
        <v>5.3562500000000006E-2</v>
      </c>
      <c r="OL81" s="53">
        <f t="shared" si="240"/>
        <v>37.934399999999997</v>
      </c>
      <c r="OM81" s="232">
        <f t="shared" si="177"/>
        <v>8.0999999999999961E-3</v>
      </c>
      <c r="OP81" s="250">
        <v>71</v>
      </c>
      <c r="OQ81" s="253">
        <v>6688</v>
      </c>
      <c r="OR81" s="184">
        <f>VLOOKUP(OQ81,Sheet4!A9:F85,3,0)</f>
        <v>1.3041</v>
      </c>
      <c r="OS81" s="184">
        <f>VLOOKUP(OQ81,Sheet4!A9:F85,4,0)</f>
        <v>0.17480000000000001</v>
      </c>
      <c r="OT81" s="184">
        <f>VLOOKUP(OQ81,Sheet4!A9:F85,5,0)</f>
        <v>6.6600000000000006E-2</v>
      </c>
      <c r="OU81" s="162">
        <f t="shared" si="241"/>
        <v>5.4337500000000004E-2</v>
      </c>
      <c r="OV81" s="53">
        <f t="shared" si="242"/>
        <v>37.933399999999999</v>
      </c>
      <c r="OW81" s="232">
        <f t="shared" si="178"/>
        <v>1.859999999999995E-2</v>
      </c>
    </row>
    <row r="82" spans="1:413" ht="15.75" x14ac:dyDescent="0.25">
      <c r="A82">
        <v>74</v>
      </c>
      <c r="B82" s="13">
        <v>9351</v>
      </c>
      <c r="C82" s="13" t="s">
        <v>91</v>
      </c>
      <c r="D82" s="14">
        <v>38.11</v>
      </c>
      <c r="E82" s="8"/>
      <c r="F82" s="8"/>
      <c r="G82" s="8"/>
      <c r="H82" s="8"/>
      <c r="J82" s="23">
        <v>9351</v>
      </c>
      <c r="K82" s="23">
        <v>0.1328</v>
      </c>
      <c r="L82" s="23">
        <v>1.78E-2</v>
      </c>
      <c r="M82" s="23">
        <v>6.7999999999999996E-3</v>
      </c>
      <c r="N82" s="25">
        <f t="shared" si="179"/>
        <v>5.5333333333333337E-3</v>
      </c>
      <c r="O82" s="12">
        <f t="shared" si="157"/>
        <v>38.103200000000001</v>
      </c>
      <c r="P82" s="19"/>
      <c r="R82" s="23">
        <v>9351</v>
      </c>
      <c r="S82" s="11">
        <v>0.1328</v>
      </c>
      <c r="T82" s="11">
        <v>1.78E-2</v>
      </c>
      <c r="U82" s="11">
        <v>6.7999999999999996E-3</v>
      </c>
      <c r="V82" s="25">
        <f t="shared" si="180"/>
        <v>5.5333333333333337E-3</v>
      </c>
      <c r="W82" s="12">
        <f t="shared" si="158"/>
        <v>38.103200000000001</v>
      </c>
      <c r="X82" s="19"/>
      <c r="Z82" s="23">
        <v>9351</v>
      </c>
      <c r="AA82" s="29">
        <v>0.1328</v>
      </c>
      <c r="AB82" s="29">
        <v>1.78E-2</v>
      </c>
      <c r="AC82" s="29">
        <v>6.7999999999999996E-3</v>
      </c>
      <c r="AD82" s="25">
        <f t="shared" ref="AD82" si="251">AA82/24</f>
        <v>5.5333333333333337E-3</v>
      </c>
      <c r="AE82" s="12">
        <f t="shared" si="182"/>
        <v>38.103200000000001</v>
      </c>
      <c r="AF82" s="81"/>
      <c r="AG82">
        <v>74</v>
      </c>
      <c r="AH82" s="13">
        <v>9351</v>
      </c>
      <c r="AI82" s="13" t="s">
        <v>91</v>
      </c>
      <c r="AJ82" s="14">
        <v>38.11</v>
      </c>
      <c r="AL82" s="23">
        <v>9351</v>
      </c>
      <c r="AM82" s="29">
        <v>0.1328</v>
      </c>
      <c r="AN82" s="29">
        <v>1.78E-2</v>
      </c>
      <c r="AO82" s="29">
        <v>6.7999999999999996E-3</v>
      </c>
      <c r="AP82" s="25">
        <f t="shared" si="146"/>
        <v>5.5333333333333337E-3</v>
      </c>
      <c r="AQ82" s="53">
        <f t="shared" si="243"/>
        <v>38.103200000000001</v>
      </c>
      <c r="AT82" s="39"/>
      <c r="AU82" s="23">
        <v>9351</v>
      </c>
      <c r="AV82" s="29">
        <v>0.1328</v>
      </c>
      <c r="AW82" s="31">
        <v>1.78E-2</v>
      </c>
      <c r="AX82" s="31">
        <v>6.7999999999999996E-3</v>
      </c>
      <c r="AY82" s="25">
        <f t="shared" si="183"/>
        <v>5.5333333333333337E-3</v>
      </c>
      <c r="AZ82" s="56">
        <f t="shared" si="244"/>
        <v>38.103200000000001</v>
      </c>
      <c r="BD82" s="23">
        <v>9351</v>
      </c>
      <c r="BE82" s="48">
        <v>0.1328</v>
      </c>
      <c r="BF82" s="30">
        <v>1.78E-2</v>
      </c>
      <c r="BG82" s="30">
        <v>6.7999999999999996E-3</v>
      </c>
      <c r="BH82" s="25">
        <f t="shared" si="184"/>
        <v>5.5333333333333337E-3</v>
      </c>
      <c r="BI82" s="56">
        <f t="shared" si="185"/>
        <v>38.103200000000001</v>
      </c>
      <c r="BJ82" s="88"/>
      <c r="BK82" s="88"/>
      <c r="BL82" s="88"/>
      <c r="BN82" s="23">
        <v>9351</v>
      </c>
      <c r="BO82" s="48">
        <v>0.1328</v>
      </c>
      <c r="BP82" s="30">
        <v>1.78E-2</v>
      </c>
      <c r="BQ82" s="30">
        <v>6.7999999999999996E-3</v>
      </c>
      <c r="BR82" s="25">
        <f t="shared" si="186"/>
        <v>5.5333333333333337E-3</v>
      </c>
      <c r="BS82" s="53">
        <f t="shared" si="187"/>
        <v>38.103200000000001</v>
      </c>
      <c r="BV82" s="88"/>
      <c r="BX82" s="23">
        <v>9351</v>
      </c>
      <c r="BY82" s="11">
        <v>0.1328</v>
      </c>
      <c r="BZ82" s="11">
        <v>1.78E-2</v>
      </c>
      <c r="CA82" s="11">
        <v>6.7999999999999996E-3</v>
      </c>
      <c r="CB82" s="25">
        <f>BY82/24</f>
        <v>5.5333333333333337E-3</v>
      </c>
      <c r="CC82" s="97">
        <f t="shared" si="189"/>
        <v>38.103200000000001</v>
      </c>
      <c r="CF82" s="88"/>
      <c r="CH82" s="23">
        <v>9351</v>
      </c>
      <c r="CI82" s="23">
        <v>0.1328</v>
      </c>
      <c r="CJ82" s="11">
        <v>1.78E-2</v>
      </c>
      <c r="CK82" s="11">
        <v>6.7999999999999996E-3</v>
      </c>
      <c r="CL82" s="30">
        <f t="shared" si="147"/>
        <v>5.5333333333333337E-3</v>
      </c>
      <c r="CM82" s="97">
        <f t="shared" si="190"/>
        <v>38.103200000000001</v>
      </c>
      <c r="CP82" s="88"/>
      <c r="CR82" s="102">
        <v>9351</v>
      </c>
      <c r="CS82" s="103">
        <v>0.1328</v>
      </c>
      <c r="CT82" s="103">
        <v>1.78E-2</v>
      </c>
      <c r="CU82" s="103">
        <v>6.7999999999999996E-3</v>
      </c>
      <c r="CV82" s="104">
        <f t="shared" si="148"/>
        <v>5.5333333333333337E-3</v>
      </c>
      <c r="CW82" s="53">
        <f t="shared" si="159"/>
        <v>38.103200000000001</v>
      </c>
      <c r="CZ82" s="88"/>
      <c r="DB82" s="102">
        <v>9351</v>
      </c>
      <c r="DC82" s="103">
        <v>0.1328</v>
      </c>
      <c r="DD82" s="103">
        <v>1.78E-2</v>
      </c>
      <c r="DE82" s="103">
        <v>6.7999999999999996E-3</v>
      </c>
      <c r="DF82" s="104">
        <f t="shared" si="136"/>
        <v>5.5333333333333337E-3</v>
      </c>
      <c r="DG82" s="53">
        <f t="shared" si="245"/>
        <v>38.103200000000001</v>
      </c>
      <c r="DJ82" s="88"/>
      <c r="DL82" s="102">
        <v>9351</v>
      </c>
      <c r="DM82" s="103">
        <v>0.1328</v>
      </c>
      <c r="DN82" s="103">
        <v>1.78E-2</v>
      </c>
      <c r="DO82" s="103">
        <v>6.7999999999999996E-3</v>
      </c>
      <c r="DP82" s="104">
        <f t="shared" si="137"/>
        <v>5.5333333333333337E-3</v>
      </c>
      <c r="DQ82" s="53">
        <f t="shared" si="191"/>
        <v>38.103200000000001</v>
      </c>
      <c r="DT82" s="88"/>
      <c r="DV82" s="102">
        <v>9351</v>
      </c>
      <c r="DW82" s="103">
        <v>0.1328</v>
      </c>
      <c r="DX82" s="103">
        <v>1.78E-2</v>
      </c>
      <c r="DY82" s="103">
        <v>6.7999999999999996E-3</v>
      </c>
      <c r="DZ82" s="104">
        <f t="shared" si="138"/>
        <v>5.5333333333333337E-3</v>
      </c>
      <c r="EA82" s="53">
        <f t="shared" si="246"/>
        <v>38.103200000000001</v>
      </c>
      <c r="ED82" s="88"/>
      <c r="EF82" s="102">
        <v>9351</v>
      </c>
      <c r="EG82" s="105">
        <v>0.1328</v>
      </c>
      <c r="EH82" s="105">
        <v>1.78E-2</v>
      </c>
      <c r="EI82" s="105">
        <v>6.7999999999999996E-3</v>
      </c>
      <c r="EJ82" s="104">
        <f t="shared" si="149"/>
        <v>5.5333333333333337E-3</v>
      </c>
      <c r="EK82" s="53">
        <f t="shared" si="193"/>
        <v>38.103200000000001</v>
      </c>
      <c r="EP82" s="102">
        <v>9351</v>
      </c>
      <c r="EQ82" s="132">
        <v>0.1328</v>
      </c>
      <c r="ER82" s="132">
        <v>1.78E-2</v>
      </c>
      <c r="ES82" s="133">
        <v>6.7999999999999996E-3</v>
      </c>
      <c r="ET82" s="134">
        <f t="shared" si="150"/>
        <v>5.5333333333333337E-3</v>
      </c>
      <c r="EU82" s="131">
        <f t="shared" si="195"/>
        <v>38.103200000000001</v>
      </c>
      <c r="EZ82" s="102">
        <v>9351</v>
      </c>
      <c r="FA82" s="132">
        <v>0.1328</v>
      </c>
      <c r="FB82" s="132">
        <v>1.78E-2</v>
      </c>
      <c r="FC82" s="132">
        <v>6.7999999999999996E-3</v>
      </c>
      <c r="FD82" s="134">
        <f t="shared" si="151"/>
        <v>5.5333333333333337E-3</v>
      </c>
      <c r="FE82" s="131">
        <f t="shared" si="196"/>
        <v>38.103200000000001</v>
      </c>
      <c r="FJ82" s="102">
        <v>9351</v>
      </c>
      <c r="FK82" s="132">
        <v>0.1328</v>
      </c>
      <c r="FL82" s="132">
        <v>1.78E-2</v>
      </c>
      <c r="FM82" s="132">
        <v>6.7999999999999996E-3</v>
      </c>
      <c r="FN82" s="134">
        <f t="shared" si="247"/>
        <v>5.5333333333333337E-3</v>
      </c>
      <c r="FO82" s="131">
        <f t="shared" si="198"/>
        <v>38.103200000000001</v>
      </c>
      <c r="FT82" s="102">
        <v>9351</v>
      </c>
      <c r="FU82" s="132">
        <v>0.1328</v>
      </c>
      <c r="FV82" s="132">
        <v>1.78E-2</v>
      </c>
      <c r="FW82" s="132">
        <v>6.7999999999999996E-3</v>
      </c>
      <c r="FX82" s="134">
        <f t="shared" si="248"/>
        <v>5.5333333333333337E-3</v>
      </c>
      <c r="FY82" s="131">
        <f t="shared" si="249"/>
        <v>38.103200000000001</v>
      </c>
      <c r="FZ82">
        <f t="shared" si="200"/>
        <v>0</v>
      </c>
      <c r="GD82" s="102">
        <v>9351</v>
      </c>
      <c r="GE82" s="132">
        <v>0.1328</v>
      </c>
      <c r="GF82" s="132">
        <v>1.78E-2</v>
      </c>
      <c r="GG82" s="132">
        <v>6.7999999999999996E-3</v>
      </c>
      <c r="GH82" s="134">
        <f t="shared" si="250"/>
        <v>5.5333333333333337E-3</v>
      </c>
      <c r="GI82" s="131">
        <f t="shared" si="201"/>
        <v>38.103200000000001</v>
      </c>
      <c r="GJ82">
        <f t="shared" si="160"/>
        <v>0</v>
      </c>
      <c r="GN82" s="102">
        <v>9351</v>
      </c>
      <c r="GO82" s="132">
        <v>0.1328</v>
      </c>
      <c r="GP82" s="132">
        <v>1.78E-2</v>
      </c>
      <c r="GQ82" s="132">
        <v>6.7999999999999996E-3</v>
      </c>
      <c r="GR82" s="134">
        <f t="shared" ref="GR82:GR85" si="252">GO82/24</f>
        <v>5.5333333333333337E-3</v>
      </c>
      <c r="GS82" s="131">
        <f t="shared" si="203"/>
        <v>38.103200000000001</v>
      </c>
      <c r="GT82">
        <f t="shared" si="161"/>
        <v>0</v>
      </c>
      <c r="GX82" s="102">
        <v>9351</v>
      </c>
      <c r="GY82" s="105">
        <f>VLOOKUP(GX82,Sheet3!$AJ$7:$AN$83,2,0)</f>
        <v>0.1328</v>
      </c>
      <c r="GZ82" s="105">
        <f>VLOOKUP(GX82,Sheet3!$AJ$7:$AN$83,3,0)</f>
        <v>1.78E-2</v>
      </c>
      <c r="HA82" s="105">
        <f>VLOOKUP(GX82,Sheet3!$AJ$7:$AN$83,4,0)</f>
        <v>6.7999999999999996E-3</v>
      </c>
      <c r="HB82" s="134">
        <f t="shared" si="152"/>
        <v>5.5333333333333337E-3</v>
      </c>
      <c r="HC82" s="131">
        <f>$AJ82-HA82</f>
        <v>38.103200000000001</v>
      </c>
      <c r="HD82" s="159"/>
      <c r="HG82" s="159"/>
      <c r="HH82" s="159"/>
      <c r="HI82" s="102">
        <v>9351</v>
      </c>
      <c r="HJ82" s="105">
        <v>0.1328</v>
      </c>
      <c r="HK82" s="105">
        <v>1.78E-2</v>
      </c>
      <c r="HL82" s="105">
        <v>6.7999999999999996E-3</v>
      </c>
      <c r="HM82" s="134">
        <f t="shared" si="153"/>
        <v>5.5333333333333337E-3</v>
      </c>
      <c r="HN82" s="131">
        <f t="shared" si="205"/>
        <v>38.103200000000001</v>
      </c>
      <c r="HO82" s="159"/>
      <c r="HQ82" s="183"/>
      <c r="HR82" s="183"/>
      <c r="HS82" s="102">
        <v>9351</v>
      </c>
      <c r="HT82" s="186">
        <v>0.1328</v>
      </c>
      <c r="HU82" s="186">
        <v>1.78E-2</v>
      </c>
      <c r="HV82" s="186">
        <v>6.7999999999999996E-3</v>
      </c>
      <c r="HW82" s="187">
        <f t="shared" si="154"/>
        <v>5.5333333333333337E-3</v>
      </c>
      <c r="HX82" s="53">
        <f t="shared" si="207"/>
        <v>38.103200000000001</v>
      </c>
      <c r="HY82" s="183"/>
      <c r="IA82" s="194"/>
      <c r="IB82" s="194"/>
      <c r="IC82" s="102">
        <v>9351</v>
      </c>
      <c r="ID82" s="105">
        <v>0.1328</v>
      </c>
      <c r="IE82" s="186">
        <v>1.78E-2</v>
      </c>
      <c r="IF82" s="186">
        <v>6.7999999999999996E-3</v>
      </c>
      <c r="IG82" s="187">
        <f>ID82/24</f>
        <v>5.5333333333333337E-3</v>
      </c>
      <c r="IH82" s="186">
        <f>$AJ82-IF82</f>
        <v>38.103200000000001</v>
      </c>
      <c r="II82" s="194"/>
      <c r="IM82" s="102">
        <v>9351</v>
      </c>
      <c r="IN82" s="105">
        <v>0.1328</v>
      </c>
      <c r="IO82" s="186">
        <v>1.78E-2</v>
      </c>
      <c r="IP82" s="186">
        <v>6.7999999999999996E-3</v>
      </c>
      <c r="IQ82" s="187">
        <f>IN82/24</f>
        <v>5.5333333333333337E-3</v>
      </c>
      <c r="IR82" s="186">
        <f>$AJ82-IP82</f>
        <v>38.103200000000001</v>
      </c>
      <c r="IU82" s="202"/>
      <c r="IV82" s="202"/>
      <c r="IW82" s="102">
        <v>9351</v>
      </c>
      <c r="IX82" s="186">
        <v>0.1328</v>
      </c>
      <c r="IY82" s="186">
        <v>1.78E-2</v>
      </c>
      <c r="IZ82" s="186">
        <v>6.7999999999999996E-3</v>
      </c>
      <c r="JA82" s="134">
        <f t="shared" si="155"/>
        <v>5.5333333333333337E-3</v>
      </c>
      <c r="JB82" s="186">
        <f t="shared" si="215"/>
        <v>38.103200000000001</v>
      </c>
      <c r="JC82" s="202"/>
      <c r="JE82" s="204"/>
      <c r="JF82" s="204"/>
      <c r="JG82" s="102">
        <v>9351</v>
      </c>
      <c r="JH82" s="105">
        <v>0.1328</v>
      </c>
      <c r="JI82" s="186">
        <v>1.78E-2</v>
      </c>
      <c r="JJ82" s="186">
        <v>6.7999999999999996E-3</v>
      </c>
      <c r="JK82" s="134">
        <f t="shared" si="217"/>
        <v>5.5333333333333337E-3</v>
      </c>
      <c r="JL82" s="186">
        <f t="shared" si="218"/>
        <v>38.103200000000001</v>
      </c>
      <c r="JM82" s="204"/>
      <c r="JN82" s="204"/>
      <c r="JQ82" s="102">
        <v>9351</v>
      </c>
      <c r="JR82" s="105">
        <v>0.1328</v>
      </c>
      <c r="JS82" s="186">
        <v>1.78E-2</v>
      </c>
      <c r="JT82" s="186">
        <v>6.7999999999999996E-3</v>
      </c>
      <c r="JU82" s="134">
        <f>JR82/24</f>
        <v>5.5333333333333337E-3</v>
      </c>
      <c r="JV82" s="186">
        <f t="shared" si="220"/>
        <v>38.103200000000001</v>
      </c>
      <c r="JX82" s="213"/>
      <c r="JY82" s="213"/>
      <c r="JZ82" s="213"/>
      <c r="KA82" s="102">
        <v>9351</v>
      </c>
      <c r="KB82" s="186">
        <v>0.1328</v>
      </c>
      <c r="KC82" s="186">
        <v>1.78E-2</v>
      </c>
      <c r="KD82" s="186">
        <v>6.7999999999999996E-3</v>
      </c>
      <c r="KE82" s="134">
        <f>KB82/24</f>
        <v>5.5333333333333337E-3</v>
      </c>
      <c r="KF82" s="186">
        <f t="shared" si="222"/>
        <v>38.103200000000001</v>
      </c>
      <c r="KG82" s="213"/>
      <c r="KI82" s="219"/>
      <c r="KJ82" s="219"/>
      <c r="KK82" s="102">
        <v>9351</v>
      </c>
      <c r="KL82" s="105">
        <v>0.1328</v>
      </c>
      <c r="KM82" s="105">
        <v>1.78E-2</v>
      </c>
      <c r="KN82" s="105">
        <v>6.7999999999999996E-3</v>
      </c>
      <c r="KO82" s="134">
        <f t="shared" si="156"/>
        <v>5.5333333333333337E-3</v>
      </c>
      <c r="KP82" s="186">
        <f t="shared" si="223"/>
        <v>38.103200000000001</v>
      </c>
      <c r="KQ82" s="219"/>
      <c r="KU82" s="102">
        <v>9351</v>
      </c>
      <c r="KV82" s="105">
        <v>0.1328</v>
      </c>
      <c r="KW82" s="105">
        <v>1.78E-2</v>
      </c>
      <c r="KX82" s="105">
        <v>6.7999999999999996E-3</v>
      </c>
      <c r="KY82" s="134">
        <f t="shared" si="224"/>
        <v>5.5333333333333337E-3</v>
      </c>
      <c r="KZ82" s="186">
        <f t="shared" si="225"/>
        <v>38.103200000000001</v>
      </c>
      <c r="LE82" s="102">
        <v>9351</v>
      </c>
      <c r="LF82" s="105">
        <v>0.1328</v>
      </c>
      <c r="LG82" s="105">
        <v>1.78E-2</v>
      </c>
      <c r="LH82" s="105">
        <v>6.7999999999999996E-3</v>
      </c>
      <c r="LI82" s="134">
        <f t="shared" si="226"/>
        <v>5.5333333333333337E-3</v>
      </c>
      <c r="LJ82" s="186">
        <f t="shared" si="227"/>
        <v>38.103200000000001</v>
      </c>
      <c r="LL82" s="231"/>
      <c r="LM82" s="231"/>
      <c r="LN82" s="231"/>
      <c r="LO82" s="102">
        <v>9351</v>
      </c>
      <c r="LP82" s="105">
        <v>0.1328</v>
      </c>
      <c r="LQ82" s="105">
        <v>1.78E-2</v>
      </c>
      <c r="LR82" s="105">
        <v>6.7999999999999996E-3</v>
      </c>
      <c r="LS82" s="134">
        <f t="shared" si="228"/>
        <v>5.5333333333333337E-3</v>
      </c>
      <c r="LT82" s="186">
        <f t="shared" si="229"/>
        <v>38.103200000000001</v>
      </c>
      <c r="LU82" s="231"/>
      <c r="LW82" s="231"/>
      <c r="LX82" s="231"/>
      <c r="LY82" s="102">
        <v>9351</v>
      </c>
      <c r="LZ82" s="186">
        <v>0.1328</v>
      </c>
      <c r="MA82" s="186">
        <v>1.78E-2</v>
      </c>
      <c r="MB82" s="186">
        <v>6.7999999999999996E-3</v>
      </c>
      <c r="MC82" s="134">
        <f t="shared" si="230"/>
        <v>5.5333333333333337E-3</v>
      </c>
      <c r="MD82" s="186">
        <f t="shared" si="231"/>
        <v>38.103200000000001</v>
      </c>
      <c r="ME82" s="231"/>
      <c r="MF82" s="231"/>
      <c r="MG82" s="231"/>
      <c r="MH82" s="231"/>
      <c r="MI82" s="102">
        <v>9351</v>
      </c>
      <c r="MJ82" s="186">
        <v>0.1328</v>
      </c>
      <c r="MK82" s="186">
        <v>1.78E-2</v>
      </c>
      <c r="ML82" s="186">
        <v>6.7999999999999996E-3</v>
      </c>
      <c r="MM82" s="134">
        <f t="shared" si="232"/>
        <v>5.5333333333333337E-3</v>
      </c>
      <c r="MN82" s="186">
        <f t="shared" si="233"/>
        <v>38.103200000000001</v>
      </c>
      <c r="MO82" s="231"/>
      <c r="MP82" s="231"/>
      <c r="MQ82" s="231"/>
      <c r="MR82" s="231"/>
      <c r="MS82" s="102">
        <v>9351</v>
      </c>
      <c r="MT82" s="186">
        <v>0.1328</v>
      </c>
      <c r="MU82" s="186">
        <v>1.78E-2</v>
      </c>
      <c r="MV82" s="186">
        <v>6.7999999999999996E-3</v>
      </c>
      <c r="MW82" s="134">
        <f t="shared" si="234"/>
        <v>5.5333333333333337E-3</v>
      </c>
      <c r="MX82" s="186">
        <f t="shared" si="235"/>
        <v>38.103200000000001</v>
      </c>
      <c r="MY82" s="231"/>
      <c r="MZ82" s="246"/>
      <c r="NA82" s="246"/>
      <c r="NB82" s="246"/>
      <c r="NC82" s="102">
        <v>9351</v>
      </c>
      <c r="ND82" s="186">
        <v>0.1328</v>
      </c>
      <c r="NE82" s="186">
        <v>1.78E-2</v>
      </c>
      <c r="NF82" s="186">
        <v>6.7999999999999996E-3</v>
      </c>
      <c r="NG82" s="134">
        <f>ND82/24</f>
        <v>5.5333333333333337E-3</v>
      </c>
      <c r="NH82" s="186">
        <f>$AJ82-NF82</f>
        <v>38.103200000000001</v>
      </c>
      <c r="NK82" s="250"/>
      <c r="NL82" s="250"/>
      <c r="NM82" s="102">
        <v>9351</v>
      </c>
      <c r="NN82" s="186">
        <v>0.1328</v>
      </c>
      <c r="NO82" s="186">
        <v>1.78E-2</v>
      </c>
      <c r="NP82" s="186">
        <v>6.7999999999999996E-3</v>
      </c>
      <c r="NQ82" s="134">
        <f>NN82/24</f>
        <v>5.5333333333333337E-3</v>
      </c>
      <c r="NR82" s="186">
        <f>$AJ82-NP82</f>
        <v>38.103200000000001</v>
      </c>
      <c r="NS82" s="232"/>
      <c r="NU82" s="250"/>
      <c r="NV82" s="250"/>
      <c r="NW82" s="102">
        <v>9351</v>
      </c>
      <c r="NX82" s="186">
        <v>0.1328</v>
      </c>
      <c r="NY82" s="186">
        <v>1.78E-2</v>
      </c>
      <c r="NZ82" s="186">
        <v>6.7999999999999996E-3</v>
      </c>
      <c r="OA82" s="134">
        <f>NX82/24</f>
        <v>5.5333333333333337E-3</v>
      </c>
      <c r="OB82" s="186">
        <f>$AJ82-NZ82</f>
        <v>38.103200000000001</v>
      </c>
      <c r="OC82" s="232"/>
      <c r="OE82" s="250"/>
      <c r="OF82" s="250"/>
      <c r="OG82" s="102">
        <v>9351</v>
      </c>
      <c r="OH82" s="186">
        <v>0.1328</v>
      </c>
      <c r="OI82" s="186">
        <v>1.78E-2</v>
      </c>
      <c r="OJ82" s="186">
        <v>6.7999999999999996E-3</v>
      </c>
      <c r="OK82" s="134">
        <v>5.5333333333333337E-3</v>
      </c>
      <c r="OL82" s="186">
        <v>38.103200000000001</v>
      </c>
      <c r="OM82" s="232"/>
      <c r="OQ82" s="102">
        <v>9351</v>
      </c>
      <c r="OR82" s="186">
        <v>0.1328</v>
      </c>
      <c r="OS82" s="186">
        <v>1.78E-2</v>
      </c>
      <c r="OT82" s="186">
        <v>6.7999999999999996E-3</v>
      </c>
      <c r="OU82" s="134">
        <v>5.5333333333333337E-3</v>
      </c>
      <c r="OV82" s="186">
        <v>38.103200000000001</v>
      </c>
      <c r="OW82" s="232"/>
    </row>
    <row r="83" spans="1:413" ht="15.75" x14ac:dyDescent="0.25">
      <c r="A83">
        <v>75</v>
      </c>
      <c r="B83" s="13">
        <v>6739</v>
      </c>
      <c r="C83" s="13" t="s">
        <v>91</v>
      </c>
      <c r="D83" s="14">
        <v>38</v>
      </c>
      <c r="E83" s="8"/>
      <c r="F83" s="8"/>
      <c r="G83" s="8"/>
      <c r="H83" s="8"/>
      <c r="J83" s="23"/>
      <c r="K83" s="23"/>
      <c r="L83" s="23"/>
      <c r="M83" s="23"/>
      <c r="N83" s="25"/>
      <c r="O83" s="12"/>
      <c r="P83" s="19"/>
      <c r="R83" s="23"/>
      <c r="S83" s="23"/>
      <c r="T83" s="23"/>
      <c r="U83" s="23"/>
      <c r="V83" s="25"/>
      <c r="W83" s="12"/>
      <c r="X83" s="19"/>
      <c r="Z83" s="23"/>
      <c r="AA83" s="31"/>
      <c r="AB83" s="31"/>
      <c r="AC83" s="31"/>
      <c r="AD83" s="30"/>
      <c r="AE83" s="12"/>
      <c r="AF83" s="81"/>
      <c r="AG83">
        <v>75</v>
      </c>
      <c r="AH83" s="13">
        <v>6739</v>
      </c>
      <c r="AI83" s="13" t="s">
        <v>91</v>
      </c>
      <c r="AJ83" s="14">
        <v>38</v>
      </c>
      <c r="AL83" s="23"/>
      <c r="AM83" s="31"/>
      <c r="AN83" s="31"/>
      <c r="AO83" s="31"/>
      <c r="AP83" s="30"/>
      <c r="AQ83" s="53"/>
      <c r="AT83" s="39"/>
      <c r="AU83" s="23"/>
      <c r="AV83" s="31"/>
      <c r="AW83" s="31"/>
      <c r="AX83" s="31"/>
      <c r="AY83" s="30"/>
      <c r="AZ83" s="56"/>
      <c r="BD83" s="23"/>
      <c r="BE83" s="30"/>
      <c r="BF83" s="30"/>
      <c r="BG83" s="30"/>
      <c r="BH83" s="30"/>
      <c r="BI83" s="56"/>
      <c r="BJ83" s="88"/>
      <c r="BK83" s="88"/>
      <c r="BL83" s="88"/>
      <c r="BN83" s="23"/>
      <c r="BO83" s="30"/>
      <c r="BP83" s="30"/>
      <c r="BQ83" s="30"/>
      <c r="BR83" s="30"/>
      <c r="BS83" s="53"/>
      <c r="BV83" s="88"/>
      <c r="BX83" s="23"/>
      <c r="BY83" s="11"/>
      <c r="BZ83" s="11"/>
      <c r="CA83" s="11"/>
      <c r="CB83" s="30"/>
      <c r="CC83" s="97">
        <f t="shared" si="189"/>
        <v>38</v>
      </c>
      <c r="CF83" s="88"/>
      <c r="CH83" s="23">
        <v>6739</v>
      </c>
      <c r="CI83" s="23"/>
      <c r="CJ83" s="11"/>
      <c r="CK83" s="11"/>
      <c r="CL83" s="30"/>
      <c r="CM83" s="97">
        <f t="shared" si="190"/>
        <v>38</v>
      </c>
      <c r="CP83" s="88"/>
      <c r="CR83" s="102">
        <v>6739</v>
      </c>
      <c r="CS83" s="102"/>
      <c r="CT83" s="105"/>
      <c r="CU83" s="105"/>
      <c r="CV83" s="104"/>
      <c r="CW83" s="53">
        <f t="shared" si="159"/>
        <v>38</v>
      </c>
      <c r="CZ83" s="88"/>
      <c r="DB83" s="102">
        <v>6739</v>
      </c>
      <c r="DC83" s="102"/>
      <c r="DD83" s="105"/>
      <c r="DE83" s="105"/>
      <c r="DF83" s="104"/>
      <c r="DG83" s="53">
        <f t="shared" si="245"/>
        <v>38</v>
      </c>
      <c r="DJ83" s="88"/>
      <c r="DL83" s="102">
        <v>6739</v>
      </c>
      <c r="DM83" s="102"/>
      <c r="DN83" s="105"/>
      <c r="DO83" s="105"/>
      <c r="DP83" s="104"/>
      <c r="DQ83" s="53">
        <f t="shared" si="191"/>
        <v>38</v>
      </c>
      <c r="DT83" s="88"/>
      <c r="DV83" s="102">
        <v>6739</v>
      </c>
      <c r="DW83" s="102"/>
      <c r="DX83" s="105"/>
      <c r="DY83" s="105"/>
      <c r="DZ83" s="104"/>
      <c r="EA83" s="53">
        <f t="shared" si="246"/>
        <v>38</v>
      </c>
      <c r="ED83" s="88"/>
      <c r="EF83" s="102">
        <v>6739</v>
      </c>
      <c r="EG83" s="102"/>
      <c r="EH83" s="105"/>
      <c r="EI83" s="105"/>
      <c r="EJ83" s="104"/>
      <c r="EK83" s="53">
        <f t="shared" si="193"/>
        <v>38</v>
      </c>
      <c r="EP83" s="102">
        <v>6739</v>
      </c>
      <c r="EQ83" s="132">
        <v>2.1100000000000001E-2</v>
      </c>
      <c r="ER83" s="132">
        <v>2.8E-3</v>
      </c>
      <c r="ES83" s="133">
        <v>1.1000000000000001E-3</v>
      </c>
      <c r="ET83" s="134">
        <f t="shared" si="150"/>
        <v>8.7916666666666666E-4</v>
      </c>
      <c r="EU83" s="131">
        <f t="shared" si="195"/>
        <v>37.998899999999999</v>
      </c>
      <c r="EZ83" s="102">
        <v>6739</v>
      </c>
      <c r="FA83" s="132">
        <v>2.1100000000000001E-2</v>
      </c>
      <c r="FB83" s="132">
        <v>2.8E-3</v>
      </c>
      <c r="FC83" s="133">
        <v>1.1000000000000001E-3</v>
      </c>
      <c r="FD83" s="134">
        <f t="shared" si="151"/>
        <v>8.7916666666666666E-4</v>
      </c>
      <c r="FE83" s="131">
        <f t="shared" si="196"/>
        <v>37.998899999999999</v>
      </c>
      <c r="FJ83" s="102">
        <v>6739</v>
      </c>
      <c r="FK83" s="132">
        <v>2.1100000000000001E-2</v>
      </c>
      <c r="FL83" s="132">
        <v>2.8E-3</v>
      </c>
      <c r="FM83" s="133">
        <v>1.1000000000000001E-3</v>
      </c>
      <c r="FN83" s="134">
        <f t="shared" si="247"/>
        <v>8.7916666666666666E-4</v>
      </c>
      <c r="FO83" s="131">
        <f t="shared" si="198"/>
        <v>37.998899999999999</v>
      </c>
      <c r="FT83" s="102">
        <v>6739</v>
      </c>
      <c r="FU83" s="132">
        <v>2.1100000000000001E-2</v>
      </c>
      <c r="FV83" s="132">
        <v>2.8E-3</v>
      </c>
      <c r="FW83" s="133">
        <v>1.1000000000000001E-3</v>
      </c>
      <c r="FX83" s="134">
        <f t="shared" si="248"/>
        <v>8.7916666666666666E-4</v>
      </c>
      <c r="FY83" s="131">
        <f t="shared" si="249"/>
        <v>37.998899999999999</v>
      </c>
      <c r="FZ83">
        <f t="shared" si="200"/>
        <v>0</v>
      </c>
      <c r="GD83" s="102">
        <v>6739</v>
      </c>
      <c r="GE83" s="132">
        <v>2.1100000000000001E-2</v>
      </c>
      <c r="GF83" s="132">
        <v>2.8E-3</v>
      </c>
      <c r="GG83" s="133">
        <v>1.1000000000000001E-3</v>
      </c>
      <c r="GH83" s="134">
        <f t="shared" si="250"/>
        <v>8.7916666666666666E-4</v>
      </c>
      <c r="GI83" s="131">
        <f t="shared" si="201"/>
        <v>37.998899999999999</v>
      </c>
      <c r="GJ83">
        <f t="shared" si="160"/>
        <v>0</v>
      </c>
      <c r="GN83" s="102">
        <v>6739</v>
      </c>
      <c r="GO83" s="132">
        <v>2.1100000000000001E-2</v>
      </c>
      <c r="GP83" s="132">
        <v>2.8E-3</v>
      </c>
      <c r="GQ83" s="133">
        <v>1.1000000000000001E-3</v>
      </c>
      <c r="GR83" s="134">
        <f t="shared" si="252"/>
        <v>8.7916666666666666E-4</v>
      </c>
      <c r="GS83" s="131">
        <f t="shared" si="203"/>
        <v>37.998899999999999</v>
      </c>
      <c r="GT83">
        <f t="shared" si="161"/>
        <v>0</v>
      </c>
      <c r="GX83" s="102">
        <v>6739</v>
      </c>
      <c r="GY83" s="105">
        <f>VLOOKUP(GX83,Sheet3!$AJ$7:$AN$83,2,0)</f>
        <v>2.1100000000000001E-2</v>
      </c>
      <c r="GZ83" s="105">
        <f>VLOOKUP(GX83,Sheet3!$AJ$7:$AN$83,3,0)</f>
        <v>2.8E-3</v>
      </c>
      <c r="HA83" s="105">
        <f>VLOOKUP(GX83,Sheet3!$AJ$7:$AN$83,4,0)</f>
        <v>1.1000000000000001E-3</v>
      </c>
      <c r="HB83" s="134">
        <f t="shared" si="152"/>
        <v>8.7916666666666666E-4</v>
      </c>
      <c r="HC83" s="131">
        <f t="shared" si="204"/>
        <v>37.998899999999999</v>
      </c>
      <c r="HD83" s="159"/>
      <c r="HG83" s="159"/>
      <c r="HH83" s="159"/>
      <c r="HI83" s="102">
        <v>6739</v>
      </c>
      <c r="HJ83" s="105">
        <v>2.1100000000000001E-2</v>
      </c>
      <c r="HK83" s="105">
        <v>2.8E-3</v>
      </c>
      <c r="HL83" s="105">
        <v>1.1000000000000001E-3</v>
      </c>
      <c r="HM83" s="134">
        <f t="shared" si="153"/>
        <v>8.7916666666666666E-4</v>
      </c>
      <c r="HN83" s="131">
        <f t="shared" si="205"/>
        <v>37.998899999999999</v>
      </c>
      <c r="HO83" s="159"/>
      <c r="HQ83" s="183"/>
      <c r="HR83" s="183"/>
      <c r="HS83" s="102">
        <v>6739</v>
      </c>
      <c r="HT83" s="186">
        <v>2.1100000000000001E-2</v>
      </c>
      <c r="HU83" s="186">
        <v>2.8E-3</v>
      </c>
      <c r="HV83" s="186">
        <v>1.1000000000000001E-3</v>
      </c>
      <c r="HW83" s="187">
        <f t="shared" si="154"/>
        <v>8.7916666666666666E-4</v>
      </c>
      <c r="HX83" s="53">
        <f t="shared" si="207"/>
        <v>37.998899999999999</v>
      </c>
      <c r="HY83" s="183"/>
      <c r="IA83" s="194"/>
      <c r="IB83" s="194"/>
      <c r="IC83" s="102">
        <v>6739</v>
      </c>
      <c r="ID83" s="105">
        <v>2.1100000000000001E-2</v>
      </c>
      <c r="IE83" s="186">
        <v>2.8E-3</v>
      </c>
      <c r="IF83" s="186">
        <v>1.1000000000000001E-3</v>
      </c>
      <c r="IG83" s="187">
        <f t="shared" ref="IG83:IG85" si="253">ID83/24</f>
        <v>8.7916666666666666E-4</v>
      </c>
      <c r="IH83" s="186">
        <f t="shared" ref="IH83:IH85" si="254">$AJ83-IF83</f>
        <v>37.998899999999999</v>
      </c>
      <c r="II83" s="194"/>
      <c r="IM83" s="102">
        <v>6739</v>
      </c>
      <c r="IN83" s="105">
        <v>2.1100000000000001E-2</v>
      </c>
      <c r="IO83" s="186">
        <v>2.8E-3</v>
      </c>
      <c r="IP83" s="186">
        <v>1.1000000000000001E-3</v>
      </c>
      <c r="IQ83" s="187">
        <f t="shared" ref="IQ83:IQ85" si="255">IN83/24</f>
        <v>8.7916666666666666E-4</v>
      </c>
      <c r="IR83" s="186">
        <f t="shared" ref="IR83:IR85" si="256">$AJ83-IP83</f>
        <v>37.998899999999999</v>
      </c>
      <c r="IS83" s="195"/>
      <c r="IU83" s="202"/>
      <c r="IV83" s="202"/>
      <c r="IW83" s="102">
        <v>6739</v>
      </c>
      <c r="IX83" s="186">
        <v>2.1100000000000001E-2</v>
      </c>
      <c r="IY83" s="186">
        <v>2.8E-3</v>
      </c>
      <c r="IZ83" s="186">
        <v>1.1000000000000001E-3</v>
      </c>
      <c r="JA83" s="134">
        <f t="shared" si="155"/>
        <v>8.7916666666666666E-4</v>
      </c>
      <c r="JB83" s="186">
        <f t="shared" si="215"/>
        <v>37.998899999999999</v>
      </c>
      <c r="JC83" s="195"/>
      <c r="JE83" s="204"/>
      <c r="JF83" s="204"/>
      <c r="JG83" s="102">
        <v>6739</v>
      </c>
      <c r="JH83" s="105">
        <v>2.1100000000000001E-2</v>
      </c>
      <c r="JI83" s="186">
        <v>2.8E-3</v>
      </c>
      <c r="JJ83" s="186">
        <v>1.1000000000000001E-3</v>
      </c>
      <c r="JK83" s="134">
        <f t="shared" si="217"/>
        <v>8.7916666666666666E-4</v>
      </c>
      <c r="JL83" s="186">
        <f t="shared" si="218"/>
        <v>37.998899999999999</v>
      </c>
      <c r="JM83" s="195"/>
      <c r="JN83" s="204"/>
      <c r="JQ83" s="102">
        <v>6739</v>
      </c>
      <c r="JR83" s="105">
        <v>2.1100000000000001E-2</v>
      </c>
      <c r="JS83" s="186">
        <v>2.8E-3</v>
      </c>
      <c r="JT83" s="186">
        <v>1.1000000000000001E-3</v>
      </c>
      <c r="JU83" s="134">
        <f t="shared" ref="JU83:JU85" si="257">JR83/24</f>
        <v>8.7916666666666666E-4</v>
      </c>
      <c r="JV83" s="186">
        <f t="shared" si="220"/>
        <v>37.998899999999999</v>
      </c>
      <c r="JW83" s="195"/>
      <c r="JX83" s="213"/>
      <c r="JY83" s="213"/>
      <c r="JZ83" s="213"/>
      <c r="KA83" s="102">
        <v>6739</v>
      </c>
      <c r="KB83" s="186">
        <v>2.1100000000000001E-2</v>
      </c>
      <c r="KC83" s="186">
        <v>2.8E-3</v>
      </c>
      <c r="KD83" s="186">
        <v>1.1000000000000001E-3</v>
      </c>
      <c r="KE83" s="134">
        <f t="shared" ref="KE83:KE85" si="258">KB83/24</f>
        <v>8.7916666666666666E-4</v>
      </c>
      <c r="KF83" s="186">
        <f t="shared" si="222"/>
        <v>37.998899999999999</v>
      </c>
      <c r="KG83" s="195"/>
      <c r="KI83" s="219"/>
      <c r="KJ83" s="219"/>
      <c r="KK83" s="102">
        <v>6739</v>
      </c>
      <c r="KL83" s="105">
        <v>2.1100000000000001E-2</v>
      </c>
      <c r="KM83" s="105">
        <v>2.8E-3</v>
      </c>
      <c r="KN83" s="105">
        <v>1.1000000000000001E-3</v>
      </c>
      <c r="KO83" s="134">
        <f t="shared" si="156"/>
        <v>8.7916666666666666E-4</v>
      </c>
      <c r="KP83" s="186">
        <f t="shared" si="223"/>
        <v>37.998899999999999</v>
      </c>
      <c r="KQ83" s="195"/>
      <c r="KU83" s="102">
        <v>6739</v>
      </c>
      <c r="KV83" s="105">
        <v>2.1100000000000001E-2</v>
      </c>
      <c r="KW83" s="105">
        <v>2.8E-3</v>
      </c>
      <c r="KX83" s="105">
        <v>1.1000000000000001E-3</v>
      </c>
      <c r="KY83" s="134">
        <f t="shared" si="224"/>
        <v>8.7916666666666666E-4</v>
      </c>
      <c r="KZ83" s="186">
        <f t="shared" si="225"/>
        <v>37.998899999999999</v>
      </c>
      <c r="LA83" s="195"/>
      <c r="LE83" s="102">
        <v>6739</v>
      </c>
      <c r="LF83" s="105">
        <v>2.1100000000000001E-2</v>
      </c>
      <c r="LG83" s="105">
        <v>2.8E-3</v>
      </c>
      <c r="LH83" s="105">
        <v>1.1000000000000001E-3</v>
      </c>
      <c r="LI83" s="134">
        <f t="shared" si="226"/>
        <v>8.7916666666666666E-4</v>
      </c>
      <c r="LJ83" s="186">
        <f t="shared" si="227"/>
        <v>37.998899999999999</v>
      </c>
      <c r="LK83" s="195"/>
      <c r="LL83" s="231"/>
      <c r="LM83" s="231"/>
      <c r="LN83" s="231"/>
      <c r="LO83" s="102">
        <v>6739</v>
      </c>
      <c r="LP83" s="105">
        <v>2.1100000000000001E-2</v>
      </c>
      <c r="LQ83" s="105">
        <v>2.8E-3</v>
      </c>
      <c r="LR83" s="105">
        <v>1.1000000000000001E-3</v>
      </c>
      <c r="LS83" s="134">
        <f t="shared" si="228"/>
        <v>8.7916666666666666E-4</v>
      </c>
      <c r="LT83" s="186">
        <f t="shared" si="229"/>
        <v>37.998899999999999</v>
      </c>
      <c r="LU83" s="195"/>
      <c r="LW83" s="231"/>
      <c r="LX83" s="231"/>
      <c r="LY83" s="102">
        <v>6739</v>
      </c>
      <c r="LZ83" s="186">
        <v>2.1100000000000001E-2</v>
      </c>
      <c r="MA83" s="186">
        <v>2.8E-3</v>
      </c>
      <c r="MB83" s="186">
        <v>1.1000000000000001E-3</v>
      </c>
      <c r="MC83" s="134">
        <f t="shared" si="230"/>
        <v>8.7916666666666666E-4</v>
      </c>
      <c r="MD83" s="186">
        <f t="shared" si="231"/>
        <v>37.998899999999999</v>
      </c>
      <c r="ME83" s="195"/>
      <c r="MF83" s="231"/>
      <c r="MG83" s="231"/>
      <c r="MH83" s="231"/>
      <c r="MI83" s="102">
        <v>6739</v>
      </c>
      <c r="MJ83" s="186">
        <v>2.1100000000000001E-2</v>
      </c>
      <c r="MK83" s="186">
        <v>2.8E-3</v>
      </c>
      <c r="ML83" s="186">
        <v>1.1000000000000001E-3</v>
      </c>
      <c r="MM83" s="134">
        <f t="shared" si="232"/>
        <v>8.7916666666666666E-4</v>
      </c>
      <c r="MN83" s="186">
        <f t="shared" si="233"/>
        <v>37.998899999999999</v>
      </c>
      <c r="MO83" s="195"/>
      <c r="MP83" s="231"/>
      <c r="MQ83" s="231"/>
      <c r="MR83" s="231"/>
      <c r="MS83" s="102">
        <v>6739</v>
      </c>
      <c r="MT83" s="186">
        <v>2.1100000000000001E-2</v>
      </c>
      <c r="MU83" s="186">
        <v>2.8E-3</v>
      </c>
      <c r="MV83" s="186">
        <v>1.1000000000000001E-3</v>
      </c>
      <c r="MW83" s="134">
        <f t="shared" si="234"/>
        <v>8.7916666666666666E-4</v>
      </c>
      <c r="MX83" s="186">
        <f t="shared" si="235"/>
        <v>37.998899999999999</v>
      </c>
      <c r="MY83" s="195"/>
      <c r="MZ83" s="246"/>
      <c r="NA83" s="246"/>
      <c r="NB83" s="246"/>
      <c r="NC83" s="102">
        <v>6739</v>
      </c>
      <c r="ND83" s="186">
        <v>2.1100000000000001E-2</v>
      </c>
      <c r="NE83" s="186">
        <v>2.8E-3</v>
      </c>
      <c r="NF83" s="186">
        <v>1.1000000000000001E-3</v>
      </c>
      <c r="NG83" s="134">
        <f t="shared" si="236"/>
        <v>8.7916666666666666E-4</v>
      </c>
      <c r="NH83" s="186">
        <f t="shared" si="237"/>
        <v>37.998899999999999</v>
      </c>
      <c r="NI83" s="247"/>
      <c r="NK83" s="250"/>
      <c r="NL83" s="250"/>
      <c r="NM83" s="102">
        <v>6739</v>
      </c>
      <c r="NN83" s="186">
        <v>2.1100000000000001E-2</v>
      </c>
      <c r="NO83" s="186">
        <v>2.8E-3</v>
      </c>
      <c r="NP83" s="186">
        <v>1.1000000000000001E-3</v>
      </c>
      <c r="NQ83" s="134">
        <f t="shared" ref="NQ83:NQ85" si="259">NN83/24</f>
        <v>8.7916666666666666E-4</v>
      </c>
      <c r="NR83" s="186">
        <f t="shared" ref="NR83:NR85" si="260">$AJ83-NP83</f>
        <v>37.998899999999999</v>
      </c>
      <c r="NS83" s="247"/>
      <c r="NU83" s="250"/>
      <c r="NV83" s="250"/>
      <c r="NW83" s="102">
        <v>6739</v>
      </c>
      <c r="NX83" s="186">
        <v>2.1100000000000001E-2</v>
      </c>
      <c r="NY83" s="186">
        <v>2.8E-3</v>
      </c>
      <c r="NZ83" s="186">
        <v>1.1000000000000001E-3</v>
      </c>
      <c r="OA83" s="134">
        <f t="shared" ref="OA83:OA85" si="261">NX83/24</f>
        <v>8.7916666666666666E-4</v>
      </c>
      <c r="OB83" s="186">
        <f t="shared" ref="OB83:OB85" si="262">$AJ83-NZ83</f>
        <v>37.998899999999999</v>
      </c>
      <c r="OC83" s="247"/>
      <c r="OE83" s="250"/>
      <c r="OF83" s="250"/>
      <c r="OG83" s="102">
        <v>6739</v>
      </c>
      <c r="OH83" s="186">
        <v>2.1100000000000001E-2</v>
      </c>
      <c r="OI83" s="186">
        <v>2.8E-3</v>
      </c>
      <c r="OJ83" s="186">
        <v>1.1000000000000001E-3</v>
      </c>
      <c r="OK83" s="134">
        <v>8.7916666666666666E-4</v>
      </c>
      <c r="OL83" s="186">
        <v>37.998899999999999</v>
      </c>
      <c r="OM83" s="247"/>
      <c r="OQ83" s="102">
        <v>6739</v>
      </c>
      <c r="OR83" s="186">
        <v>2.1100000000000001E-2</v>
      </c>
      <c r="OS83" s="186">
        <v>2.8E-3</v>
      </c>
      <c r="OT83" s="186">
        <v>1.1000000000000001E-3</v>
      </c>
      <c r="OU83" s="134">
        <v>8.7916666666666666E-4</v>
      </c>
      <c r="OV83" s="186">
        <v>37.998899999999999</v>
      </c>
      <c r="OW83" s="247"/>
    </row>
    <row r="84" spans="1:413" ht="15.75" x14ac:dyDescent="0.25">
      <c r="A84">
        <v>76</v>
      </c>
      <c r="B84" s="13">
        <v>6726</v>
      </c>
      <c r="C84" s="13" t="s">
        <v>91</v>
      </c>
      <c r="D84" s="14">
        <v>38</v>
      </c>
      <c r="E84" s="8"/>
      <c r="F84" s="8"/>
      <c r="G84" s="8"/>
      <c r="H84" s="8"/>
      <c r="J84" s="23"/>
      <c r="K84" s="23"/>
      <c r="L84" s="23"/>
      <c r="M84" s="23"/>
      <c r="N84" s="25"/>
      <c r="O84" s="12"/>
      <c r="P84" s="19"/>
      <c r="R84" s="23"/>
      <c r="S84" s="23"/>
      <c r="T84" s="23"/>
      <c r="U84" s="23"/>
      <c r="V84" s="25"/>
      <c r="W84" s="12"/>
      <c r="X84" s="19"/>
      <c r="Z84" s="23"/>
      <c r="AA84" s="31"/>
      <c r="AB84" s="31"/>
      <c r="AC84" s="31"/>
      <c r="AD84" s="30"/>
      <c r="AE84" s="12"/>
      <c r="AF84" s="81"/>
      <c r="AG84">
        <v>76</v>
      </c>
      <c r="AH84" s="13">
        <v>6726</v>
      </c>
      <c r="AI84" s="13" t="s">
        <v>91</v>
      </c>
      <c r="AJ84" s="14">
        <v>38</v>
      </c>
      <c r="AL84" s="23"/>
      <c r="AM84" s="31"/>
      <c r="AN84" s="31"/>
      <c r="AO84" s="31"/>
      <c r="AP84" s="30"/>
      <c r="AQ84" s="53"/>
      <c r="AT84" s="39"/>
      <c r="AU84" s="23"/>
      <c r="AV84" s="31"/>
      <c r="AW84" s="31"/>
      <c r="AX84" s="31"/>
      <c r="AY84" s="30"/>
      <c r="AZ84" s="56"/>
      <c r="BD84" s="23"/>
      <c r="BE84" s="30"/>
      <c r="BF84" s="30"/>
      <c r="BG84" s="30"/>
      <c r="BH84" s="30"/>
      <c r="BI84" s="56"/>
      <c r="BJ84" s="88"/>
      <c r="BK84" s="88"/>
      <c r="BL84" s="88"/>
      <c r="BN84" s="23"/>
      <c r="BO84" s="30"/>
      <c r="BP84" s="30"/>
      <c r="BQ84" s="30"/>
      <c r="BR84" s="30"/>
      <c r="BS84" s="53"/>
      <c r="BV84" s="88"/>
      <c r="BX84" s="23"/>
      <c r="BY84" s="11"/>
      <c r="BZ84" s="11"/>
      <c r="CA84" s="11"/>
      <c r="CB84" s="30"/>
      <c r="CC84" s="97">
        <f t="shared" si="189"/>
        <v>38</v>
      </c>
      <c r="CF84" s="88"/>
      <c r="CH84" s="23">
        <v>6726</v>
      </c>
      <c r="CI84" s="23"/>
      <c r="CJ84" s="11"/>
      <c r="CK84" s="11"/>
      <c r="CL84" s="30"/>
      <c r="CM84" s="97">
        <f t="shared" si="190"/>
        <v>38</v>
      </c>
      <c r="CP84" s="88"/>
      <c r="CR84" s="102">
        <v>6726</v>
      </c>
      <c r="CS84" s="102"/>
      <c r="CT84" s="105"/>
      <c r="CU84" s="105"/>
      <c r="CV84" s="104"/>
      <c r="CW84" s="53">
        <f t="shared" si="159"/>
        <v>38</v>
      </c>
      <c r="CZ84" s="88"/>
      <c r="DB84" s="102">
        <v>6726</v>
      </c>
      <c r="DC84" s="102"/>
      <c r="DD84" s="105"/>
      <c r="DE84" s="105"/>
      <c r="DF84" s="104"/>
      <c r="DG84" s="53">
        <f t="shared" si="245"/>
        <v>38</v>
      </c>
      <c r="DJ84" s="88"/>
      <c r="DL84" s="102">
        <v>6726</v>
      </c>
      <c r="DM84" s="102"/>
      <c r="DN84" s="105"/>
      <c r="DO84" s="105"/>
      <c r="DP84" s="104"/>
      <c r="DQ84" s="53">
        <f t="shared" si="191"/>
        <v>38</v>
      </c>
      <c r="DT84" s="88"/>
      <c r="DV84" s="102">
        <v>6726</v>
      </c>
      <c r="DW84" s="102"/>
      <c r="DX84" s="105"/>
      <c r="DY84" s="105"/>
      <c r="DZ84" s="104"/>
      <c r="EA84" s="53">
        <f t="shared" si="246"/>
        <v>38</v>
      </c>
      <c r="ED84" s="88"/>
      <c r="EF84" s="102">
        <v>6726</v>
      </c>
      <c r="EG84" s="102"/>
      <c r="EH84" s="105"/>
      <c r="EI84" s="105"/>
      <c r="EJ84" s="104"/>
      <c r="EK84" s="53">
        <f t="shared" si="193"/>
        <v>38</v>
      </c>
      <c r="EP84" s="102">
        <v>6726</v>
      </c>
      <c r="EQ84" s="132">
        <v>7.7600000000000002E-2</v>
      </c>
      <c r="ER84" s="132">
        <v>1.04E-2</v>
      </c>
      <c r="ES84" s="133">
        <v>4.0000000000000001E-3</v>
      </c>
      <c r="ET84" s="134">
        <f t="shared" si="150"/>
        <v>3.2333333333333333E-3</v>
      </c>
      <c r="EU84" s="131">
        <f t="shared" si="195"/>
        <v>37.996000000000002</v>
      </c>
      <c r="EZ84" s="102">
        <v>6726</v>
      </c>
      <c r="FA84" s="132">
        <v>7.7600000000000002E-2</v>
      </c>
      <c r="FB84" s="132">
        <v>1.04E-2</v>
      </c>
      <c r="FC84" s="133">
        <v>4.0000000000000001E-3</v>
      </c>
      <c r="FD84" s="134">
        <f t="shared" si="151"/>
        <v>3.2333333333333333E-3</v>
      </c>
      <c r="FE84" s="131">
        <f t="shared" si="196"/>
        <v>37.996000000000002</v>
      </c>
      <c r="FJ84" s="102">
        <v>6726</v>
      </c>
      <c r="FK84" s="132">
        <v>7.7600000000000002E-2</v>
      </c>
      <c r="FL84" s="132">
        <v>1.04E-2</v>
      </c>
      <c r="FM84" s="133">
        <v>4.0000000000000001E-3</v>
      </c>
      <c r="FN84" s="134">
        <f t="shared" si="247"/>
        <v>3.2333333333333333E-3</v>
      </c>
      <c r="FO84" s="131">
        <f t="shared" si="198"/>
        <v>37.996000000000002</v>
      </c>
      <c r="FT84" s="102">
        <v>6726</v>
      </c>
      <c r="FU84" s="132">
        <v>7.7600000000000002E-2</v>
      </c>
      <c r="FV84" s="132">
        <v>1.04E-2</v>
      </c>
      <c r="FW84" s="133">
        <v>4.0000000000000001E-3</v>
      </c>
      <c r="FX84" s="134">
        <f t="shared" si="248"/>
        <v>3.2333333333333333E-3</v>
      </c>
      <c r="FY84" s="131">
        <f t="shared" si="249"/>
        <v>37.996000000000002</v>
      </c>
      <c r="FZ84">
        <f t="shared" si="200"/>
        <v>0</v>
      </c>
      <c r="GD84" s="102">
        <v>6726</v>
      </c>
      <c r="GE84" s="132">
        <v>7.7600000000000002E-2</v>
      </c>
      <c r="GF84" s="132">
        <v>1.04E-2</v>
      </c>
      <c r="GG84" s="133">
        <v>4.0000000000000001E-3</v>
      </c>
      <c r="GH84" s="134">
        <f t="shared" si="250"/>
        <v>3.2333333333333333E-3</v>
      </c>
      <c r="GI84" s="131">
        <f t="shared" si="201"/>
        <v>37.996000000000002</v>
      </c>
      <c r="GJ84">
        <f t="shared" si="160"/>
        <v>0</v>
      </c>
      <c r="GN84" s="102">
        <v>6726</v>
      </c>
      <c r="GO84" s="132">
        <v>7.7600000000000002E-2</v>
      </c>
      <c r="GP84" s="132">
        <v>1.04E-2</v>
      </c>
      <c r="GQ84" s="133">
        <v>4.0000000000000001E-3</v>
      </c>
      <c r="GR84" s="134">
        <f t="shared" si="252"/>
        <v>3.2333333333333333E-3</v>
      </c>
      <c r="GS84" s="131">
        <f t="shared" si="203"/>
        <v>37.996000000000002</v>
      </c>
      <c r="GT84">
        <f t="shared" si="161"/>
        <v>0</v>
      </c>
      <c r="GX84" s="102">
        <v>6726</v>
      </c>
      <c r="GY84" s="105">
        <f>VLOOKUP(GX84,Sheet3!$AJ$7:$AN$83,2,0)</f>
        <v>7.7600000000000002E-2</v>
      </c>
      <c r="GZ84" s="105">
        <f>VLOOKUP(GX84,Sheet3!$AJ$7:$AN$83,3,0)</f>
        <v>1.04E-2</v>
      </c>
      <c r="HA84" s="105">
        <f>VLOOKUP(GX84,Sheet3!$AJ$7:$AN$83,4,0)</f>
        <v>4.0000000000000001E-3</v>
      </c>
      <c r="HB84" s="134">
        <f t="shared" si="152"/>
        <v>3.2333333333333333E-3</v>
      </c>
      <c r="HC84" s="131">
        <f t="shared" si="204"/>
        <v>37.996000000000002</v>
      </c>
      <c r="HD84" s="159"/>
      <c r="HG84" s="159"/>
      <c r="HH84" s="159"/>
      <c r="HI84" s="102">
        <v>6726</v>
      </c>
      <c r="HJ84" s="105">
        <v>7.7600000000000002E-2</v>
      </c>
      <c r="HK84" s="105">
        <v>1.04E-2</v>
      </c>
      <c r="HL84" s="105">
        <v>4.0000000000000001E-3</v>
      </c>
      <c r="HM84" s="134">
        <f t="shared" si="153"/>
        <v>3.2333333333333333E-3</v>
      </c>
      <c r="HN84" s="131">
        <f t="shared" si="205"/>
        <v>37.996000000000002</v>
      </c>
      <c r="HO84" s="159"/>
      <c r="HQ84" s="183"/>
      <c r="HR84" s="183"/>
      <c r="HS84" s="102">
        <v>6726</v>
      </c>
      <c r="HT84" s="186">
        <v>7.7600000000000002E-2</v>
      </c>
      <c r="HU84" s="186">
        <v>1.04E-2</v>
      </c>
      <c r="HV84" s="186">
        <v>4.0000000000000001E-3</v>
      </c>
      <c r="HW84" s="187">
        <f t="shared" si="154"/>
        <v>3.2333333333333333E-3</v>
      </c>
      <c r="HX84" s="53">
        <f t="shared" si="207"/>
        <v>37.996000000000002</v>
      </c>
      <c r="HY84" s="183"/>
      <c r="IA84" s="194"/>
      <c r="IB84" s="194"/>
      <c r="IC84" s="102">
        <v>6726</v>
      </c>
      <c r="ID84" s="105">
        <v>7.7600000000000002E-2</v>
      </c>
      <c r="IE84" s="186">
        <v>1.04E-2</v>
      </c>
      <c r="IF84" s="186">
        <v>4.0000000000000001E-3</v>
      </c>
      <c r="IG84" s="187">
        <f t="shared" si="253"/>
        <v>3.2333333333333333E-3</v>
      </c>
      <c r="IH84" s="186">
        <f t="shared" si="254"/>
        <v>37.996000000000002</v>
      </c>
      <c r="II84" s="194"/>
      <c r="IM84" s="102">
        <v>6726</v>
      </c>
      <c r="IN84" s="105">
        <v>7.7600000000000002E-2</v>
      </c>
      <c r="IO84" s="186">
        <v>1.04E-2</v>
      </c>
      <c r="IP84" s="186">
        <v>4.0000000000000001E-3</v>
      </c>
      <c r="IQ84" s="187">
        <f t="shared" si="255"/>
        <v>3.2333333333333333E-3</v>
      </c>
      <c r="IR84" s="186">
        <f t="shared" si="256"/>
        <v>37.996000000000002</v>
      </c>
      <c r="IU84" s="202"/>
      <c r="IV84" s="202"/>
      <c r="IW84" s="102">
        <v>6726</v>
      </c>
      <c r="IX84" s="186">
        <v>7.7600000000000002E-2</v>
      </c>
      <c r="IY84" s="186">
        <v>1.04E-2</v>
      </c>
      <c r="IZ84" s="186">
        <v>4.0000000000000001E-3</v>
      </c>
      <c r="JA84" s="134">
        <f t="shared" si="155"/>
        <v>3.2333333333333333E-3</v>
      </c>
      <c r="JB84" s="186">
        <f t="shared" si="215"/>
        <v>37.996000000000002</v>
      </c>
      <c r="JC84" s="202"/>
      <c r="JE84" s="204"/>
      <c r="JF84" s="204"/>
      <c r="JG84" s="102">
        <v>6726</v>
      </c>
      <c r="JH84" s="105">
        <v>7.7600000000000002E-2</v>
      </c>
      <c r="JI84" s="186">
        <v>1.04E-2</v>
      </c>
      <c r="JJ84" s="186">
        <v>4.0000000000000001E-3</v>
      </c>
      <c r="JK84" s="134">
        <f t="shared" si="217"/>
        <v>3.2333333333333333E-3</v>
      </c>
      <c r="JL84" s="186">
        <f t="shared" si="218"/>
        <v>37.996000000000002</v>
      </c>
      <c r="JM84" s="204"/>
      <c r="JN84" s="204"/>
      <c r="JQ84" s="102">
        <v>6726</v>
      </c>
      <c r="JR84" s="105">
        <v>7.7600000000000002E-2</v>
      </c>
      <c r="JS84" s="186">
        <v>1.04E-2</v>
      </c>
      <c r="JT84" s="186">
        <v>4.0000000000000001E-3</v>
      </c>
      <c r="JU84" s="134">
        <f t="shared" si="257"/>
        <v>3.2333333333333333E-3</v>
      </c>
      <c r="JV84" s="186">
        <f t="shared" si="220"/>
        <v>37.996000000000002</v>
      </c>
      <c r="JX84" s="213"/>
      <c r="JY84" s="213"/>
      <c r="JZ84" s="213"/>
      <c r="KA84" s="102">
        <v>6726</v>
      </c>
      <c r="KB84" s="105">
        <v>7.7600000000000002E-2</v>
      </c>
      <c r="KC84" s="186">
        <v>1.04E-2</v>
      </c>
      <c r="KD84" s="186">
        <v>4.0000000000000001E-3</v>
      </c>
      <c r="KE84" s="134">
        <f t="shared" si="258"/>
        <v>3.2333333333333333E-3</v>
      </c>
      <c r="KF84" s="186">
        <f t="shared" si="222"/>
        <v>37.996000000000002</v>
      </c>
      <c r="KG84" s="213"/>
      <c r="KI84" s="219"/>
      <c r="KJ84" s="219"/>
      <c r="KK84" s="102">
        <v>6726</v>
      </c>
      <c r="KL84" s="105">
        <v>7.7600000000000002E-2</v>
      </c>
      <c r="KM84" s="105">
        <v>1.04E-2</v>
      </c>
      <c r="KN84" s="105">
        <v>4.0000000000000001E-3</v>
      </c>
      <c r="KO84" s="134">
        <f t="shared" si="156"/>
        <v>3.2333333333333333E-3</v>
      </c>
      <c r="KP84" s="186">
        <f t="shared" si="223"/>
        <v>37.996000000000002</v>
      </c>
      <c r="KQ84" s="219"/>
      <c r="KU84" s="102">
        <v>6726</v>
      </c>
      <c r="KV84" s="105">
        <v>7.7600000000000002E-2</v>
      </c>
      <c r="KW84" s="105">
        <v>1.04E-2</v>
      </c>
      <c r="KX84" s="105">
        <v>4.0000000000000001E-3</v>
      </c>
      <c r="KY84" s="134">
        <f t="shared" si="224"/>
        <v>3.2333333333333333E-3</v>
      </c>
      <c r="KZ84" s="186">
        <f t="shared" si="225"/>
        <v>37.996000000000002</v>
      </c>
      <c r="LE84" s="102">
        <v>6726</v>
      </c>
      <c r="LF84" s="105">
        <v>7.7600000000000002E-2</v>
      </c>
      <c r="LG84" s="105">
        <v>1.04E-2</v>
      </c>
      <c r="LH84" s="105">
        <v>4.0000000000000001E-3</v>
      </c>
      <c r="LI84" s="134">
        <f t="shared" si="226"/>
        <v>3.2333333333333333E-3</v>
      </c>
      <c r="LJ84" s="186">
        <f t="shared" si="227"/>
        <v>37.996000000000002</v>
      </c>
      <c r="LL84" s="231"/>
      <c r="LM84" s="231"/>
      <c r="LN84" s="231"/>
      <c r="LO84" s="102">
        <v>6726</v>
      </c>
      <c r="LP84" s="105">
        <v>7.7600000000000002E-2</v>
      </c>
      <c r="LQ84" s="105">
        <v>1.04E-2</v>
      </c>
      <c r="LR84" s="105">
        <v>4.0000000000000001E-3</v>
      </c>
      <c r="LS84" s="134">
        <f t="shared" si="228"/>
        <v>3.2333333333333333E-3</v>
      </c>
      <c r="LT84" s="186">
        <f t="shared" si="229"/>
        <v>37.996000000000002</v>
      </c>
      <c r="LU84" s="231"/>
      <c r="LW84" s="231"/>
      <c r="LX84" s="231"/>
      <c r="LY84" s="102">
        <v>6726</v>
      </c>
      <c r="LZ84" s="105">
        <v>7.7600000000000002E-2</v>
      </c>
      <c r="MA84" s="105">
        <v>1.04E-2</v>
      </c>
      <c r="MB84" s="105">
        <v>4.0000000000000001E-3</v>
      </c>
      <c r="MC84" s="134">
        <f t="shared" si="230"/>
        <v>3.2333333333333333E-3</v>
      </c>
      <c r="MD84" s="186">
        <f t="shared" si="231"/>
        <v>37.996000000000002</v>
      </c>
      <c r="ME84" s="231"/>
      <c r="MF84" s="231"/>
      <c r="MG84" s="231"/>
      <c r="MH84" s="231"/>
      <c r="MI84" s="102">
        <v>6726</v>
      </c>
      <c r="MJ84" s="105">
        <v>7.7600000000000002E-2</v>
      </c>
      <c r="MK84" s="105">
        <v>1.04E-2</v>
      </c>
      <c r="ML84" s="105">
        <v>4.0000000000000001E-3</v>
      </c>
      <c r="MM84" s="134">
        <f t="shared" si="232"/>
        <v>3.2333333333333333E-3</v>
      </c>
      <c r="MN84" s="186">
        <f t="shared" si="233"/>
        <v>37.996000000000002</v>
      </c>
      <c r="MO84" s="231"/>
      <c r="MP84" s="231"/>
      <c r="MQ84" s="231"/>
      <c r="MR84" s="231"/>
      <c r="MS84" s="102">
        <v>6726</v>
      </c>
      <c r="MT84" s="186">
        <v>7.7600000000000002E-2</v>
      </c>
      <c r="MU84" s="186">
        <v>1.04E-2</v>
      </c>
      <c r="MV84" s="186">
        <v>4.0000000000000001E-3</v>
      </c>
      <c r="MW84" s="134">
        <f>MT84/24</f>
        <v>3.2333333333333333E-3</v>
      </c>
      <c r="MX84" s="186">
        <f t="shared" si="235"/>
        <v>37.996000000000002</v>
      </c>
      <c r="MY84" s="231"/>
      <c r="MZ84" s="246"/>
      <c r="NA84" s="246"/>
      <c r="NB84" s="246"/>
      <c r="NC84" s="102">
        <v>6726</v>
      </c>
      <c r="ND84" s="186">
        <v>7.7600000000000002E-2</v>
      </c>
      <c r="NE84" s="186">
        <v>1.04E-2</v>
      </c>
      <c r="NF84" s="186">
        <v>4.0000000000000001E-3</v>
      </c>
      <c r="NG84" s="134">
        <f>ND84/24</f>
        <v>3.2333333333333333E-3</v>
      </c>
      <c r="NH84" s="186">
        <f t="shared" si="237"/>
        <v>37.996000000000002</v>
      </c>
      <c r="NK84" s="250"/>
      <c r="NL84" s="250"/>
      <c r="NM84" s="102">
        <v>6726</v>
      </c>
      <c r="NN84" s="186">
        <v>7.7600000000000002E-2</v>
      </c>
      <c r="NO84" s="186">
        <v>1.04E-2</v>
      </c>
      <c r="NP84" s="186">
        <v>4.0000000000000001E-3</v>
      </c>
      <c r="NQ84" s="134">
        <f t="shared" si="259"/>
        <v>3.2333333333333333E-3</v>
      </c>
      <c r="NR84" s="186">
        <f t="shared" si="260"/>
        <v>37.996000000000002</v>
      </c>
      <c r="NS84" s="232"/>
      <c r="NU84" s="250"/>
      <c r="NV84" s="250"/>
      <c r="NW84" s="102">
        <v>6726</v>
      </c>
      <c r="NX84" s="186">
        <v>7.7600000000000002E-2</v>
      </c>
      <c r="NY84" s="186">
        <v>1.04E-2</v>
      </c>
      <c r="NZ84" s="186">
        <v>4.0000000000000001E-3</v>
      </c>
      <c r="OA84" s="134">
        <f t="shared" si="261"/>
        <v>3.2333333333333333E-3</v>
      </c>
      <c r="OB84" s="186">
        <f t="shared" si="262"/>
        <v>37.996000000000002</v>
      </c>
      <c r="OC84" s="232"/>
      <c r="OE84" s="250"/>
      <c r="OF84" s="250"/>
      <c r="OG84" s="102">
        <v>6726</v>
      </c>
      <c r="OH84" s="186">
        <v>7.7600000000000002E-2</v>
      </c>
      <c r="OI84" s="186">
        <v>1.04E-2</v>
      </c>
      <c r="OJ84" s="186">
        <v>4.0000000000000001E-3</v>
      </c>
      <c r="OK84" s="134">
        <v>3.2333333333333333E-3</v>
      </c>
      <c r="OL84" s="186">
        <v>37.996000000000002</v>
      </c>
      <c r="OM84" s="232"/>
      <c r="OQ84" s="102">
        <v>6726</v>
      </c>
      <c r="OR84" s="186">
        <v>7.7600000000000002E-2</v>
      </c>
      <c r="OS84" s="186">
        <v>1.04E-2</v>
      </c>
      <c r="OT84" s="186">
        <v>4.0000000000000001E-3</v>
      </c>
      <c r="OU84" s="134">
        <v>3.2333333333333333E-3</v>
      </c>
      <c r="OV84" s="186">
        <v>37.996000000000002</v>
      </c>
      <c r="OW84" s="232"/>
    </row>
    <row r="85" spans="1:413" ht="15.75" x14ac:dyDescent="0.25">
      <c r="A85">
        <v>77</v>
      </c>
      <c r="B85" s="13">
        <v>9592</v>
      </c>
      <c r="C85" s="13" t="s">
        <v>2</v>
      </c>
      <c r="D85" s="14">
        <v>38.33</v>
      </c>
      <c r="E85" s="8"/>
      <c r="F85" s="8"/>
      <c r="G85" s="8"/>
      <c r="H85" s="8"/>
      <c r="J85" s="23">
        <v>9592</v>
      </c>
      <c r="K85" s="23">
        <v>9.1585999999999999</v>
      </c>
      <c r="L85" s="23">
        <v>1.2273000000000001</v>
      </c>
      <c r="M85" s="23">
        <v>0.46760000000000002</v>
      </c>
      <c r="N85" s="25">
        <f t="shared" si="179"/>
        <v>0.38160833333333333</v>
      </c>
      <c r="O85" s="12">
        <f>D85-M85</f>
        <v>37.862400000000001</v>
      </c>
      <c r="P85" s="19"/>
      <c r="R85" s="23">
        <v>9592</v>
      </c>
      <c r="S85" s="11">
        <v>9.1585999999999999</v>
      </c>
      <c r="T85" s="11">
        <v>1.2273000000000001</v>
      </c>
      <c r="U85" s="11">
        <v>0.46760000000000002</v>
      </c>
      <c r="V85" s="25">
        <f t="shared" si="180"/>
        <v>0.38160833333333333</v>
      </c>
      <c r="W85" s="12">
        <f>D85-U85</f>
        <v>37.862400000000001</v>
      </c>
      <c r="X85" s="19"/>
      <c r="Z85" s="23">
        <v>9592</v>
      </c>
      <c r="AA85" s="29">
        <v>9.1585999999999999</v>
      </c>
      <c r="AB85" s="29">
        <v>1.2273000000000001</v>
      </c>
      <c r="AC85" s="29">
        <v>0.46760000000000002</v>
      </c>
      <c r="AD85" s="30">
        <f>AA85/24</f>
        <v>0.38160833333333333</v>
      </c>
      <c r="AE85" s="12">
        <f t="shared" si="182"/>
        <v>37.862400000000001</v>
      </c>
      <c r="AF85" s="81"/>
      <c r="AG85">
        <v>77</v>
      </c>
      <c r="AH85" s="13">
        <v>9592</v>
      </c>
      <c r="AI85" s="13" t="s">
        <v>2</v>
      </c>
      <c r="AJ85" s="14">
        <v>38.33</v>
      </c>
      <c r="AL85" s="23">
        <v>9592</v>
      </c>
      <c r="AM85" s="29">
        <v>9.1585999999999999</v>
      </c>
      <c r="AN85" s="29">
        <v>1.2273000000000001</v>
      </c>
      <c r="AO85" s="29">
        <v>0.46760000000000002</v>
      </c>
      <c r="AP85" s="30">
        <f>AM85/24</f>
        <v>0.38160833333333333</v>
      </c>
      <c r="AQ85" s="53">
        <f t="shared" si="243"/>
        <v>37.862400000000001</v>
      </c>
      <c r="AT85" s="39"/>
      <c r="AU85" s="23">
        <v>9592</v>
      </c>
      <c r="AV85" s="29">
        <v>9.1585999999999999</v>
      </c>
      <c r="AW85" s="29">
        <v>1.2273000000000001</v>
      </c>
      <c r="AX85" s="29">
        <v>0.46760000000000002</v>
      </c>
      <c r="AY85" s="30">
        <f>AV85/24</f>
        <v>0.38160833333333333</v>
      </c>
      <c r="AZ85" s="56">
        <f t="shared" si="244"/>
        <v>37.862400000000001</v>
      </c>
      <c r="BD85" s="23">
        <v>9592</v>
      </c>
      <c r="BE85" s="48">
        <v>9.1585999999999999</v>
      </c>
      <c r="BF85" s="48">
        <v>1.2273000000000001</v>
      </c>
      <c r="BG85" s="48">
        <v>0.46760000000000002</v>
      </c>
      <c r="BH85" s="30">
        <f>BE85/24</f>
        <v>0.38160833333333333</v>
      </c>
      <c r="BI85" s="56">
        <f t="shared" si="185"/>
        <v>37.862400000000001</v>
      </c>
      <c r="BJ85" s="88"/>
      <c r="BK85" s="88"/>
      <c r="BL85" s="88"/>
      <c r="BN85" s="23">
        <v>9592</v>
      </c>
      <c r="BO85" s="48">
        <v>9.1585999999999999</v>
      </c>
      <c r="BP85" s="48">
        <v>1.2273000000000001</v>
      </c>
      <c r="BQ85" s="48">
        <v>0.46760000000000002</v>
      </c>
      <c r="BR85" s="30">
        <f>BO85/24</f>
        <v>0.38160833333333333</v>
      </c>
      <c r="BS85" s="53">
        <f>AJ85-BQ85</f>
        <v>37.862400000000001</v>
      </c>
      <c r="BV85" s="88"/>
      <c r="BX85" s="23">
        <v>9592</v>
      </c>
      <c r="BY85" s="11">
        <v>9.1585999999999999</v>
      </c>
      <c r="BZ85" s="11">
        <v>1.2273000000000001</v>
      </c>
      <c r="CA85" s="11">
        <v>0.46760000000000002</v>
      </c>
      <c r="CB85" s="30">
        <f>BY85/24</f>
        <v>0.38160833333333333</v>
      </c>
      <c r="CC85" s="97">
        <f t="shared" si="189"/>
        <v>37.862400000000001</v>
      </c>
      <c r="CF85" s="88"/>
      <c r="CH85" s="23">
        <v>9592</v>
      </c>
      <c r="CI85" s="23">
        <v>9.1585999999999999</v>
      </c>
      <c r="CJ85" s="11">
        <v>1.2273000000000001</v>
      </c>
      <c r="CK85" s="11">
        <v>0.46760000000000002</v>
      </c>
      <c r="CL85" s="30">
        <f t="shared" si="147"/>
        <v>0.38160833333333333</v>
      </c>
      <c r="CM85" s="97">
        <f t="shared" si="190"/>
        <v>37.862400000000001</v>
      </c>
      <c r="CP85" s="88"/>
      <c r="CR85" s="102">
        <v>9592</v>
      </c>
      <c r="CS85" s="103">
        <v>9.1585999999999999</v>
      </c>
      <c r="CT85" s="103">
        <v>1.2273000000000001</v>
      </c>
      <c r="CU85" s="103">
        <v>0.46760000000000002</v>
      </c>
      <c r="CV85" s="104">
        <f t="shared" ref="CV85" si="263">CS85/24</f>
        <v>0.38160833333333333</v>
      </c>
      <c r="CW85" s="53">
        <f t="shared" si="159"/>
        <v>37.862400000000001</v>
      </c>
      <c r="CZ85" s="88"/>
      <c r="DB85" s="102">
        <v>9592</v>
      </c>
      <c r="DC85" s="103">
        <v>9.1585999999999999</v>
      </c>
      <c r="DD85" s="103">
        <v>1.2273000000000001</v>
      </c>
      <c r="DE85" s="103">
        <v>0.46760000000000002</v>
      </c>
      <c r="DF85" s="104">
        <f t="shared" ref="DF85" si="264">DC85/24</f>
        <v>0.38160833333333333</v>
      </c>
      <c r="DG85" s="53">
        <f t="shared" si="245"/>
        <v>37.862400000000001</v>
      </c>
      <c r="DJ85" s="88"/>
      <c r="DL85" s="102">
        <v>9592</v>
      </c>
      <c r="DM85" s="103">
        <v>9.1585999999999999</v>
      </c>
      <c r="DN85" s="103">
        <v>1.2273000000000001</v>
      </c>
      <c r="DO85" s="103">
        <v>0.46760000000000002</v>
      </c>
      <c r="DP85" s="104">
        <f t="shared" ref="DP85" si="265">DM85/24</f>
        <v>0.38160833333333333</v>
      </c>
      <c r="DQ85" s="53">
        <f t="shared" si="191"/>
        <v>37.862400000000001</v>
      </c>
      <c r="DT85" s="88"/>
      <c r="DV85" s="102">
        <v>9592</v>
      </c>
      <c r="DW85" s="103">
        <v>9.1585999999999999</v>
      </c>
      <c r="DX85" s="103">
        <v>1.2273000000000001</v>
      </c>
      <c r="DY85" s="103">
        <v>0.46760000000000002</v>
      </c>
      <c r="DZ85" s="104">
        <f t="shared" ref="DZ85" si="266">DW85/24</f>
        <v>0.38160833333333333</v>
      </c>
      <c r="EA85" s="53">
        <f t="shared" si="246"/>
        <v>37.862400000000001</v>
      </c>
      <c r="ED85" s="88"/>
      <c r="EF85" s="102">
        <v>9592</v>
      </c>
      <c r="EG85" s="103">
        <v>9.1585999999999999</v>
      </c>
      <c r="EH85" s="103">
        <v>1.2273000000000001</v>
      </c>
      <c r="EI85" s="103">
        <v>0.46760000000000002</v>
      </c>
      <c r="EJ85" s="104">
        <f t="shared" ref="EJ85" si="267">EG85/24</f>
        <v>0.38160833333333333</v>
      </c>
      <c r="EK85" s="53">
        <f t="shared" si="193"/>
        <v>37.862400000000001</v>
      </c>
      <c r="EP85" s="102">
        <v>9592</v>
      </c>
      <c r="EQ85" s="132">
        <v>9.1585999999999999</v>
      </c>
      <c r="ER85" s="132">
        <v>1.2273000000000001</v>
      </c>
      <c r="ES85" s="133">
        <v>0.46760000000000002</v>
      </c>
      <c r="ET85" s="134">
        <f t="shared" si="150"/>
        <v>0.38160833333333333</v>
      </c>
      <c r="EU85" s="131">
        <f t="shared" si="195"/>
        <v>37.862400000000001</v>
      </c>
      <c r="EZ85" s="102">
        <v>9592</v>
      </c>
      <c r="FA85" s="132">
        <v>9.1585999999999999</v>
      </c>
      <c r="FB85" s="132">
        <v>1.2273000000000001</v>
      </c>
      <c r="FC85" s="133">
        <v>0.46760000000000002</v>
      </c>
      <c r="FD85" s="134">
        <f t="shared" si="151"/>
        <v>0.38160833333333333</v>
      </c>
      <c r="FE85" s="131">
        <f t="shared" si="196"/>
        <v>37.862400000000001</v>
      </c>
      <c r="FJ85" s="102">
        <v>9592</v>
      </c>
      <c r="FK85" s="132">
        <v>9.1585999999999999</v>
      </c>
      <c r="FL85" s="132">
        <v>1.2273000000000001</v>
      </c>
      <c r="FM85" s="133">
        <v>0.46760000000000002</v>
      </c>
      <c r="FN85" s="134">
        <f t="shared" si="247"/>
        <v>0.38160833333333333</v>
      </c>
      <c r="FO85" s="131">
        <f t="shared" si="198"/>
        <v>37.862400000000001</v>
      </c>
      <c r="FT85" s="102">
        <v>9592</v>
      </c>
      <c r="FU85" s="132">
        <v>9.1585999999999999</v>
      </c>
      <c r="FV85" s="132">
        <v>1.2273000000000001</v>
      </c>
      <c r="FW85" s="133">
        <v>0.46760000000000002</v>
      </c>
      <c r="FX85" s="134">
        <f t="shared" si="248"/>
        <v>0.38160833333333333</v>
      </c>
      <c r="FY85" s="131">
        <f t="shared" si="249"/>
        <v>37.862400000000001</v>
      </c>
      <c r="FZ85">
        <f t="shared" si="200"/>
        <v>0</v>
      </c>
      <c r="GD85" s="102">
        <v>9592</v>
      </c>
      <c r="GE85" s="132">
        <v>9.1585999999999999</v>
      </c>
      <c r="GF85" s="132">
        <v>1.2273000000000001</v>
      </c>
      <c r="GG85" s="133">
        <v>0.46760000000000002</v>
      </c>
      <c r="GH85" s="134">
        <f t="shared" si="250"/>
        <v>0.38160833333333333</v>
      </c>
      <c r="GI85" s="131">
        <f t="shared" si="201"/>
        <v>37.862400000000001</v>
      </c>
      <c r="GJ85">
        <f t="shared" si="160"/>
        <v>0</v>
      </c>
      <c r="GN85" s="102">
        <v>9592</v>
      </c>
      <c r="GO85" s="132">
        <v>9.1585999999999999</v>
      </c>
      <c r="GP85" s="132">
        <v>1.2273000000000001</v>
      </c>
      <c r="GQ85" s="133">
        <v>0.46760000000000002</v>
      </c>
      <c r="GR85" s="134">
        <f t="shared" si="252"/>
        <v>0.38160833333333333</v>
      </c>
      <c r="GS85" s="131">
        <f t="shared" si="203"/>
        <v>37.862400000000001</v>
      </c>
      <c r="GT85">
        <f t="shared" si="161"/>
        <v>0</v>
      </c>
      <c r="GX85" s="102">
        <v>9592</v>
      </c>
      <c r="GY85" s="105">
        <f>VLOOKUP(GX85,Sheet3!$AJ$7:$AN$83,2,0)</f>
        <v>9.1585999999999999</v>
      </c>
      <c r="GZ85" s="105">
        <f>VLOOKUP(GX85,Sheet3!$AJ$7:$AN$83,3,0)</f>
        <v>1.2273000000000001</v>
      </c>
      <c r="HA85" s="105">
        <f>VLOOKUP(GX85,Sheet3!$AJ$7:$AN$83,4,0)</f>
        <v>0.46760000000000002</v>
      </c>
      <c r="HB85" s="134">
        <f t="shared" si="152"/>
        <v>0.38160833333333333</v>
      </c>
      <c r="HC85" s="131">
        <f t="shared" si="204"/>
        <v>37.862400000000001</v>
      </c>
      <c r="HD85" s="159"/>
      <c r="HG85" s="159"/>
      <c r="HH85" s="159"/>
      <c r="HI85" s="102">
        <v>9592</v>
      </c>
      <c r="HJ85" s="105">
        <v>9.1585999999999999</v>
      </c>
      <c r="HK85" s="105">
        <v>1.2273000000000001</v>
      </c>
      <c r="HL85" s="105">
        <v>0.46760000000000002</v>
      </c>
      <c r="HM85" s="134">
        <f t="shared" si="153"/>
        <v>0.38160833333333333</v>
      </c>
      <c r="HN85" s="131">
        <f t="shared" si="205"/>
        <v>37.862400000000001</v>
      </c>
      <c r="HO85" s="159"/>
      <c r="HQ85" s="183"/>
      <c r="HR85" s="183"/>
      <c r="HS85" s="102">
        <v>9592</v>
      </c>
      <c r="HT85" s="186">
        <v>9.1585999999999999</v>
      </c>
      <c r="HU85" s="186">
        <v>1.2273000000000001</v>
      </c>
      <c r="HV85" s="190">
        <v>0.46760000000000002</v>
      </c>
      <c r="HW85" s="187">
        <f t="shared" si="154"/>
        <v>0.38160833333333333</v>
      </c>
      <c r="HX85" s="53">
        <f t="shared" si="207"/>
        <v>37.862400000000001</v>
      </c>
      <c r="HY85" s="183"/>
      <c r="IA85" s="194"/>
      <c r="IB85" s="194"/>
      <c r="IC85" s="102">
        <v>9592</v>
      </c>
      <c r="ID85" s="105">
        <v>9.1585999999999999</v>
      </c>
      <c r="IE85" s="186">
        <v>1.2273000000000001</v>
      </c>
      <c r="IF85" s="186">
        <v>0.46760000000000002</v>
      </c>
      <c r="IG85" s="187">
        <f t="shared" si="253"/>
        <v>0.38160833333333333</v>
      </c>
      <c r="IH85" s="186">
        <f t="shared" si="254"/>
        <v>37.862400000000001</v>
      </c>
      <c r="II85" s="194"/>
      <c r="IM85" s="102">
        <v>9592</v>
      </c>
      <c r="IN85" s="105">
        <v>9.1585999999999999</v>
      </c>
      <c r="IO85" s="186">
        <v>1.2273000000000001</v>
      </c>
      <c r="IP85" s="186">
        <v>0.46760000000000002</v>
      </c>
      <c r="IQ85" s="187">
        <f t="shared" si="255"/>
        <v>0.38160833333333333</v>
      </c>
      <c r="IR85" s="186">
        <f t="shared" si="256"/>
        <v>37.862400000000001</v>
      </c>
      <c r="IU85" s="202"/>
      <c r="IV85" s="202"/>
      <c r="IW85" s="102">
        <v>9592</v>
      </c>
      <c r="IX85" s="186">
        <v>9.1585999999999999</v>
      </c>
      <c r="IY85" s="186">
        <v>1.2273000000000001</v>
      </c>
      <c r="IZ85" s="186">
        <v>0.46760000000000002</v>
      </c>
      <c r="JA85" s="134">
        <f t="shared" si="155"/>
        <v>0.38160833333333333</v>
      </c>
      <c r="JB85" s="186">
        <f t="shared" si="215"/>
        <v>37.862400000000001</v>
      </c>
      <c r="JC85" s="202"/>
      <c r="JE85" s="204"/>
      <c r="JF85" s="204"/>
      <c r="JG85" s="102">
        <v>9592</v>
      </c>
      <c r="JH85" s="105">
        <v>9.1585999999999999</v>
      </c>
      <c r="JI85" s="186">
        <v>1.2273000000000001</v>
      </c>
      <c r="JJ85" s="186">
        <v>0.46760000000000002</v>
      </c>
      <c r="JK85" s="134">
        <f t="shared" si="217"/>
        <v>0.38160833333333333</v>
      </c>
      <c r="JL85" s="186">
        <f t="shared" si="218"/>
        <v>37.862400000000001</v>
      </c>
      <c r="JM85" s="204"/>
      <c r="JN85" s="204"/>
      <c r="JQ85" s="102">
        <v>9592</v>
      </c>
      <c r="JR85" s="105">
        <v>9.1585999999999999</v>
      </c>
      <c r="JS85" s="186">
        <v>1.2273000000000001</v>
      </c>
      <c r="JT85" s="186">
        <v>0.46760000000000002</v>
      </c>
      <c r="JU85" s="134">
        <f t="shared" si="257"/>
        <v>0.38160833333333333</v>
      </c>
      <c r="JV85" s="186">
        <f t="shared" si="220"/>
        <v>37.862400000000001</v>
      </c>
      <c r="JX85" s="213"/>
      <c r="JY85" s="213"/>
      <c r="JZ85" s="213"/>
      <c r="KA85" s="102">
        <v>9592</v>
      </c>
      <c r="KB85" s="186">
        <v>9.1585999999999999</v>
      </c>
      <c r="KC85" s="186">
        <v>1.2273000000000001</v>
      </c>
      <c r="KD85" s="186">
        <v>0.46760000000000002</v>
      </c>
      <c r="KE85" s="134">
        <f t="shared" si="258"/>
        <v>0.38160833333333333</v>
      </c>
      <c r="KF85" s="186">
        <f t="shared" si="222"/>
        <v>37.862400000000001</v>
      </c>
      <c r="KG85" s="213"/>
      <c r="KI85" s="219"/>
      <c r="KJ85" s="219"/>
      <c r="KK85" s="102">
        <v>9592</v>
      </c>
      <c r="KL85" s="105">
        <v>9.1585999999999999</v>
      </c>
      <c r="KM85" s="105">
        <v>1.2273000000000001</v>
      </c>
      <c r="KN85" s="105">
        <v>0.46760000000000002</v>
      </c>
      <c r="KO85" s="134">
        <f t="shared" si="156"/>
        <v>0.38160833333333333</v>
      </c>
      <c r="KP85" s="186">
        <f t="shared" si="223"/>
        <v>37.862400000000001</v>
      </c>
      <c r="KQ85" s="219"/>
      <c r="KU85" s="102">
        <v>9592</v>
      </c>
      <c r="KV85" s="105">
        <v>9.1585999999999999</v>
      </c>
      <c r="KW85" s="105">
        <v>1.2273000000000001</v>
      </c>
      <c r="KX85" s="105">
        <v>0.46760000000000002</v>
      </c>
      <c r="KY85" s="134">
        <f t="shared" si="224"/>
        <v>0.38160833333333333</v>
      </c>
      <c r="KZ85" s="186">
        <f t="shared" si="225"/>
        <v>37.862400000000001</v>
      </c>
      <c r="LE85" s="102">
        <v>9592</v>
      </c>
      <c r="LF85" s="105">
        <v>9.1585999999999999</v>
      </c>
      <c r="LG85" s="105">
        <v>1.2273000000000001</v>
      </c>
      <c r="LH85" s="105">
        <v>0.46760000000000002</v>
      </c>
      <c r="LI85" s="134">
        <f t="shared" si="226"/>
        <v>0.38160833333333333</v>
      </c>
      <c r="LJ85" s="186">
        <f t="shared" si="227"/>
        <v>37.862400000000001</v>
      </c>
      <c r="LL85" s="231"/>
      <c r="LM85" s="231"/>
      <c r="LN85" s="231"/>
      <c r="LO85" s="102">
        <v>9592</v>
      </c>
      <c r="LP85" s="105">
        <v>9.1585999999999999</v>
      </c>
      <c r="LQ85" s="105">
        <v>1.2273000000000001</v>
      </c>
      <c r="LR85" s="105">
        <v>0.46760000000000002</v>
      </c>
      <c r="LS85" s="134">
        <f t="shared" si="228"/>
        <v>0.38160833333333333</v>
      </c>
      <c r="LT85" s="186">
        <f t="shared" si="229"/>
        <v>37.862400000000001</v>
      </c>
      <c r="LU85" s="231"/>
      <c r="LW85" s="231"/>
      <c r="LX85" s="231"/>
      <c r="LY85" s="102">
        <v>9592</v>
      </c>
      <c r="LZ85" s="186">
        <v>9.1585999999999999</v>
      </c>
      <c r="MA85" s="186">
        <v>1.2273000000000001</v>
      </c>
      <c r="MB85" s="186">
        <v>0.46760000000000002</v>
      </c>
      <c r="MC85" s="134">
        <f t="shared" si="230"/>
        <v>0.38160833333333333</v>
      </c>
      <c r="MD85" s="186">
        <f t="shared" si="231"/>
        <v>37.862400000000001</v>
      </c>
      <c r="ME85" s="231"/>
      <c r="MF85" s="231"/>
      <c r="MG85" s="231"/>
      <c r="MH85" s="231"/>
      <c r="MI85" s="102">
        <v>9592</v>
      </c>
      <c r="MJ85" s="186">
        <v>9.1585999999999999</v>
      </c>
      <c r="MK85" s="186">
        <v>1.2273000000000001</v>
      </c>
      <c r="ML85" s="186">
        <v>0.46760000000000002</v>
      </c>
      <c r="MM85" s="134">
        <f t="shared" si="232"/>
        <v>0.38160833333333333</v>
      </c>
      <c r="MN85" s="186">
        <f t="shared" si="233"/>
        <v>37.862400000000001</v>
      </c>
      <c r="MO85" s="231"/>
      <c r="MP85" s="231"/>
      <c r="MQ85" s="231"/>
      <c r="MR85" s="231"/>
      <c r="MS85" s="102">
        <v>9592</v>
      </c>
      <c r="MT85" s="186">
        <v>9.1585999999999999</v>
      </c>
      <c r="MU85" s="186">
        <v>1.2273000000000001</v>
      </c>
      <c r="MV85" s="186">
        <v>0.46760000000000002</v>
      </c>
      <c r="MW85" s="134">
        <f t="shared" si="234"/>
        <v>0.38160833333333333</v>
      </c>
      <c r="MX85" s="186">
        <f t="shared" si="235"/>
        <v>37.862400000000001</v>
      </c>
      <c r="MY85" s="231"/>
      <c r="MZ85" s="246"/>
      <c r="NA85" s="246"/>
      <c r="NB85" s="246"/>
      <c r="NC85" s="102">
        <v>9592</v>
      </c>
      <c r="ND85" s="186">
        <v>9.1585999999999999</v>
      </c>
      <c r="NE85" s="186">
        <v>1.2273000000000001</v>
      </c>
      <c r="NF85" s="186">
        <v>0.46760000000000002</v>
      </c>
      <c r="NG85" s="134">
        <f t="shared" ref="NG85" si="268">ND85/24</f>
        <v>0.38160833333333333</v>
      </c>
      <c r="NH85" s="186">
        <f t="shared" si="237"/>
        <v>37.862400000000001</v>
      </c>
      <c r="NK85" s="250"/>
      <c r="NL85" s="250"/>
      <c r="NM85" s="102">
        <v>9592</v>
      </c>
      <c r="NN85" s="186">
        <v>9.1585999999999999</v>
      </c>
      <c r="NO85" s="186">
        <v>1.2273000000000001</v>
      </c>
      <c r="NP85" s="186">
        <v>0.46760000000000002</v>
      </c>
      <c r="NQ85" s="134">
        <f t="shared" si="259"/>
        <v>0.38160833333333333</v>
      </c>
      <c r="NR85" s="186">
        <f t="shared" si="260"/>
        <v>37.862400000000001</v>
      </c>
      <c r="NS85" s="232"/>
      <c r="NU85" s="250"/>
      <c r="NV85" s="250"/>
      <c r="NW85" s="102">
        <v>9592</v>
      </c>
      <c r="NX85" s="186">
        <v>9.1585999999999999</v>
      </c>
      <c r="NY85" s="186">
        <v>1.2273000000000001</v>
      </c>
      <c r="NZ85" s="186">
        <v>0.46760000000000002</v>
      </c>
      <c r="OA85" s="134">
        <f t="shared" si="261"/>
        <v>0.38160833333333333</v>
      </c>
      <c r="OB85" s="186">
        <f t="shared" si="262"/>
        <v>37.862400000000001</v>
      </c>
      <c r="OC85" s="232"/>
      <c r="OE85" s="250"/>
      <c r="OF85" s="250"/>
      <c r="OG85" s="102">
        <v>9592</v>
      </c>
      <c r="OH85" s="186">
        <v>9.1585999999999999</v>
      </c>
      <c r="OI85" s="186">
        <v>1.2273000000000001</v>
      </c>
      <c r="OJ85" s="186">
        <v>0.46760000000000002</v>
      </c>
      <c r="OK85" s="134">
        <v>0.38160833333333333</v>
      </c>
      <c r="OL85" s="186">
        <v>37.862400000000001</v>
      </c>
      <c r="OM85" s="232"/>
      <c r="OQ85" s="102">
        <v>9592</v>
      </c>
      <c r="OR85" s="186">
        <v>9.1585999999999999</v>
      </c>
      <c r="OS85" s="186">
        <v>1.2273000000000001</v>
      </c>
      <c r="OT85" s="186">
        <v>0.46760000000000002</v>
      </c>
      <c r="OU85" s="134">
        <v>0.38160833333333333</v>
      </c>
      <c r="OV85" s="186">
        <v>37.862400000000001</v>
      </c>
      <c r="OW85" s="232"/>
    </row>
    <row r="86" spans="1:413" x14ac:dyDescent="0.25">
      <c r="A86" t="s">
        <v>93</v>
      </c>
      <c r="E86">
        <v>33.112900000000003</v>
      </c>
      <c r="G86">
        <v>2563.8471</v>
      </c>
      <c r="I86" t="s">
        <v>97</v>
      </c>
      <c r="J86"/>
      <c r="K86"/>
      <c r="L86"/>
      <c r="M86" s="3">
        <f>SUM(M11:M79)</f>
        <v>33.693099999999987</v>
      </c>
      <c r="N86" s="4"/>
      <c r="O86" s="4">
        <f>SUM(O11:O79)</f>
        <v>2563.2668999999996</v>
      </c>
      <c r="Q86" t="s">
        <v>99</v>
      </c>
      <c r="U86" s="3">
        <f>SUM(U11:U79)</f>
        <v>33.920999999999992</v>
      </c>
      <c r="V86" s="4"/>
      <c r="W86" s="4">
        <f>SUM(W11:W79)</f>
        <v>2563.0390000000002</v>
      </c>
      <c r="Y86" t="s">
        <v>101</v>
      </c>
      <c r="AC86" s="3">
        <f>SUM(AC11:AC81)</f>
        <v>34.482699999999994</v>
      </c>
      <c r="AD86" s="4"/>
      <c r="AE86" s="4">
        <f>SUM(AE11:AE81)</f>
        <v>2638.4773000000005</v>
      </c>
      <c r="AF86" s="4"/>
      <c r="AG86" s="4"/>
      <c r="AK86" t="s">
        <v>103</v>
      </c>
      <c r="AO86" s="3">
        <f>SUM(AO11:AO81)</f>
        <v>35.102699999999992</v>
      </c>
      <c r="AP86" s="4"/>
      <c r="AQ86" s="4">
        <f>SUM(AQ11:AQ81)</f>
        <v>2637.8573000000006</v>
      </c>
      <c r="AT86" t="s">
        <v>106</v>
      </c>
      <c r="AU86" s="51"/>
      <c r="AV86" s="51"/>
      <c r="AW86" s="51"/>
      <c r="AX86" s="49">
        <f>SUM(AX11:AX81)</f>
        <v>35.36630000000001</v>
      </c>
      <c r="AY86" s="41"/>
      <c r="AZ86" s="50">
        <f>SUM(AZ11:AZ81)</f>
        <v>2637.5936999999994</v>
      </c>
      <c r="BB86" t="s">
        <v>110</v>
      </c>
      <c r="BC86" s="51"/>
      <c r="BD86" s="51"/>
      <c r="BE86" s="49"/>
      <c r="BG86" s="49">
        <f>SUM(BG11:BG81)</f>
        <v>35.395700000000012</v>
      </c>
      <c r="BH86" s="41"/>
      <c r="BI86" s="50">
        <f>SUM(BI11:BI81)</f>
        <v>2637.5643000000009</v>
      </c>
      <c r="BJ86" s="50"/>
      <c r="BK86" s="50"/>
      <c r="BL86" t="s">
        <v>113</v>
      </c>
      <c r="BM86" s="51"/>
      <c r="BN86" s="51"/>
      <c r="BO86" s="49"/>
      <c r="BP86" s="3"/>
      <c r="BQ86" s="49">
        <f>SUM(BQ11:BQ81)</f>
        <v>35.507799999999996</v>
      </c>
      <c r="BR86" s="41"/>
      <c r="BS86" s="50">
        <f>SUM(BS11:BS81)</f>
        <v>2637.4521999999993</v>
      </c>
      <c r="BV86" t="s">
        <v>116</v>
      </c>
      <c r="BW86" s="51"/>
      <c r="BX86" s="52"/>
      <c r="BY86" s="49"/>
      <c r="BZ86" s="3"/>
      <c r="CA86" s="49">
        <f>SUM(CA11:CA81)</f>
        <v>35.726899999999993</v>
      </c>
      <c r="CB86" s="41"/>
      <c r="CC86" s="50">
        <f>SUM(CC11:CC81)</f>
        <v>2637.233099999999</v>
      </c>
      <c r="CF86" t="s">
        <v>120</v>
      </c>
      <c r="CG86" s="51"/>
      <c r="CH86" s="52"/>
      <c r="CI86" s="50"/>
      <c r="CJ86" s="3"/>
      <c r="CK86" s="49">
        <f>SUM(CK11:CK81)</f>
        <v>35.915199999999999</v>
      </c>
      <c r="CL86" s="41"/>
      <c r="CM86" s="50">
        <f>SUM(CM11:CM81)</f>
        <v>2637.0448000000006</v>
      </c>
      <c r="CP86" t="s">
        <v>123</v>
      </c>
      <c r="CQ86" s="51"/>
      <c r="CR86" s="52"/>
      <c r="CS86" s="50"/>
      <c r="CT86" s="3"/>
      <c r="CU86" s="49">
        <f>SUM(CU11:CU81)</f>
        <v>36.151300000000013</v>
      </c>
      <c r="CV86" s="41"/>
      <c r="CW86" s="50">
        <f>SUM(CW11:CW81)</f>
        <v>2636.8087000000005</v>
      </c>
      <c r="CZ86" t="s">
        <v>128</v>
      </c>
      <c r="DA86" s="51"/>
      <c r="DB86" s="52"/>
      <c r="DC86" s="50"/>
      <c r="DD86" s="3"/>
      <c r="DE86" s="49">
        <f>SUM(DE11:DE81)</f>
        <v>36.174999999999997</v>
      </c>
      <c r="DF86" s="41"/>
      <c r="DG86" s="50">
        <f>SUM(DG11:DG81)</f>
        <v>2636.7849999999985</v>
      </c>
      <c r="DJ86" t="s">
        <v>130</v>
      </c>
      <c r="DK86" s="51"/>
      <c r="DL86" s="52"/>
      <c r="DM86" s="50"/>
      <c r="DN86" s="3"/>
      <c r="DO86" s="49">
        <f>SUM(DO11:DO81)</f>
        <v>36.445599999999985</v>
      </c>
      <c r="DP86" s="41"/>
      <c r="DQ86" s="50">
        <f>SUM(DQ11:DQ81)</f>
        <v>2636.5144000000014</v>
      </c>
      <c r="DT86" t="s">
        <v>140</v>
      </c>
      <c r="DU86" s="51"/>
      <c r="DV86" s="52"/>
      <c r="DW86" s="50"/>
      <c r="DX86" s="3"/>
      <c r="DY86" s="49">
        <f>SUM(DY11:DY81)</f>
        <v>36.614199999999997</v>
      </c>
      <c r="DZ86" s="41"/>
      <c r="EA86" s="50">
        <f>SUM(EA11:EA81)</f>
        <v>2636.3457999999987</v>
      </c>
      <c r="ED86" t="s">
        <v>141</v>
      </c>
      <c r="EE86" s="51"/>
      <c r="EF86" s="52"/>
      <c r="EG86" s="50"/>
      <c r="EH86" s="3"/>
      <c r="EI86" s="49">
        <f>SUM(EI11:EI81)</f>
        <v>36.877100000000013</v>
      </c>
      <c r="EJ86" s="41"/>
      <c r="EK86" s="50">
        <f>SUM(EK11:EK81)</f>
        <v>2636.0829000000012</v>
      </c>
      <c r="EN86" t="s">
        <v>144</v>
      </c>
      <c r="EO86" s="51"/>
      <c r="EP86" s="52"/>
      <c r="EQ86" s="50"/>
      <c r="ER86" s="3"/>
      <c r="ES86" s="49">
        <f>SUM(ES11:ES81)</f>
        <v>37.400500000000022</v>
      </c>
      <c r="EU86" s="123">
        <f>SUM(EU11:EU81)</f>
        <v>2635.5595000000003</v>
      </c>
      <c r="EX86" t="s">
        <v>145</v>
      </c>
      <c r="EY86" s="51"/>
      <c r="EZ86" s="52"/>
      <c r="FA86" s="50"/>
      <c r="FB86" s="3"/>
      <c r="FC86" s="49">
        <f>SUM(FC11:FC81)</f>
        <v>37.647000000000013</v>
      </c>
      <c r="FD86" s="124"/>
      <c r="FE86" s="123">
        <f>SUM(FE11:FE81)</f>
        <v>2635.313000000001</v>
      </c>
      <c r="FH86" t="s">
        <v>152</v>
      </c>
      <c r="FI86" s="51"/>
      <c r="FJ86" s="52"/>
      <c r="FK86" s="50"/>
      <c r="FL86" s="3"/>
      <c r="FM86" s="49">
        <f>SUM(FM11:FM81)</f>
        <v>37.975800000000014</v>
      </c>
      <c r="FN86" s="124"/>
      <c r="FO86" s="123">
        <f>SUM(FO11:FO81)</f>
        <v>2634.9841999999999</v>
      </c>
      <c r="FR86" t="s">
        <v>158</v>
      </c>
      <c r="FS86" s="51"/>
      <c r="FT86" s="52"/>
      <c r="FU86" s="50"/>
      <c r="FV86" s="3"/>
      <c r="FW86" s="49">
        <f>SUM(FW11:FW81)</f>
        <v>38.043999999999997</v>
      </c>
      <c r="FX86" s="124"/>
      <c r="FY86" s="123">
        <f>SUM(FY11:FY81)</f>
        <v>2634.9159999999997</v>
      </c>
      <c r="GC86" s="51"/>
      <c r="GD86" s="52"/>
      <c r="GE86" s="50"/>
      <c r="GF86" s="3"/>
      <c r="GG86" s="49">
        <f>SUM(GG11:GG81)</f>
        <v>38.210900000000002</v>
      </c>
      <c r="GH86" s="124"/>
      <c r="GI86" s="123">
        <f>SUM(GI11:GI81)</f>
        <v>2634.7490999999995</v>
      </c>
      <c r="GL86" t="s">
        <v>169</v>
      </c>
      <c r="GM86" s="51"/>
      <c r="GN86" s="52"/>
      <c r="GO86" s="50"/>
      <c r="GP86" s="3"/>
      <c r="GQ86" s="49">
        <f>SUM(GQ11:GQ81)</f>
        <v>38.565600000000003</v>
      </c>
      <c r="GR86" s="124"/>
      <c r="GS86" s="123">
        <f>SUM(GS11:GS81)</f>
        <v>2634.3943999999992</v>
      </c>
      <c r="GV86" s="159" t="s">
        <v>172</v>
      </c>
      <c r="GW86" s="51"/>
      <c r="GX86" s="52"/>
      <c r="GY86" s="22"/>
      <c r="GZ86" s="22"/>
      <c r="HA86">
        <f>SUM(HA11:HA81)</f>
        <v>39.016500000000001</v>
      </c>
      <c r="HC86" s="49">
        <f>SUM(HC11:HC81)</f>
        <v>2633.9434999999989</v>
      </c>
      <c r="HD86" s="163"/>
      <c r="HE86" s="123"/>
      <c r="HG86" s="159" t="s">
        <v>180</v>
      </c>
      <c r="HH86" s="51"/>
      <c r="HI86" s="52"/>
      <c r="HJ86" s="22"/>
      <c r="HK86" s="22"/>
      <c r="HL86" s="49">
        <f>SUM(HL11:HL81)</f>
        <v>39.197699999999983</v>
      </c>
      <c r="HM86" s="163"/>
      <c r="HN86" s="123">
        <f>SUM(HN11:HN81)</f>
        <v>2633.7622999999999</v>
      </c>
      <c r="HO86" s="159"/>
      <c r="HQ86" s="183" t="s">
        <v>191</v>
      </c>
      <c r="HR86" s="51"/>
      <c r="HS86" s="52"/>
      <c r="HT86" s="188"/>
      <c r="HU86" s="188"/>
      <c r="HV86" s="188">
        <f>SUM(HV11:HV81)</f>
        <v>39.315099999999987</v>
      </c>
      <c r="HW86" s="189"/>
      <c r="HX86" s="53">
        <f>SUM(HX11:HX81)</f>
        <v>2633.6448999999984</v>
      </c>
      <c r="HY86" s="183"/>
      <c r="IA86" s="194" t="s">
        <v>199</v>
      </c>
      <c r="IB86" s="51"/>
      <c r="IC86" s="52"/>
      <c r="ID86" s="188"/>
      <c r="IE86" s="188"/>
      <c r="IF86" s="184">
        <f>SUM(IF11:IF81)</f>
        <v>39.367100000000022</v>
      </c>
      <c r="IG86" s="189"/>
      <c r="IH86" s="53">
        <f>SUM(IH11:IH81)</f>
        <v>2633.5929000000006</v>
      </c>
      <c r="II86" s="194"/>
      <c r="IK86" s="199" t="s">
        <v>203</v>
      </c>
      <c r="IL86" s="51"/>
      <c r="IM86" s="52"/>
      <c r="IN86" s="188"/>
      <c r="IO86" s="188"/>
      <c r="IP86" s="184">
        <f>SUM(IP11:IP81)</f>
        <v>39.636999999999993</v>
      </c>
      <c r="IQ86" s="189"/>
      <c r="IR86" s="53">
        <f>SUM(IR11:IR81)</f>
        <v>2633.3230000000012</v>
      </c>
      <c r="IU86" s="202" t="s">
        <v>209</v>
      </c>
      <c r="IV86" s="51"/>
      <c r="IW86" s="52"/>
      <c r="IX86" s="188"/>
      <c r="IY86" s="188"/>
      <c r="IZ86" s="184">
        <f>SUM(IZ11:IZ81)</f>
        <v>40.001100000000001</v>
      </c>
      <c r="JA86" s="189"/>
      <c r="JB86" s="53">
        <f>SUM(JB11:JB81)</f>
        <v>2632.9588999999996</v>
      </c>
      <c r="JC86" s="202"/>
      <c r="JE86" s="204" t="s">
        <v>214</v>
      </c>
      <c r="JF86" s="51"/>
      <c r="JG86" s="52"/>
      <c r="JH86" s="188"/>
      <c r="JI86" s="188"/>
      <c r="JJ86" s="184">
        <f>SUM(JJ11:JJ81)</f>
        <v>40.116299999999995</v>
      </c>
      <c r="JK86" s="189"/>
      <c r="JL86" s="53">
        <f>SUM(JL11:JL81)</f>
        <v>2632.8437000000008</v>
      </c>
      <c r="JM86" s="204"/>
      <c r="JN86" s="204"/>
      <c r="JO86" s="209" t="s">
        <v>219</v>
      </c>
      <c r="JP86" s="51"/>
      <c r="JQ86" s="52"/>
      <c r="JR86" s="188"/>
      <c r="JS86" s="188"/>
      <c r="JT86" s="184">
        <f>SUM(JT11:JT81)</f>
        <v>40.209999999999994</v>
      </c>
      <c r="JU86" s="189"/>
      <c r="JV86" s="53">
        <f>SUM(JV11:JV81)</f>
        <v>2632.75</v>
      </c>
      <c r="JX86" s="213"/>
      <c r="JY86" s="213" t="s">
        <v>223</v>
      </c>
      <c r="JZ86" s="51"/>
      <c r="KA86" s="52"/>
      <c r="KB86" s="188"/>
      <c r="KC86" s="188"/>
      <c r="KD86" s="184">
        <f>SUM(KD11:KD81)</f>
        <v>40.427700000000002</v>
      </c>
      <c r="KE86" s="189"/>
      <c r="KF86" s="53">
        <f>SUM(KF11:KF81)</f>
        <v>2632.5322999999989</v>
      </c>
      <c r="KG86" s="213"/>
      <c r="KI86" s="219" t="s">
        <v>228</v>
      </c>
      <c r="KJ86" s="51"/>
      <c r="KK86" s="52"/>
      <c r="KL86" s="188"/>
      <c r="KM86" s="188"/>
      <c r="KN86" s="184">
        <f>SUM(KN11:KN81)</f>
        <v>40.499999999999993</v>
      </c>
      <c r="KO86" s="189"/>
      <c r="KP86" s="53">
        <f>SUM(KP11:KP81)</f>
        <v>2632.4599999999987</v>
      </c>
      <c r="KQ86" s="219"/>
      <c r="KS86" s="223" t="s">
        <v>233</v>
      </c>
      <c r="KT86" s="51"/>
      <c r="KU86" s="52"/>
      <c r="KV86" s="188"/>
      <c r="KW86" s="188"/>
      <c r="KX86" s="161">
        <f>SUM(KX11:KX81)</f>
        <v>40.57709999999998</v>
      </c>
      <c r="KY86" s="189"/>
      <c r="KZ86" s="53">
        <f>SUM(KZ11:KZ81)</f>
        <v>2632.3828999999996</v>
      </c>
      <c r="LC86" s="228" t="s">
        <v>236</v>
      </c>
      <c r="LD86" s="51"/>
      <c r="LE86" s="52"/>
      <c r="LF86" s="188"/>
      <c r="LG86" s="188"/>
      <c r="LH86" s="161">
        <f>SUM(LH11:LH81)</f>
        <v>40.641100000000009</v>
      </c>
      <c r="LI86" s="189"/>
      <c r="LJ86" s="53">
        <f>SUM(LJ11:LJ81)</f>
        <v>2632.3189000000002</v>
      </c>
      <c r="LL86" s="231"/>
      <c r="LM86" s="231" t="s">
        <v>243</v>
      </c>
      <c r="LN86" s="51"/>
      <c r="LO86" s="52"/>
      <c r="LP86" s="188"/>
      <c r="LQ86" s="188"/>
      <c r="LR86" s="184">
        <f>SUM(LR11:LR81)</f>
        <v>40.730800000000016</v>
      </c>
      <c r="LS86" s="189"/>
      <c r="LT86" s="53">
        <f>SUM(LT11:LT81)</f>
        <v>2632.2291999999989</v>
      </c>
      <c r="LU86" s="231"/>
      <c r="LW86" s="231" t="s">
        <v>247</v>
      </c>
      <c r="LX86" s="51"/>
      <c r="LY86" s="52"/>
      <c r="LZ86" s="188"/>
      <c r="MA86" s="188"/>
      <c r="MB86" s="184">
        <f>SUM(MB11:MB81)</f>
        <v>40.832599999999999</v>
      </c>
      <c r="MC86" s="189"/>
      <c r="MD86" s="53">
        <f>SUM(MD11:MD81)</f>
        <v>2632.1273999999999</v>
      </c>
      <c r="ME86" s="231"/>
      <c r="MF86" s="231"/>
      <c r="MG86" s="231" t="s">
        <v>251</v>
      </c>
      <c r="MH86" s="51"/>
      <c r="MI86" s="52"/>
      <c r="MJ86" s="188"/>
      <c r="MK86" s="188"/>
      <c r="ML86" s="184">
        <f>SUM(ML11:ML81)</f>
        <v>40.932000000000016</v>
      </c>
      <c r="MM86" s="189"/>
      <c r="MN86" s="53">
        <f>SUM(MN11:MN81)</f>
        <v>2632.0279999999998</v>
      </c>
      <c r="MO86" s="231"/>
      <c r="MP86" s="231"/>
      <c r="MQ86" s="231" t="s">
        <v>254</v>
      </c>
      <c r="MR86" s="51"/>
      <c r="MS86" s="52"/>
      <c r="MT86" s="188"/>
      <c r="MU86" s="188"/>
      <c r="MV86" s="184">
        <f>SUM(MV11:MV81)</f>
        <v>41.122200000000007</v>
      </c>
      <c r="MW86" s="189"/>
      <c r="MX86" s="53">
        <f>SUM(MX11:MX81)</f>
        <v>2631.8378000000002</v>
      </c>
      <c r="MY86" s="231"/>
      <c r="MZ86" s="246"/>
      <c r="NA86" s="246" t="s">
        <v>259</v>
      </c>
      <c r="NB86" s="51"/>
      <c r="NC86" s="52"/>
      <c r="ND86" s="188"/>
      <c r="NE86" s="188"/>
      <c r="NF86" s="184">
        <f>SUM(NF11:NF81)</f>
        <v>41.315900000000013</v>
      </c>
      <c r="NG86" s="189"/>
      <c r="NH86" s="53">
        <f>SUM(NH11:NH81)</f>
        <v>2631.6440999999995</v>
      </c>
      <c r="NK86" s="250" t="s">
        <v>263</v>
      </c>
      <c r="NL86" s="51"/>
      <c r="NM86" s="52"/>
      <c r="NN86" s="188"/>
      <c r="NO86" s="188"/>
      <c r="NP86" s="184">
        <f>SUM(NP11:NP81)</f>
        <v>41.372799999999991</v>
      </c>
      <c r="NQ86" s="189"/>
      <c r="NR86" s="53">
        <f>SUM(NR11:NR81)</f>
        <v>2631.5871999999999</v>
      </c>
      <c r="NS86" s="232"/>
      <c r="NU86" s="250" t="s">
        <v>269</v>
      </c>
      <c r="NV86" s="51"/>
      <c r="NW86" s="52"/>
      <c r="NX86" s="188"/>
      <c r="NY86" s="188"/>
      <c r="NZ86" s="184">
        <f>SUM(NZ11:NZ81)</f>
        <v>41.463099999999997</v>
      </c>
      <c r="OA86" s="189"/>
      <c r="OB86" s="53">
        <f>SUM(OB11:OB81)</f>
        <v>2631.4968999999996</v>
      </c>
      <c r="OC86" s="232"/>
      <c r="OE86" s="250" t="s">
        <v>272</v>
      </c>
      <c r="OF86" s="51"/>
      <c r="OG86" s="52"/>
      <c r="OH86" s="188"/>
      <c r="OI86" s="188"/>
      <c r="OJ86" s="184">
        <f>SUM(OJ11:OJ81)</f>
        <v>41.508800000000008</v>
      </c>
      <c r="OK86" s="189"/>
      <c r="OL86" s="53">
        <f>SUM(OL11:OL81)</f>
        <v>2631.4512</v>
      </c>
      <c r="OM86" s="232"/>
      <c r="OO86" s="250" t="s">
        <v>285</v>
      </c>
      <c r="OP86" s="51"/>
      <c r="OQ86" s="52"/>
      <c r="OR86" s="188"/>
      <c r="OS86" s="188"/>
      <c r="OT86" s="184">
        <f>SUM(OT11:OT81)</f>
        <v>41.613400000000013</v>
      </c>
      <c r="OU86" s="189"/>
      <c r="OV86" s="53">
        <f>SUM(OV11:OV81)</f>
        <v>2631.3465999999994</v>
      </c>
      <c r="OW86" s="232"/>
    </row>
    <row r="87" spans="1:413" x14ac:dyDescent="0.25">
      <c r="A87" t="s">
        <v>94</v>
      </c>
      <c r="E87">
        <v>32.966200000000008</v>
      </c>
      <c r="I87" t="s">
        <v>96</v>
      </c>
      <c r="J87"/>
      <c r="K87"/>
      <c r="L87"/>
      <c r="M87" s="3" t="e">
        <f>#REF!</f>
        <v>#REF!</v>
      </c>
      <c r="N87" s="4"/>
      <c r="O87" s="4"/>
      <c r="Q87" t="s">
        <v>97</v>
      </c>
      <c r="U87" s="3">
        <f>M86</f>
        <v>33.693099999999987</v>
      </c>
      <c r="V87" s="4"/>
      <c r="W87" s="4"/>
      <c r="Y87" t="s">
        <v>102</v>
      </c>
      <c r="AC87" s="3">
        <f>U86</f>
        <v>33.920999999999992</v>
      </c>
      <c r="AD87" s="4"/>
      <c r="AE87" s="4"/>
      <c r="AF87" s="4"/>
      <c r="AG87" s="4"/>
      <c r="AH87" s="4"/>
      <c r="AI87" s="4"/>
      <c r="AK87" t="s">
        <v>107</v>
      </c>
      <c r="AO87" s="3">
        <f>AC86</f>
        <v>34.482699999999994</v>
      </c>
      <c r="AP87" s="4"/>
      <c r="AQ87" s="4"/>
      <c r="AT87" t="s">
        <v>108</v>
      </c>
      <c r="AU87" s="51"/>
      <c r="AV87" s="51"/>
      <c r="AW87" s="51"/>
      <c r="AX87" s="49">
        <f>AO86</f>
        <v>35.102699999999992</v>
      </c>
      <c r="AY87" s="41"/>
      <c r="AZ87" s="41"/>
      <c r="BB87" t="s">
        <v>111</v>
      </c>
      <c r="BC87" s="51"/>
      <c r="BD87" s="51"/>
      <c r="BE87" s="49"/>
      <c r="BG87" s="49">
        <f>AX86</f>
        <v>35.36630000000001</v>
      </c>
      <c r="BH87" s="41"/>
      <c r="BI87" s="41"/>
      <c r="BJ87" s="41"/>
      <c r="BK87" s="41"/>
      <c r="BL87" t="s">
        <v>114</v>
      </c>
      <c r="BM87" s="51"/>
      <c r="BN87" s="51"/>
      <c r="BO87" s="49"/>
      <c r="BP87" s="3"/>
      <c r="BQ87" s="49">
        <f>BG86</f>
        <v>35.395700000000012</v>
      </c>
      <c r="BR87" s="41"/>
      <c r="BS87" s="41"/>
      <c r="BV87" t="s">
        <v>117</v>
      </c>
      <c r="BW87" s="51"/>
      <c r="BX87" s="52"/>
      <c r="BY87" s="49"/>
      <c r="BZ87" s="3"/>
      <c r="CA87" s="49">
        <f>BQ86</f>
        <v>35.507799999999996</v>
      </c>
      <c r="CB87" s="41"/>
      <c r="CC87" s="41"/>
      <c r="CF87" t="s">
        <v>119</v>
      </c>
      <c r="CG87" s="51"/>
      <c r="CH87" s="52"/>
      <c r="CI87" s="50"/>
      <c r="CJ87" s="3"/>
      <c r="CK87" s="49">
        <f>CA86</f>
        <v>35.726899999999993</v>
      </c>
      <c r="CL87" s="41"/>
      <c r="CM87" s="41"/>
      <c r="CP87" t="s">
        <v>120</v>
      </c>
      <c r="CQ87" s="51"/>
      <c r="CR87" s="52"/>
      <c r="CS87" s="50"/>
      <c r="CT87" s="3"/>
      <c r="CU87" s="49">
        <f>CK86</f>
        <v>35.915199999999999</v>
      </c>
      <c r="CV87" s="41"/>
      <c r="CW87" s="41"/>
      <c r="CZ87" t="s">
        <v>123</v>
      </c>
      <c r="DA87" s="51"/>
      <c r="DB87" s="52"/>
      <c r="DC87" s="50"/>
      <c r="DD87" s="3"/>
      <c r="DE87" s="49">
        <f>CU86</f>
        <v>36.151300000000013</v>
      </c>
      <c r="DF87" s="41"/>
      <c r="DG87" s="41"/>
      <c r="DJ87" t="s">
        <v>128</v>
      </c>
      <c r="DK87" s="51"/>
      <c r="DL87" s="52"/>
      <c r="DM87" s="50"/>
      <c r="DN87" s="3"/>
      <c r="DO87" s="49">
        <f>DE86</f>
        <v>36.174999999999997</v>
      </c>
      <c r="DP87" s="41"/>
      <c r="DQ87" s="41"/>
      <c r="DT87" t="s">
        <v>130</v>
      </c>
      <c r="DU87" s="51"/>
      <c r="DV87" s="52"/>
      <c r="DW87" s="50"/>
      <c r="DX87" s="3"/>
      <c r="DY87" s="49">
        <f>DO86</f>
        <v>36.445599999999985</v>
      </c>
      <c r="DZ87" s="41"/>
      <c r="EA87" s="41"/>
      <c r="ED87" t="s">
        <v>140</v>
      </c>
      <c r="EE87" s="51"/>
      <c r="EF87" s="52"/>
      <c r="EG87" s="50"/>
      <c r="EH87" s="3"/>
      <c r="EI87" s="49">
        <f>DY86</f>
        <v>36.614199999999997</v>
      </c>
      <c r="EJ87" s="41"/>
      <c r="EK87" s="41"/>
      <c r="EN87" t="s">
        <v>123</v>
      </c>
      <c r="EO87" s="51"/>
      <c r="EP87" s="52"/>
      <c r="EQ87" s="50"/>
      <c r="ER87" s="3"/>
      <c r="ES87" s="49">
        <f>EI86</f>
        <v>36.877100000000013</v>
      </c>
      <c r="EX87" t="s">
        <v>128</v>
      </c>
      <c r="EY87" s="51"/>
      <c r="EZ87" s="52"/>
      <c r="FA87" s="50"/>
      <c r="FB87" s="3"/>
      <c r="FC87" s="49">
        <f>ES86</f>
        <v>37.400500000000022</v>
      </c>
      <c r="FD87" s="124"/>
      <c r="FE87" s="123"/>
      <c r="FH87" t="s">
        <v>145</v>
      </c>
      <c r="FI87" s="51"/>
      <c r="FJ87" s="52"/>
      <c r="FK87" s="50"/>
      <c r="FL87" s="3"/>
      <c r="FM87" s="49">
        <f>FC86</f>
        <v>37.647000000000013</v>
      </c>
      <c r="FN87" s="124"/>
      <c r="FO87" s="123"/>
      <c r="FR87" t="s">
        <v>152</v>
      </c>
      <c r="FS87" s="51"/>
      <c r="FT87" s="52"/>
      <c r="FU87" s="50"/>
      <c r="FV87" s="3"/>
      <c r="FW87" s="49">
        <f>FM86</f>
        <v>37.975800000000014</v>
      </c>
      <c r="FX87" s="124"/>
      <c r="FY87" s="123"/>
      <c r="GC87" s="51"/>
      <c r="GD87" s="52"/>
      <c r="GE87" s="50"/>
      <c r="GF87" s="3"/>
      <c r="GG87" s="49">
        <f>FW86</f>
        <v>38.043999999999997</v>
      </c>
      <c r="GH87" s="124"/>
      <c r="GI87" s="123"/>
      <c r="GL87" t="s">
        <v>168</v>
      </c>
      <c r="GM87" s="51"/>
      <c r="GN87" s="52"/>
      <c r="GO87" s="50"/>
      <c r="GP87" s="3"/>
      <c r="GQ87" s="49">
        <f>GG86</f>
        <v>38.210900000000002</v>
      </c>
      <c r="GR87" s="124"/>
      <c r="GS87" s="123"/>
      <c r="GV87" s="159" t="s">
        <v>173</v>
      </c>
      <c r="GW87" s="51"/>
      <c r="GX87" s="52"/>
      <c r="GY87" s="22"/>
      <c r="GZ87" s="22"/>
      <c r="HA87" s="3">
        <f>GQ86</f>
        <v>38.565600000000003</v>
      </c>
      <c r="HC87" s="49"/>
      <c r="HD87" s="163"/>
      <c r="HE87" s="123"/>
      <c r="HG87" s="159" t="s">
        <v>181</v>
      </c>
      <c r="HH87" s="51"/>
      <c r="HI87" s="52"/>
      <c r="HJ87" s="22"/>
      <c r="HK87" s="22"/>
      <c r="HL87" s="49">
        <f>HA86</f>
        <v>39.016500000000001</v>
      </c>
      <c r="HM87" s="163"/>
      <c r="HN87" s="123"/>
      <c r="HO87" s="159"/>
      <c r="HQ87" s="183" t="s">
        <v>192</v>
      </c>
      <c r="HR87" s="51"/>
      <c r="HS87" s="52"/>
      <c r="HT87" s="22"/>
      <c r="HU87" s="22"/>
      <c r="HV87" s="188">
        <f>HL86</f>
        <v>39.197699999999983</v>
      </c>
      <c r="HW87" s="163" t="s">
        <v>190</v>
      </c>
      <c r="HX87" s="123"/>
      <c r="HY87" s="183"/>
      <c r="IA87" s="194" t="s">
        <v>200</v>
      </c>
      <c r="IB87" s="51"/>
      <c r="IC87" s="52"/>
      <c r="ID87" s="22"/>
      <c r="IE87" s="22"/>
      <c r="IF87" s="184">
        <f>HV86</f>
        <v>39.315099999999987</v>
      </c>
      <c r="IG87" s="163" t="s">
        <v>190</v>
      </c>
      <c r="IH87" s="123"/>
      <c r="II87" s="194"/>
      <c r="IK87" s="199" t="s">
        <v>204</v>
      </c>
      <c r="IL87" s="51"/>
      <c r="IM87" s="52"/>
      <c r="IN87" s="22"/>
      <c r="IO87" s="22"/>
      <c r="IP87" s="184">
        <f>IF86</f>
        <v>39.367100000000022</v>
      </c>
      <c r="IQ87" s="163" t="s">
        <v>190</v>
      </c>
      <c r="IR87" s="123"/>
      <c r="IU87" s="202" t="s">
        <v>210</v>
      </c>
      <c r="IV87" s="51"/>
      <c r="IW87" s="52"/>
      <c r="IX87" s="22"/>
      <c r="IY87" s="22"/>
      <c r="IZ87" s="184">
        <f>IP86</f>
        <v>39.636999999999993</v>
      </c>
      <c r="JA87" s="163" t="s">
        <v>190</v>
      </c>
      <c r="JB87" s="123"/>
      <c r="JC87" s="202"/>
      <c r="JE87" s="204" t="s">
        <v>215</v>
      </c>
      <c r="JF87" s="51"/>
      <c r="JG87" s="52"/>
      <c r="JH87" s="22"/>
      <c r="JI87" s="22"/>
      <c r="JJ87" s="184">
        <f>IZ86</f>
        <v>40.001100000000001</v>
      </c>
      <c r="JK87" s="163" t="s">
        <v>190</v>
      </c>
      <c r="JL87" s="123"/>
      <c r="JM87" s="204"/>
      <c r="JN87" s="204"/>
      <c r="JO87" s="209" t="s">
        <v>220</v>
      </c>
      <c r="JP87" s="51"/>
      <c r="JQ87" s="52"/>
      <c r="JR87" s="22"/>
      <c r="JS87" s="22"/>
      <c r="JT87" s="184">
        <f>JJ86</f>
        <v>40.116299999999995</v>
      </c>
      <c r="JU87" s="163" t="s">
        <v>190</v>
      </c>
      <c r="JV87" s="123"/>
      <c r="JX87" s="213"/>
      <c r="JY87" s="213" t="s">
        <v>224</v>
      </c>
      <c r="JZ87" s="51"/>
      <c r="KA87" s="52"/>
      <c r="KB87" s="22"/>
      <c r="KC87" s="22"/>
      <c r="KD87" s="184">
        <f>JT86</f>
        <v>40.209999999999994</v>
      </c>
      <c r="KE87" s="163" t="s">
        <v>190</v>
      </c>
      <c r="KF87" s="123"/>
      <c r="KG87" s="213"/>
      <c r="KI87" s="219" t="s">
        <v>229</v>
      </c>
      <c r="KJ87" s="51"/>
      <c r="KK87" s="52"/>
      <c r="KL87" s="22"/>
      <c r="KM87" s="22"/>
      <c r="KN87" s="184">
        <f>KD86</f>
        <v>40.427700000000002</v>
      </c>
      <c r="KO87" s="163" t="s">
        <v>190</v>
      </c>
      <c r="KP87" s="220"/>
      <c r="KQ87" s="219"/>
      <c r="KS87" s="223" t="s">
        <v>228</v>
      </c>
      <c r="KT87" s="51"/>
      <c r="KU87" s="52"/>
      <c r="KV87" s="22"/>
      <c r="KW87" s="22"/>
      <c r="KX87" s="184">
        <f>KN86</f>
        <v>40.499999999999993</v>
      </c>
      <c r="KY87" s="163" t="s">
        <v>190</v>
      </c>
      <c r="KZ87" s="220"/>
      <c r="LC87" s="228" t="s">
        <v>233</v>
      </c>
      <c r="LD87" s="51"/>
      <c r="LE87" s="52"/>
      <c r="LF87" s="22"/>
      <c r="LG87" s="22"/>
      <c r="LH87" s="161">
        <f>KX86</f>
        <v>40.57709999999998</v>
      </c>
      <c r="LI87" s="163" t="s">
        <v>190</v>
      </c>
      <c r="LJ87" s="230"/>
      <c r="LL87" s="231"/>
      <c r="LM87" s="231" t="s">
        <v>236</v>
      </c>
      <c r="LN87" s="51"/>
      <c r="LO87" s="52"/>
      <c r="LP87" s="22"/>
      <c r="LQ87" s="22"/>
      <c r="LR87" s="161">
        <f>LH86</f>
        <v>40.641100000000009</v>
      </c>
      <c r="LS87" s="163" t="s">
        <v>190</v>
      </c>
      <c r="LT87" s="233"/>
      <c r="LU87" s="231"/>
      <c r="LW87" s="231" t="s">
        <v>243</v>
      </c>
      <c r="LX87" s="51"/>
      <c r="LY87" s="52"/>
      <c r="LZ87" s="22"/>
      <c r="MA87" s="22"/>
      <c r="MB87" s="184">
        <f>LR86</f>
        <v>40.730800000000016</v>
      </c>
      <c r="MC87" s="163" t="s">
        <v>190</v>
      </c>
      <c r="MD87" s="233"/>
      <c r="ME87" s="231"/>
      <c r="MF87" s="231"/>
      <c r="MG87" s="231" t="s">
        <v>247</v>
      </c>
      <c r="MH87" s="51"/>
      <c r="MI87" s="52"/>
      <c r="MJ87" s="22"/>
      <c r="MK87" s="22"/>
      <c r="ML87" s="184">
        <f>MB86</f>
        <v>40.832599999999999</v>
      </c>
      <c r="MM87" s="163" t="s">
        <v>190</v>
      </c>
      <c r="MN87" s="233"/>
      <c r="MO87" s="231"/>
      <c r="MP87" s="231"/>
      <c r="MQ87" s="231" t="s">
        <v>251</v>
      </c>
      <c r="MR87" s="51"/>
      <c r="MS87" s="52"/>
      <c r="MT87" s="22"/>
      <c r="MU87" s="22"/>
      <c r="MV87" s="184">
        <f>ML86</f>
        <v>40.932000000000016</v>
      </c>
      <c r="MW87" s="163" t="s">
        <v>190</v>
      </c>
      <c r="MX87" s="233"/>
      <c r="MY87" s="231"/>
      <c r="MZ87" s="246"/>
      <c r="NA87" s="246" t="s">
        <v>260</v>
      </c>
      <c r="NB87" s="51"/>
      <c r="NC87" s="52"/>
      <c r="ND87" s="22"/>
      <c r="NE87" s="22"/>
      <c r="NF87" s="184">
        <f>MV86</f>
        <v>41.122200000000007</v>
      </c>
      <c r="NG87" s="163" t="s">
        <v>190</v>
      </c>
      <c r="NH87" s="233"/>
      <c r="NK87" s="250" t="s">
        <v>259</v>
      </c>
      <c r="NL87" s="51"/>
      <c r="NM87" s="52"/>
      <c r="NN87" s="22"/>
      <c r="NO87" s="22"/>
      <c r="NP87" s="184">
        <f>NF86</f>
        <v>41.315900000000013</v>
      </c>
      <c r="NQ87" s="163" t="s">
        <v>190</v>
      </c>
      <c r="NR87" s="233"/>
      <c r="NS87" s="232"/>
      <c r="NU87" s="250" t="s">
        <v>263</v>
      </c>
      <c r="NV87" s="51"/>
      <c r="NW87" s="52"/>
      <c r="NX87" s="22"/>
      <c r="NY87" s="22"/>
      <c r="NZ87" s="184">
        <f>NP86</f>
        <v>41.372799999999991</v>
      </c>
      <c r="OA87" s="163" t="s">
        <v>190</v>
      </c>
      <c r="OB87" s="233"/>
      <c r="OC87" s="232"/>
      <c r="OE87" s="250" t="s">
        <v>269</v>
      </c>
      <c r="OF87" s="51"/>
      <c r="OG87" s="52"/>
      <c r="OH87" s="22"/>
      <c r="OI87" s="22"/>
      <c r="OJ87" s="184">
        <f>NZ86</f>
        <v>41.463099999999997</v>
      </c>
      <c r="OK87" s="163" t="s">
        <v>190</v>
      </c>
      <c r="OL87" s="233"/>
      <c r="OM87" s="232"/>
      <c r="OO87" s="250" t="s">
        <v>272</v>
      </c>
      <c r="OP87" s="51"/>
      <c r="OQ87" s="52"/>
      <c r="OR87" s="22"/>
      <c r="OS87" s="22"/>
      <c r="OT87" s="184">
        <f>OJ86</f>
        <v>41.508800000000008</v>
      </c>
      <c r="OU87" s="163" t="s">
        <v>190</v>
      </c>
      <c r="OV87" s="233"/>
      <c r="OW87" s="232"/>
    </row>
    <row r="88" spans="1:413" x14ac:dyDescent="0.25">
      <c r="A88" t="s">
        <v>11</v>
      </c>
      <c r="E88">
        <v>0.14669999999999561</v>
      </c>
      <c r="I88" t="s">
        <v>11</v>
      </c>
      <c r="J88"/>
      <c r="K88"/>
      <c r="L88"/>
      <c r="M88" s="3" t="e">
        <f>M86-M87</f>
        <v>#REF!</v>
      </c>
      <c r="N88" s="4"/>
      <c r="O88" s="4"/>
      <c r="Q88" t="s">
        <v>11</v>
      </c>
      <c r="U88" s="3">
        <f>U86-U87</f>
        <v>0.22790000000000532</v>
      </c>
      <c r="V88" s="4"/>
      <c r="W88" s="4"/>
      <c r="Y88" t="s">
        <v>11</v>
      </c>
      <c r="AC88" s="3">
        <f>AC86-AC87</f>
        <v>0.56170000000000186</v>
      </c>
      <c r="AD88" s="4">
        <v>6</v>
      </c>
      <c r="AE88" s="4"/>
      <c r="AF88" s="4"/>
      <c r="AG88" s="4"/>
      <c r="AH88" s="4"/>
      <c r="AI88" s="4"/>
      <c r="AK88" t="s">
        <v>11</v>
      </c>
      <c r="AO88" s="3">
        <f>AO86-AO87</f>
        <v>0.61999999999999744</v>
      </c>
      <c r="AP88" s="4"/>
      <c r="AQ88" s="4"/>
      <c r="AT88" s="51" t="s">
        <v>11</v>
      </c>
      <c r="AU88" s="51"/>
      <c r="AV88" s="51"/>
      <c r="AW88" s="51"/>
      <c r="AX88" s="49">
        <f>AX86-AX87</f>
        <v>0.26360000000001804</v>
      </c>
      <c r="AY88" s="41"/>
      <c r="AZ88" s="41"/>
      <c r="BB88" t="s">
        <v>11</v>
      </c>
      <c r="BC88" s="51"/>
      <c r="BD88" s="51"/>
      <c r="BE88" s="49"/>
      <c r="BG88" s="49">
        <f>BG86-BG87</f>
        <v>2.9400000000002535E-2</v>
      </c>
      <c r="BH88" s="41"/>
      <c r="BI88" s="41"/>
      <c r="BJ88" s="41"/>
      <c r="BK88" s="41"/>
      <c r="BL88" t="s">
        <v>11</v>
      </c>
      <c r="BM88" s="51"/>
      <c r="BN88" s="51"/>
      <c r="BO88" s="49"/>
      <c r="BP88" s="3"/>
      <c r="BQ88" s="49">
        <f>BQ86-BQ87</f>
        <v>0.11209999999998388</v>
      </c>
      <c r="BR88" s="41"/>
      <c r="BS88" s="41"/>
      <c r="BV88" t="s">
        <v>11</v>
      </c>
      <c r="BW88" s="51"/>
      <c r="BX88" s="52"/>
      <c r="BY88" s="49"/>
      <c r="BZ88" s="3"/>
      <c r="CA88" s="49">
        <f>CA86-CA87</f>
        <v>0.21909999999999741</v>
      </c>
      <c r="CB88" s="41"/>
      <c r="CC88" s="41"/>
      <c r="CF88" t="s">
        <v>11</v>
      </c>
      <c r="CG88" s="51"/>
      <c r="CH88" s="52"/>
      <c r="CI88" s="50"/>
      <c r="CJ88" s="3"/>
      <c r="CK88" s="49">
        <f>CK86-CK87</f>
        <v>0.18830000000000524</v>
      </c>
      <c r="CL88" s="41"/>
      <c r="CM88" s="41"/>
      <c r="CP88" t="s">
        <v>11</v>
      </c>
      <c r="CQ88" s="51"/>
      <c r="CR88" s="52"/>
      <c r="CS88" s="50"/>
      <c r="CT88" s="3"/>
      <c r="CU88" s="49">
        <f>CU86-CU87</f>
        <v>0.23610000000001463</v>
      </c>
      <c r="CV88" s="41"/>
      <c r="CW88" s="41"/>
      <c r="CZ88" t="s">
        <v>11</v>
      </c>
      <c r="DA88" s="51"/>
      <c r="DB88" s="52"/>
      <c r="DC88" s="50"/>
      <c r="DD88" s="3"/>
      <c r="DE88" s="49">
        <f>DE86-DE87</f>
        <v>2.3699999999983845E-2</v>
      </c>
      <c r="DF88" s="41"/>
      <c r="DG88" s="41"/>
      <c r="DJ88" t="s">
        <v>11</v>
      </c>
      <c r="DK88" s="51"/>
      <c r="DL88" s="52"/>
      <c r="DM88" s="50"/>
      <c r="DN88" s="3"/>
      <c r="DO88" s="49">
        <f>DO86-DO87</f>
        <v>0.27059999999998752</v>
      </c>
      <c r="DP88" s="41"/>
      <c r="DQ88" s="41"/>
      <c r="DT88" t="s">
        <v>11</v>
      </c>
      <c r="DU88" s="51"/>
      <c r="DV88" s="52"/>
      <c r="DW88" s="50"/>
      <c r="DX88" s="3"/>
      <c r="DY88" s="49">
        <f>DY86-DY87</f>
        <v>0.16860000000001207</v>
      </c>
      <c r="DZ88" s="41"/>
      <c r="EA88" s="41"/>
      <c r="ED88" t="s">
        <v>11</v>
      </c>
      <c r="EE88" s="51"/>
      <c r="EF88" s="52"/>
      <c r="EG88" s="50"/>
      <c r="EH88" s="3"/>
      <c r="EI88" s="49">
        <f>EI86-EI87</f>
        <v>0.26290000000001612</v>
      </c>
      <c r="EJ88" s="41"/>
      <c r="EK88" s="41"/>
      <c r="EN88" t="s">
        <v>11</v>
      </c>
      <c r="EO88" s="51"/>
      <c r="EP88" s="52"/>
      <c r="EQ88" s="50"/>
      <c r="ER88" s="3"/>
      <c r="ES88" s="49">
        <f>ES86-ES87</f>
        <v>0.52340000000000941</v>
      </c>
      <c r="EX88" t="s">
        <v>11</v>
      </c>
      <c r="EY88" s="51"/>
      <c r="EZ88" s="52"/>
      <c r="FA88" s="50"/>
      <c r="FB88" s="3"/>
      <c r="FC88" s="49">
        <f>FC86-FC87</f>
        <v>0.24649999999999039</v>
      </c>
      <c r="FD88" s="124"/>
      <c r="FE88" s="123"/>
      <c r="FH88" t="s">
        <v>11</v>
      </c>
      <c r="FI88" s="51"/>
      <c r="FJ88" s="52"/>
      <c r="FK88" s="50"/>
      <c r="FL88" s="3"/>
      <c r="FM88" s="49">
        <f>FM86-FM87</f>
        <v>0.32880000000000109</v>
      </c>
      <c r="FN88" s="124"/>
      <c r="FO88" s="123"/>
      <c r="FR88" t="s">
        <v>11</v>
      </c>
      <c r="FS88" s="51"/>
      <c r="FT88" s="52"/>
      <c r="FU88" s="50"/>
      <c r="FV88" s="3"/>
      <c r="FW88" s="49">
        <f>FW86-FW87</f>
        <v>6.8199999999983163E-2</v>
      </c>
      <c r="FX88" s="124"/>
      <c r="FY88" s="123"/>
      <c r="GC88" s="51"/>
      <c r="GD88" s="52"/>
      <c r="GE88" s="50"/>
      <c r="GF88" s="3"/>
      <c r="GG88" s="49">
        <f>GG86-GG87</f>
        <v>0.16690000000000538</v>
      </c>
      <c r="GH88" s="124"/>
      <c r="GI88" s="123"/>
      <c r="GL88" t="s">
        <v>11</v>
      </c>
      <c r="GM88" s="51"/>
      <c r="GN88" s="52"/>
      <c r="GO88" s="50"/>
      <c r="GP88" s="3"/>
      <c r="GQ88" s="49">
        <f>GQ86-GQ87</f>
        <v>0.35470000000000113</v>
      </c>
      <c r="GR88" s="124"/>
      <c r="GS88" s="123"/>
      <c r="GV88" s="159" t="s">
        <v>11</v>
      </c>
      <c r="GW88" s="51"/>
      <c r="GX88" s="52"/>
      <c r="GY88" s="22"/>
      <c r="GZ88" s="22"/>
      <c r="HA88" s="3">
        <f>HA86-HA87</f>
        <v>0.45089999999999719</v>
      </c>
      <c r="HC88" s="49"/>
      <c r="HD88" s="163"/>
      <c r="HE88" s="123"/>
      <c r="HG88" s="159" t="s">
        <v>11</v>
      </c>
      <c r="HH88" s="51"/>
      <c r="HI88" s="52"/>
      <c r="HJ88" s="22"/>
      <c r="HK88" s="22"/>
      <c r="HL88" s="49">
        <f>HL86-HL87</f>
        <v>0.18119999999998271</v>
      </c>
      <c r="HM88" s="163"/>
      <c r="HN88" s="123"/>
      <c r="HO88" s="159"/>
      <c r="HQ88" s="183" t="s">
        <v>11</v>
      </c>
      <c r="HR88" s="51"/>
      <c r="HS88" s="52"/>
      <c r="HT88" s="22"/>
      <c r="HU88" s="22"/>
      <c r="HV88" s="188">
        <f>HV86-HV87</f>
        <v>0.1174000000000035</v>
      </c>
      <c r="HW88" s="163"/>
      <c r="HX88" s="123"/>
      <c r="HY88" s="183"/>
      <c r="IA88" s="194" t="s">
        <v>11</v>
      </c>
      <c r="IB88" s="51"/>
      <c r="IC88" s="52"/>
      <c r="ID88" s="22"/>
      <c r="IE88" s="22"/>
      <c r="IF88" s="184">
        <f>IF86-IF87</f>
        <v>5.2000000000035129E-2</v>
      </c>
      <c r="IG88" s="163"/>
      <c r="IH88" s="123"/>
      <c r="II88" s="194"/>
      <c r="IK88" s="199" t="s">
        <v>11</v>
      </c>
      <c r="IL88" s="51"/>
      <c r="IM88" s="52"/>
      <c r="IN88" s="22"/>
      <c r="IO88" s="22"/>
      <c r="IP88" s="184">
        <f>IP86-IP87</f>
        <v>0.26989999999997139</v>
      </c>
      <c r="IQ88" s="163"/>
      <c r="IR88" s="123"/>
      <c r="IU88" s="202" t="s">
        <v>11</v>
      </c>
      <c r="IV88" s="51"/>
      <c r="IW88" s="52"/>
      <c r="IX88" s="22"/>
      <c r="IY88" s="22"/>
      <c r="IZ88" s="184">
        <f>IZ86-IZ87</f>
        <v>0.36410000000000764</v>
      </c>
      <c r="JA88" s="163"/>
      <c r="JB88" s="123"/>
      <c r="JC88" s="202"/>
      <c r="JE88" s="204" t="s">
        <v>11</v>
      </c>
      <c r="JF88" s="51"/>
      <c r="JG88" s="52"/>
      <c r="JH88" s="22"/>
      <c r="JI88" s="22"/>
      <c r="JJ88" s="184">
        <f>JJ86-JJ87</f>
        <v>0.11519999999999442</v>
      </c>
      <c r="JK88" s="163"/>
      <c r="JL88" s="123"/>
      <c r="JM88" s="204"/>
      <c r="JN88" s="204"/>
      <c r="JO88" s="209" t="s">
        <v>11</v>
      </c>
      <c r="JP88" s="51"/>
      <c r="JQ88" s="52"/>
      <c r="JR88" s="22"/>
      <c r="JS88" s="22"/>
      <c r="JT88" s="184">
        <f>JT86-JT87</f>
        <v>9.369999999999834E-2</v>
      </c>
      <c r="JU88" s="163"/>
      <c r="JV88" s="123"/>
      <c r="JX88" s="213"/>
      <c r="JY88" s="213" t="s">
        <v>11</v>
      </c>
      <c r="JZ88" s="51"/>
      <c r="KA88" s="52"/>
      <c r="KB88" s="22"/>
      <c r="KC88" s="22"/>
      <c r="KD88" s="184">
        <f>KD86-KD87</f>
        <v>0.21770000000000778</v>
      </c>
      <c r="KE88" s="163"/>
      <c r="KF88" s="123"/>
      <c r="KG88" s="213"/>
      <c r="KI88" s="219" t="s">
        <v>11</v>
      </c>
      <c r="KJ88" s="51"/>
      <c r="KK88" s="52"/>
      <c r="KL88" s="22"/>
      <c r="KM88" s="22"/>
      <c r="KN88" s="184">
        <f>KN86-KN87</f>
        <v>7.2299999999991371E-2</v>
      </c>
      <c r="KO88" s="163"/>
      <c r="KP88" s="220"/>
      <c r="KQ88" s="219"/>
      <c r="KS88" s="223" t="s">
        <v>11</v>
      </c>
      <c r="KT88" s="51"/>
      <c r="KU88" s="52"/>
      <c r="KV88" s="22"/>
      <c r="KW88" s="22"/>
      <c r="KX88" s="184">
        <f>KX86-KX87</f>
        <v>7.709999999998729E-2</v>
      </c>
      <c r="KY88" s="163"/>
      <c r="KZ88" s="220"/>
      <c r="LC88" s="228" t="s">
        <v>11</v>
      </c>
      <c r="LD88" s="51"/>
      <c r="LE88" s="52"/>
      <c r="LF88" s="22"/>
      <c r="LG88" s="22"/>
      <c r="LH88" s="161">
        <f>LH86-LH87</f>
        <v>6.4000000000028479E-2</v>
      </c>
      <c r="LI88" s="163"/>
      <c r="LJ88" s="230"/>
      <c r="LL88" s="231"/>
      <c r="LM88" s="231" t="s">
        <v>11</v>
      </c>
      <c r="LN88" s="51"/>
      <c r="LO88" s="52"/>
      <c r="LP88" s="22"/>
      <c r="LQ88" s="22"/>
      <c r="LR88" s="184">
        <f>LR86-LR87</f>
        <v>8.9700000000007662E-2</v>
      </c>
      <c r="LS88" s="163"/>
      <c r="LT88" s="233"/>
      <c r="LU88" s="231"/>
      <c r="LW88" s="231" t="s">
        <v>11</v>
      </c>
      <c r="LX88" s="51"/>
      <c r="LY88" s="52"/>
      <c r="LZ88" s="22"/>
      <c r="MA88" s="22"/>
      <c r="MB88" s="184">
        <f>MB86-MB87</f>
        <v>0.10179999999998302</v>
      </c>
      <c r="MC88" s="163"/>
      <c r="MD88" s="233"/>
      <c r="ME88" s="231"/>
      <c r="MF88" s="231"/>
      <c r="MG88" s="231" t="s">
        <v>11</v>
      </c>
      <c r="MH88" s="51"/>
      <c r="MI88" s="52"/>
      <c r="MJ88" s="22"/>
      <c r="MK88" s="22"/>
      <c r="ML88" s="184">
        <f>ML86-ML87</f>
        <v>9.940000000001703E-2</v>
      </c>
      <c r="MM88" s="163"/>
      <c r="MN88" s="233"/>
      <c r="MO88" s="231"/>
      <c r="MP88" s="231"/>
      <c r="MQ88" s="231" t="s">
        <v>11</v>
      </c>
      <c r="MR88" s="51"/>
      <c r="MS88" s="52"/>
      <c r="MT88" s="22"/>
      <c r="MU88" s="22"/>
      <c r="MV88" s="184">
        <f>MV86-MV87</f>
        <v>0.19019999999999015</v>
      </c>
      <c r="MW88" s="163"/>
      <c r="MX88" s="233"/>
      <c r="MY88" s="231"/>
      <c r="MZ88" s="246"/>
      <c r="NA88" s="246" t="s">
        <v>11</v>
      </c>
      <c r="NB88" s="51"/>
      <c r="NC88" s="52"/>
      <c r="ND88" s="22"/>
      <c r="NE88" s="22"/>
      <c r="NF88" s="184">
        <f>NF86-NF87</f>
        <v>0.19370000000000687</v>
      </c>
      <c r="NG88" s="163"/>
      <c r="NH88" s="233"/>
      <c r="NK88" s="250" t="s">
        <v>11</v>
      </c>
      <c r="NL88" s="51"/>
      <c r="NM88" s="52"/>
      <c r="NN88" s="22"/>
      <c r="NO88" s="22"/>
      <c r="NP88" s="184">
        <f>NP86-NP87</f>
        <v>5.6899999999977524E-2</v>
      </c>
      <c r="NQ88" s="163"/>
      <c r="NR88" s="233"/>
      <c r="NS88" s="232"/>
      <c r="NU88" s="250" t="s">
        <v>11</v>
      </c>
      <c r="NV88" s="51"/>
      <c r="NW88" s="52"/>
      <c r="NX88" s="22"/>
      <c r="NY88" s="22"/>
      <c r="NZ88" s="184">
        <f>NZ86-NZ87</f>
        <v>9.0300000000006264E-2</v>
      </c>
      <c r="OA88" s="163"/>
      <c r="OB88" s="233"/>
      <c r="OC88" s="232"/>
      <c r="OE88" s="250" t="s">
        <v>11</v>
      </c>
      <c r="OF88" s="51"/>
      <c r="OG88" s="52"/>
      <c r="OH88" s="22"/>
      <c r="OI88" s="22"/>
      <c r="OJ88" s="184">
        <f>OJ86-OJ87</f>
        <v>4.5700000000010732E-2</v>
      </c>
      <c r="OK88" s="163"/>
      <c r="OL88" s="233"/>
      <c r="OM88" s="232"/>
      <c r="OO88" s="250" t="s">
        <v>11</v>
      </c>
      <c r="OP88" s="51"/>
      <c r="OQ88" s="52"/>
      <c r="OR88" s="22"/>
      <c r="OS88" s="22"/>
      <c r="OT88" s="184">
        <f>OT86-OT87</f>
        <v>0.10460000000000491</v>
      </c>
      <c r="OU88" s="163"/>
      <c r="OV88" s="233"/>
      <c r="OW88" s="232"/>
    </row>
    <row r="89" spans="1:413" x14ac:dyDescent="0.25">
      <c r="N89" s="4"/>
      <c r="O89" s="4"/>
      <c r="R89" s="5"/>
      <c r="S89" s="5"/>
      <c r="T89" s="5"/>
      <c r="U89" s="5"/>
      <c r="V89" s="4"/>
      <c r="W89" s="4"/>
      <c r="Z89" s="5"/>
      <c r="AA89" s="5"/>
      <c r="AB89" s="5"/>
      <c r="AC89" s="5"/>
      <c r="AD89" s="4"/>
      <c r="AE89" s="4"/>
      <c r="AF89" s="4"/>
      <c r="AG89" s="4"/>
      <c r="AH89" s="4"/>
      <c r="AI89" s="4"/>
      <c r="AL89" s="5"/>
      <c r="AM89" s="5"/>
      <c r="AN89" s="5"/>
      <c r="AO89" s="5"/>
      <c r="AP89" s="4"/>
      <c r="AQ89" s="4"/>
      <c r="AT89" s="39"/>
      <c r="AU89" s="42"/>
      <c r="AV89" s="42"/>
      <c r="AW89" s="42"/>
      <c r="AX89" s="42"/>
      <c r="AY89" s="41"/>
      <c r="AZ89" s="41"/>
      <c r="BD89" s="42"/>
      <c r="BE89" s="41"/>
      <c r="BF89" s="41"/>
      <c r="BG89" s="41"/>
      <c r="BH89" s="41"/>
      <c r="BI89" s="41"/>
      <c r="BJ89" s="41"/>
      <c r="BK89" s="41"/>
      <c r="BL89"/>
      <c r="BN89" s="42"/>
      <c r="BO89" s="41"/>
      <c r="BP89" s="41"/>
      <c r="BQ89" s="41"/>
      <c r="BR89" s="41"/>
      <c r="BS89" s="41"/>
      <c r="BX89" s="42"/>
      <c r="BY89" s="41"/>
      <c r="BZ89" s="41"/>
      <c r="CA89" s="41"/>
      <c r="CB89" s="41"/>
      <c r="CC89" s="41"/>
      <c r="CH89" s="42"/>
      <c r="CI89" s="41"/>
      <c r="CJ89" s="41"/>
      <c r="CK89" s="41"/>
      <c r="CL89" s="41"/>
      <c r="CM89" s="41"/>
      <c r="CP89" s="137"/>
      <c r="CQ89" s="137"/>
      <c r="CR89" s="138"/>
      <c r="CS89" s="139"/>
      <c r="CT89" s="139"/>
      <c r="CU89" s="139"/>
      <c r="CV89" s="139"/>
      <c r="CW89" s="139"/>
      <c r="DB89" s="42"/>
      <c r="DC89" s="41"/>
      <c r="DD89" s="41"/>
      <c r="DE89" s="41"/>
      <c r="DF89" s="41"/>
      <c r="DG89" s="41"/>
      <c r="DL89" s="42"/>
      <c r="DM89" s="41"/>
      <c r="DN89" s="41"/>
      <c r="DO89" s="41"/>
      <c r="DP89" s="41"/>
      <c r="DQ89" s="41"/>
      <c r="DV89" s="42"/>
      <c r="DW89" s="41"/>
      <c r="DX89" s="41"/>
      <c r="DY89" s="41"/>
      <c r="DZ89" s="41"/>
      <c r="EA89" s="41"/>
      <c r="EF89" s="42"/>
      <c r="EG89" s="41"/>
      <c r="EH89" s="41"/>
      <c r="EI89" s="41"/>
      <c r="EJ89" s="41"/>
      <c r="EK89" s="41"/>
      <c r="EP89" s="42"/>
      <c r="EQ89" s="41"/>
      <c r="ER89" s="41"/>
      <c r="ES89" s="41"/>
      <c r="ET89" s="41"/>
      <c r="EU89" s="41"/>
      <c r="HG89" s="159"/>
      <c r="HH89" s="159"/>
      <c r="HI89" s="159"/>
      <c r="HJ89" s="159"/>
      <c r="HK89" s="159"/>
      <c r="HL89" s="159"/>
      <c r="HM89" s="159"/>
      <c r="HN89" s="159"/>
      <c r="HQ89" s="183"/>
      <c r="HR89" s="183"/>
      <c r="HS89" s="183"/>
      <c r="HT89" s="183"/>
      <c r="HU89" s="183"/>
      <c r="HV89" s="18"/>
      <c r="HW89" s="183"/>
      <c r="HX89" s="183"/>
      <c r="HY89" s="183"/>
      <c r="IA89" s="194"/>
      <c r="IB89" s="194"/>
      <c r="IC89" s="194"/>
      <c r="ID89" s="194"/>
      <c r="IE89" s="194"/>
      <c r="IF89" s="18"/>
      <c r="IG89" s="194"/>
      <c r="IH89" s="194"/>
      <c r="II89" s="194"/>
      <c r="IP89" s="18"/>
      <c r="IU89" s="202"/>
      <c r="IV89" s="202"/>
      <c r="IW89" s="202"/>
      <c r="IX89" s="202"/>
      <c r="IY89" s="202"/>
      <c r="IZ89" s="18"/>
      <c r="JA89" s="202"/>
      <c r="JB89" s="202"/>
      <c r="JC89" s="202"/>
      <c r="JE89" s="204"/>
      <c r="JF89" s="204"/>
      <c r="JG89" s="204"/>
      <c r="JH89" s="204"/>
      <c r="JI89" s="204"/>
      <c r="JJ89" s="18"/>
      <c r="JK89" s="204"/>
      <c r="JL89" s="204"/>
      <c r="JM89" s="204"/>
      <c r="JN89" s="204"/>
      <c r="JT89" s="18"/>
      <c r="JX89" s="213"/>
      <c r="JY89" s="213"/>
      <c r="JZ89" s="213"/>
      <c r="KA89" s="213"/>
      <c r="KB89" s="213"/>
      <c r="KC89" s="213"/>
      <c r="KD89" s="18"/>
      <c r="KE89" s="213"/>
      <c r="KF89" s="213"/>
      <c r="KG89" s="213"/>
      <c r="KI89" s="219"/>
      <c r="KJ89" s="219"/>
      <c r="KK89" s="219"/>
      <c r="KL89" s="219"/>
      <c r="KM89" s="219"/>
      <c r="KN89" s="18"/>
      <c r="KO89" s="219"/>
      <c r="KP89" s="219"/>
      <c r="KQ89" s="219"/>
      <c r="KX89" s="18"/>
      <c r="LH89" s="18"/>
      <c r="LL89" s="231"/>
      <c r="LM89" s="231"/>
      <c r="LN89" s="231"/>
      <c r="LO89" s="231"/>
      <c r="LP89" s="231"/>
      <c r="LQ89" s="231"/>
      <c r="LR89" s="18"/>
      <c r="LS89" s="231"/>
      <c r="LT89" s="231"/>
      <c r="LU89" s="231"/>
      <c r="LW89" s="231"/>
      <c r="LX89" s="231"/>
      <c r="LY89" s="231"/>
      <c r="LZ89" s="231"/>
      <c r="MA89" s="231"/>
      <c r="MB89" s="18"/>
      <c r="MC89" s="231"/>
      <c r="MD89" s="231"/>
      <c r="ME89" s="231"/>
      <c r="MF89" s="231"/>
      <c r="MG89" s="231"/>
      <c r="MH89" s="231"/>
      <c r="MI89" s="231"/>
      <c r="MJ89" s="231"/>
      <c r="MK89" s="231"/>
      <c r="ML89" s="18"/>
      <c r="MM89" s="231"/>
      <c r="MN89" s="231"/>
      <c r="MO89" s="231"/>
      <c r="MP89" s="231"/>
      <c r="MQ89" s="231"/>
      <c r="MR89" s="231"/>
      <c r="MS89" s="231"/>
      <c r="MT89" s="231"/>
      <c r="MU89" s="231"/>
      <c r="MV89" s="18"/>
      <c r="MW89" s="231"/>
      <c r="MX89" s="231"/>
      <c r="MY89" s="231"/>
      <c r="MZ89" s="246"/>
      <c r="NA89" s="246"/>
      <c r="NB89" s="246"/>
      <c r="NC89" s="246"/>
      <c r="ND89" s="246"/>
      <c r="NE89" s="246"/>
      <c r="NF89" s="18"/>
      <c r="NG89" s="246"/>
      <c r="NH89" s="246"/>
      <c r="NK89" s="250"/>
      <c r="NL89" s="250"/>
      <c r="NM89" s="250"/>
      <c r="NN89" s="250"/>
      <c r="NO89" s="250"/>
      <c r="NP89" s="18"/>
      <c r="NQ89" s="250"/>
      <c r="NR89" s="250"/>
      <c r="NS89" s="232"/>
      <c r="NU89" s="250"/>
      <c r="NV89" s="250"/>
      <c r="NW89" s="250"/>
      <c r="NX89" s="250"/>
      <c r="NY89" s="250"/>
      <c r="NZ89" s="18"/>
      <c r="OA89" s="250"/>
      <c r="OB89" s="250"/>
      <c r="OC89" s="232"/>
      <c r="OE89" s="250"/>
      <c r="OF89" s="250"/>
      <c r="OG89" s="250"/>
      <c r="OH89" s="250"/>
      <c r="OI89" s="250"/>
      <c r="OJ89" s="18"/>
      <c r="OK89" s="250"/>
      <c r="OL89" s="250"/>
      <c r="OM89" s="232"/>
      <c r="OT89" s="18"/>
      <c r="OW89" s="232"/>
    </row>
    <row r="90" spans="1:413" x14ac:dyDescent="0.25">
      <c r="E90">
        <v>2.1260869565216754E-3</v>
      </c>
      <c r="M90" s="4" t="e">
        <f>M88/69</f>
        <v>#REF!</v>
      </c>
      <c r="O90" s="4"/>
      <c r="R90" s="5"/>
      <c r="S90" s="5"/>
      <c r="T90" s="5"/>
      <c r="U90" s="4">
        <f>U88/69</f>
        <v>3.3028985507247148E-3</v>
      </c>
      <c r="V90" s="5"/>
      <c r="W90" s="4"/>
      <c r="Z90" s="5"/>
      <c r="AA90" s="5"/>
      <c r="AB90" s="5"/>
      <c r="AC90" s="4">
        <f>AC88/71</f>
        <v>7.9112676056338292E-3</v>
      </c>
      <c r="AD90" s="5"/>
      <c r="AE90" s="4"/>
      <c r="AF90" s="4"/>
      <c r="AG90" s="4"/>
      <c r="AH90" s="4"/>
      <c r="AI90" s="4"/>
      <c r="AL90" s="5"/>
      <c r="AM90" s="5"/>
      <c r="AN90" s="5"/>
      <c r="AO90" s="4">
        <f>AO88/71</f>
        <v>8.7323943661971465E-3</v>
      </c>
      <c r="AP90" s="5"/>
      <c r="AQ90" s="4"/>
      <c r="AT90" s="39"/>
      <c r="AU90" s="42"/>
      <c r="AV90" s="42"/>
      <c r="AW90" s="42"/>
      <c r="AX90" s="50">
        <f>AX88/71</f>
        <v>3.7126760563382824E-3</v>
      </c>
      <c r="AY90" s="42"/>
      <c r="AZ90" s="41"/>
      <c r="BD90" s="42"/>
      <c r="BE90" s="41"/>
      <c r="BF90" s="41"/>
      <c r="BG90" s="50">
        <f>BG88/71</f>
        <v>4.1408450704228923E-4</v>
      </c>
      <c r="BH90" s="41"/>
      <c r="BI90" s="41"/>
      <c r="BJ90" s="41"/>
      <c r="BK90" s="41"/>
      <c r="BL90"/>
      <c r="BN90" s="42"/>
      <c r="BO90" s="41"/>
      <c r="BP90" s="41"/>
      <c r="BQ90" s="50">
        <f>BQ88/71</f>
        <v>1.5788732394363928E-3</v>
      </c>
      <c r="BR90" s="41"/>
      <c r="BS90" s="41"/>
      <c r="BX90" s="42"/>
      <c r="BY90" s="41"/>
      <c r="BZ90" s="41"/>
      <c r="CA90" s="50">
        <f>CA88/71</f>
        <v>3.0859154929577101E-3</v>
      </c>
      <c r="CB90" s="41"/>
      <c r="CC90" s="41"/>
      <c r="CH90" s="42"/>
      <c r="CI90" s="41"/>
      <c r="CJ90" s="41"/>
      <c r="CK90" s="50">
        <f>CK88/71</f>
        <v>2.6521126760564117E-3</v>
      </c>
      <c r="CL90" s="41"/>
      <c r="CM90" s="41"/>
      <c r="CP90" s="137"/>
      <c r="CQ90" s="137"/>
      <c r="CR90" s="138"/>
      <c r="CS90" s="139"/>
      <c r="CT90" s="139"/>
      <c r="CU90" s="140">
        <f>CU88/71</f>
        <v>3.3253521126762626E-3</v>
      </c>
      <c r="CV90" s="139"/>
      <c r="CW90" s="139"/>
      <c r="DB90" s="42"/>
      <c r="DC90" s="41"/>
      <c r="DD90" s="41"/>
      <c r="DE90" s="50">
        <f>DE88/71</f>
        <v>3.3380281690118094E-4</v>
      </c>
      <c r="DF90" s="41"/>
      <c r="DG90" s="41"/>
      <c r="DL90" s="42"/>
      <c r="DM90" s="41"/>
      <c r="DN90" s="41"/>
      <c r="DO90" s="50">
        <f>DO88/71</f>
        <v>3.8112676056336271E-3</v>
      </c>
      <c r="DP90" s="41"/>
      <c r="DQ90" s="41"/>
      <c r="DV90" s="42"/>
      <c r="DW90" s="41"/>
      <c r="DX90" s="41"/>
      <c r="DY90" s="50">
        <f>DY88/71</f>
        <v>2.3746478873241136E-3</v>
      </c>
      <c r="DZ90" s="41"/>
      <c r="EA90" s="41"/>
      <c r="EF90" s="42"/>
      <c r="EG90" s="41"/>
      <c r="EH90" s="41"/>
      <c r="EI90" s="50">
        <f>EI88/71</f>
        <v>3.7028169014086776E-3</v>
      </c>
      <c r="EJ90" s="41"/>
      <c r="EK90" s="41"/>
      <c r="EP90" s="138"/>
      <c r="EQ90" s="139"/>
      <c r="ER90" s="139"/>
      <c r="ES90" s="140">
        <f>ES88/71</f>
        <v>7.3718309859156254E-3</v>
      </c>
      <c r="ET90" s="139"/>
      <c r="EU90" s="139"/>
      <c r="EZ90" s="138"/>
      <c r="FA90" s="139" t="s">
        <v>146</v>
      </c>
      <c r="FB90" s="139"/>
      <c r="FC90" s="140">
        <f>FC88/71</f>
        <v>3.4718309859153576E-3</v>
      </c>
      <c r="FD90" s="139"/>
      <c r="FE90" s="139"/>
      <c r="FJ90" s="138"/>
      <c r="FK90" s="139" t="s">
        <v>146</v>
      </c>
      <c r="FL90" s="139"/>
      <c r="FM90" s="140">
        <f>FM88/71</f>
        <v>4.6309859154929729E-3</v>
      </c>
      <c r="FN90" s="139"/>
      <c r="FO90" s="139"/>
      <c r="FT90" s="138"/>
      <c r="FU90" s="139" t="s">
        <v>146</v>
      </c>
      <c r="FV90" s="139"/>
      <c r="FW90" s="140">
        <f>FW88/71</f>
        <v>9.6056338028145303E-4</v>
      </c>
      <c r="FX90" s="139"/>
      <c r="FY90" s="139"/>
      <c r="GD90" s="138"/>
      <c r="GE90" s="139" t="s">
        <v>146</v>
      </c>
      <c r="GF90" s="139"/>
      <c r="GG90" s="140">
        <f>GG88/71</f>
        <v>2.3507042253521882E-3</v>
      </c>
      <c r="GH90" s="139"/>
      <c r="GI90" s="139"/>
      <c r="GN90" s="138"/>
      <c r="GO90" s="139" t="s">
        <v>146</v>
      </c>
      <c r="GP90" s="139"/>
      <c r="GQ90" s="140">
        <f>GQ88/71</f>
        <v>4.9957746478873398E-3</v>
      </c>
      <c r="GR90" s="139"/>
      <c r="GS90" s="139"/>
      <c r="GX90" s="138"/>
      <c r="GY90" s="139" t="s">
        <v>146</v>
      </c>
      <c r="GZ90" s="139"/>
      <c r="HA90" s="140">
        <f>HA88/71</f>
        <v>6.3507042253520734E-3</v>
      </c>
      <c r="HB90" s="139"/>
      <c r="HC90" s="139"/>
      <c r="HG90" s="159"/>
      <c r="HH90" s="159"/>
      <c r="HI90" s="138"/>
      <c r="HJ90" s="139" t="s">
        <v>146</v>
      </c>
      <c r="HK90" s="139"/>
      <c r="HL90" s="140">
        <f>HL88/71</f>
        <v>2.5521126760560944E-3</v>
      </c>
      <c r="HM90" s="139"/>
      <c r="HN90" s="139"/>
      <c r="HQ90" s="183"/>
      <c r="HR90" s="183"/>
      <c r="HS90" s="138"/>
      <c r="HT90" s="139" t="s">
        <v>146</v>
      </c>
      <c r="HU90" s="139"/>
      <c r="HV90" s="140">
        <f>HV88/71</f>
        <v>1.6535211267606127E-3</v>
      </c>
      <c r="HW90" s="139"/>
      <c r="HX90" s="139"/>
      <c r="HY90" s="183"/>
      <c r="IA90" s="194"/>
      <c r="IB90" s="194"/>
      <c r="IC90" s="138"/>
      <c r="ID90" s="139" t="s">
        <v>146</v>
      </c>
      <c r="IE90" s="139"/>
      <c r="IF90" s="140">
        <f>IF88/71</f>
        <v>7.323943661976779E-4</v>
      </c>
      <c r="IG90" s="139"/>
      <c r="IH90" s="139"/>
      <c r="II90" s="194"/>
      <c r="IM90" s="138"/>
      <c r="IN90" s="139" t="s">
        <v>146</v>
      </c>
      <c r="IO90" s="139"/>
      <c r="IP90" s="140">
        <f>IP88/71</f>
        <v>3.8014084507038224E-3</v>
      </c>
      <c r="IQ90" s="139"/>
      <c r="IR90" s="139"/>
      <c r="IU90" s="202"/>
      <c r="IV90" s="202"/>
      <c r="IW90" s="138"/>
      <c r="IX90" s="139" t="s">
        <v>146</v>
      </c>
      <c r="IY90" s="139"/>
      <c r="IZ90" s="140">
        <f>IZ88/71</f>
        <v>5.1281690140846147E-3</v>
      </c>
      <c r="JA90" s="139"/>
      <c r="JB90" s="139"/>
      <c r="JC90" s="202"/>
      <c r="JE90" s="204"/>
      <c r="JF90" s="204"/>
      <c r="JG90" s="138"/>
      <c r="JH90" s="139" t="s">
        <v>146</v>
      </c>
      <c r="JI90" s="139"/>
      <c r="JJ90" s="140">
        <f>JJ88/71</f>
        <v>1.6225352112675269E-3</v>
      </c>
      <c r="JK90" s="139"/>
      <c r="JL90" s="139"/>
      <c r="JM90" s="204"/>
      <c r="JN90" s="204"/>
      <c r="JQ90" s="138"/>
      <c r="JR90" s="139" t="s">
        <v>146</v>
      </c>
      <c r="JS90" s="139"/>
      <c r="JT90" s="140">
        <f>JT88/71</f>
        <v>1.3197183098591315E-3</v>
      </c>
      <c r="JU90" s="139"/>
      <c r="JV90" s="139"/>
      <c r="JX90" s="213"/>
      <c r="JY90" s="213"/>
      <c r="JZ90" s="213"/>
      <c r="KA90" s="138"/>
      <c r="KB90" s="139" t="s">
        <v>146</v>
      </c>
      <c r="KC90" s="139"/>
      <c r="KD90" s="140">
        <f>KD88/71</f>
        <v>3.0661971830987012E-3</v>
      </c>
      <c r="KE90" s="139"/>
      <c r="KF90" s="139"/>
      <c r="KG90" s="213"/>
      <c r="KI90" s="219"/>
      <c r="KJ90" s="219"/>
      <c r="KK90" s="138"/>
      <c r="KL90" s="139" t="s">
        <v>146</v>
      </c>
      <c r="KM90" s="139"/>
      <c r="KN90" s="140">
        <f>KN88/71</f>
        <v>1.0183098591548081E-3</v>
      </c>
      <c r="KO90" s="139"/>
      <c r="KP90" s="139"/>
      <c r="KQ90" s="219"/>
      <c r="KU90" s="138"/>
      <c r="KV90" s="139" t="s">
        <v>146</v>
      </c>
      <c r="KW90" s="139"/>
      <c r="KX90" s="140">
        <f>KX88/71</f>
        <v>1.0859154929575674E-3</v>
      </c>
      <c r="KY90" s="139"/>
      <c r="KZ90" s="139"/>
      <c r="LE90" s="138"/>
      <c r="LF90" s="139" t="s">
        <v>146</v>
      </c>
      <c r="LG90" s="139"/>
      <c r="LH90" s="140">
        <f>LH88/71</f>
        <v>9.0140845070462642E-4</v>
      </c>
      <c r="LI90" s="139"/>
      <c r="LJ90" s="139"/>
      <c r="LL90" s="231"/>
      <c r="LM90" s="231"/>
      <c r="LN90" s="231"/>
      <c r="LO90" s="138"/>
      <c r="LP90" s="139" t="s">
        <v>146</v>
      </c>
      <c r="LQ90" s="139"/>
      <c r="LR90" s="140">
        <f>LR88/71</f>
        <v>1.2633802816902487E-3</v>
      </c>
      <c r="LS90" s="139"/>
      <c r="LT90" s="139"/>
      <c r="LU90" s="231"/>
      <c r="LW90" s="231"/>
      <c r="LX90" s="231"/>
      <c r="LY90" s="138"/>
      <c r="LZ90" s="139" t="s">
        <v>146</v>
      </c>
      <c r="MA90" s="139"/>
      <c r="MB90" s="140">
        <f>MB88/71</f>
        <v>1.4338028169011692E-3</v>
      </c>
      <c r="MC90" s="139"/>
      <c r="MD90" s="139"/>
      <c r="ME90" s="231"/>
      <c r="MF90" s="231"/>
      <c r="MG90" s="231"/>
      <c r="MH90" s="231"/>
      <c r="MI90" s="138"/>
      <c r="MJ90" s="139" t="s">
        <v>146</v>
      </c>
      <c r="MK90" s="139"/>
      <c r="ML90" s="140">
        <f>ML88/71</f>
        <v>1.4000000000002398E-3</v>
      </c>
      <c r="MM90" s="139"/>
      <c r="MN90" s="139"/>
      <c r="MO90" s="231"/>
      <c r="MP90" s="231"/>
      <c r="MQ90" s="231"/>
      <c r="MR90" s="231"/>
      <c r="MS90" s="138"/>
      <c r="MT90" s="139" t="s">
        <v>146</v>
      </c>
      <c r="MU90" s="139"/>
      <c r="MV90" s="140">
        <f>MV88/71</f>
        <v>2.6788732394364811E-3</v>
      </c>
      <c r="MW90" s="139"/>
      <c r="MX90" s="139"/>
      <c r="MY90" s="231"/>
      <c r="MZ90" s="246"/>
      <c r="NA90" s="246"/>
      <c r="NB90" s="246"/>
      <c r="NC90" s="138"/>
      <c r="ND90" s="139" t="s">
        <v>146</v>
      </c>
      <c r="NE90" s="139"/>
      <c r="NF90" s="140">
        <f>NF88/71</f>
        <v>2.7281690140846036E-3</v>
      </c>
      <c r="NG90" s="139"/>
      <c r="NH90" s="139"/>
      <c r="NK90" s="250"/>
      <c r="NL90" s="250"/>
      <c r="NM90" s="138"/>
      <c r="NN90" s="139" t="s">
        <v>146</v>
      </c>
      <c r="NO90" s="139"/>
      <c r="NP90" s="140">
        <f>NP88/71</f>
        <v>8.0140845070390875E-4</v>
      </c>
      <c r="NQ90" s="139"/>
      <c r="NR90" s="139"/>
      <c r="NS90" s="232"/>
      <c r="NU90" s="250"/>
      <c r="NV90" s="250"/>
      <c r="NW90" s="138"/>
      <c r="NX90" s="139" t="s">
        <v>146</v>
      </c>
      <c r="NY90" s="139"/>
      <c r="NZ90" s="140">
        <f>NZ88/71</f>
        <v>1.2718309859155812E-3</v>
      </c>
      <c r="OA90" s="139"/>
      <c r="OB90" s="139"/>
      <c r="OC90" s="232"/>
      <c r="OE90" s="250"/>
      <c r="OF90" s="250"/>
      <c r="OG90" s="138"/>
      <c r="OH90" s="139" t="s">
        <v>146</v>
      </c>
      <c r="OI90" s="139"/>
      <c r="OJ90" s="140">
        <f>OJ88/71</f>
        <v>6.4366197183113706E-4</v>
      </c>
      <c r="OK90" s="139"/>
      <c r="OL90" s="139"/>
      <c r="OM90" s="232"/>
      <c r="OQ90" s="138"/>
      <c r="OR90" s="139" t="s">
        <v>146</v>
      </c>
      <c r="OS90" s="139"/>
      <c r="OT90" s="140">
        <f>OT88/71</f>
        <v>1.4732394366197875E-3</v>
      </c>
      <c r="OU90" s="139"/>
      <c r="OV90" s="139"/>
      <c r="OW90" s="232"/>
    </row>
    <row r="91" spans="1:413" x14ac:dyDescent="0.25">
      <c r="N91" s="4"/>
      <c r="O91" s="4"/>
      <c r="R91" s="5"/>
      <c r="S91" s="5"/>
      <c r="T91" s="5"/>
      <c r="U91" s="5"/>
      <c r="V91" s="4"/>
      <c r="W91" s="4"/>
      <c r="Z91" s="5"/>
      <c r="AA91" s="5"/>
      <c r="AB91" s="5"/>
      <c r="AC91" s="5"/>
      <c r="AD91" s="4"/>
      <c r="AE91" s="4"/>
      <c r="AF91" s="4"/>
      <c r="AG91" s="4"/>
      <c r="AH91" s="4"/>
      <c r="AI91" s="4"/>
      <c r="AL91" s="5"/>
      <c r="AM91" s="5"/>
      <c r="AN91" s="5"/>
      <c r="AO91" s="5"/>
      <c r="AP91" s="4"/>
      <c r="AQ91" s="4"/>
      <c r="AT91" s="39"/>
      <c r="AU91" s="42"/>
      <c r="AV91" s="42"/>
      <c r="AW91" s="42"/>
      <c r="AX91" s="42"/>
      <c r="AY91" s="41"/>
      <c r="AZ91" s="41"/>
      <c r="BD91" s="42"/>
      <c r="BE91" s="41"/>
      <c r="BF91" s="41"/>
      <c r="BG91" s="41"/>
      <c r="BH91" s="41"/>
      <c r="BI91" s="41"/>
      <c r="BJ91" s="41"/>
      <c r="BK91" s="41"/>
      <c r="BL91"/>
      <c r="BN91" s="42"/>
      <c r="BO91" s="41"/>
      <c r="BP91" s="41"/>
      <c r="BQ91" s="41"/>
      <c r="BR91" s="41"/>
      <c r="BS91" s="41"/>
      <c r="BX91" s="42"/>
      <c r="BY91" s="41"/>
      <c r="BZ91" s="41"/>
      <c r="CA91" s="41"/>
      <c r="CB91" s="41"/>
      <c r="CC91" s="41"/>
      <c r="CH91" s="42"/>
      <c r="CI91" s="41"/>
      <c r="CJ91" s="41"/>
      <c r="CK91" s="41"/>
      <c r="CL91" s="41"/>
      <c r="CM91" s="41"/>
      <c r="CP91" s="137"/>
      <c r="CQ91" s="137"/>
      <c r="CR91" s="138"/>
      <c r="CS91" s="139"/>
      <c r="CT91" s="139"/>
      <c r="CU91" s="139"/>
      <c r="CV91" s="139"/>
      <c r="CW91" s="139"/>
      <c r="DB91" s="42"/>
      <c r="DC91" s="41"/>
      <c r="DD91" s="41"/>
      <c r="DE91" s="41"/>
      <c r="DF91" s="41"/>
      <c r="DG91" s="41"/>
      <c r="DL91" s="42"/>
      <c r="DM91" s="41"/>
      <c r="DN91" s="41"/>
      <c r="DO91" s="41"/>
      <c r="DP91" s="41"/>
      <c r="DQ91" s="41"/>
      <c r="DV91" s="42"/>
      <c r="DW91" s="41"/>
      <c r="DX91" s="41"/>
      <c r="DY91" s="41"/>
      <c r="DZ91" s="41"/>
      <c r="EA91" s="41"/>
      <c r="EF91" s="42"/>
      <c r="EG91" s="41"/>
      <c r="EH91" s="41"/>
      <c r="EI91" s="41"/>
      <c r="EJ91" s="41"/>
      <c r="EK91" s="41"/>
      <c r="EP91" s="138"/>
      <c r="EQ91" s="139"/>
      <c r="ER91" s="139"/>
      <c r="ES91" s="139"/>
      <c r="ET91" s="139"/>
      <c r="EU91" s="139"/>
      <c r="EZ91" s="138"/>
      <c r="FA91" s="139"/>
      <c r="FB91" s="139"/>
      <c r="FC91" s="139"/>
      <c r="FD91" s="139"/>
      <c r="FE91" s="139"/>
      <c r="FJ91" s="138"/>
      <c r="FK91" s="139"/>
      <c r="FL91" s="139"/>
      <c r="FM91" s="139"/>
      <c r="FN91" s="139"/>
      <c r="FO91" s="139"/>
      <c r="FT91" s="138"/>
      <c r="FU91" s="139"/>
      <c r="FV91" s="139"/>
      <c r="FW91" s="139"/>
      <c r="FX91" s="139"/>
      <c r="FY91" s="139"/>
      <c r="GD91" s="138"/>
      <c r="GE91" s="139"/>
      <c r="GF91" s="139"/>
      <c r="GG91" s="139"/>
      <c r="GH91" s="139"/>
      <c r="GI91" s="139"/>
      <c r="GN91" s="138"/>
      <c r="GO91" s="139"/>
      <c r="GP91" s="139"/>
      <c r="GQ91" s="139"/>
      <c r="GR91" s="139"/>
      <c r="GS91" s="139"/>
      <c r="GX91" s="138"/>
      <c r="GY91" s="139"/>
      <c r="GZ91" s="139"/>
      <c r="HA91" s="139"/>
      <c r="HB91" s="139"/>
      <c r="HC91" s="139"/>
      <c r="HG91" s="159"/>
      <c r="HH91" s="159"/>
      <c r="HI91" s="138"/>
      <c r="HJ91" s="139"/>
      <c r="HK91" s="139"/>
      <c r="HL91" s="139"/>
      <c r="HM91" s="139"/>
      <c r="HN91" s="139"/>
      <c r="HQ91" s="183"/>
      <c r="HR91" s="183"/>
      <c r="HS91" s="138"/>
      <c r="HT91" s="139"/>
      <c r="HU91" s="139"/>
      <c r="HV91" s="139"/>
      <c r="HW91" s="139"/>
      <c r="HX91" s="139"/>
      <c r="HY91" s="183"/>
      <c r="IA91" s="194"/>
      <c r="IB91" s="194"/>
      <c r="IC91" s="138"/>
      <c r="ID91" s="139"/>
      <c r="IE91" s="139"/>
      <c r="IF91" s="139"/>
      <c r="IG91" s="139"/>
      <c r="IH91" s="139"/>
      <c r="II91" s="194"/>
      <c r="IM91" s="138"/>
      <c r="IN91" s="139"/>
      <c r="IO91" s="139"/>
      <c r="IP91" s="139"/>
      <c r="IQ91" s="139"/>
      <c r="IR91" s="139"/>
      <c r="IU91" s="202"/>
      <c r="IV91" s="202"/>
      <c r="IW91" s="138"/>
      <c r="IX91" s="139"/>
      <c r="IY91" s="139"/>
      <c r="IZ91" s="139"/>
      <c r="JA91" s="139"/>
      <c r="JB91" s="139"/>
      <c r="JC91" s="202"/>
      <c r="JE91" s="204"/>
      <c r="JF91" s="204"/>
      <c r="JG91" s="138"/>
      <c r="JH91" s="139"/>
      <c r="JI91" s="139"/>
      <c r="JJ91" s="139"/>
      <c r="JK91" s="139"/>
      <c r="JL91" s="139"/>
      <c r="JM91" s="204"/>
      <c r="JN91" s="204"/>
      <c r="JQ91" s="138"/>
      <c r="JR91" s="139"/>
      <c r="JS91" s="139"/>
      <c r="JT91" s="139"/>
      <c r="JU91" s="139"/>
      <c r="JV91" s="139"/>
      <c r="JX91" s="213"/>
      <c r="JY91" s="213"/>
      <c r="JZ91" s="213"/>
      <c r="KA91" s="138"/>
      <c r="KB91" s="139"/>
      <c r="KC91" s="139"/>
      <c r="KD91" s="139"/>
      <c r="KE91" s="139"/>
      <c r="KF91" s="139"/>
      <c r="KG91" s="213"/>
      <c r="KI91" s="219"/>
      <c r="KJ91" s="219"/>
      <c r="KK91" s="138"/>
      <c r="KL91" s="139"/>
      <c r="KM91" s="139"/>
      <c r="KN91" s="139"/>
      <c r="KO91" s="139"/>
      <c r="KP91" s="139"/>
      <c r="KQ91" s="219"/>
      <c r="KU91" s="138"/>
      <c r="KV91" s="139"/>
      <c r="KW91" s="139"/>
      <c r="KX91" s="139"/>
      <c r="KY91" s="139"/>
      <c r="KZ91" s="139"/>
      <c r="LE91" s="138"/>
      <c r="LF91" s="139"/>
      <c r="LG91" s="139"/>
      <c r="LH91" s="139"/>
      <c r="LI91" s="139"/>
      <c r="LJ91" s="139"/>
      <c r="LL91" s="231"/>
      <c r="LM91" s="231"/>
      <c r="LN91" s="231"/>
      <c r="LO91" s="138"/>
      <c r="LP91" s="139"/>
      <c r="LQ91" s="139"/>
      <c r="LR91" s="139"/>
      <c r="LS91" s="139"/>
      <c r="LT91" s="139"/>
      <c r="LU91" s="231"/>
      <c r="LW91" s="231"/>
      <c r="LX91" s="231"/>
      <c r="LY91" s="138"/>
      <c r="LZ91" s="139"/>
      <c r="MA91" s="139"/>
      <c r="MB91" s="139"/>
      <c r="MC91" s="139"/>
      <c r="MD91" s="139"/>
      <c r="ME91" s="231"/>
      <c r="MF91" s="231"/>
      <c r="MG91" s="231"/>
      <c r="MH91" s="231"/>
      <c r="MI91" s="138"/>
      <c r="MJ91" s="139"/>
      <c r="MK91" s="139"/>
      <c r="ML91" s="139"/>
      <c r="MM91" s="139"/>
      <c r="MN91" s="139"/>
      <c r="MO91" s="231"/>
      <c r="MP91" s="231"/>
      <c r="MQ91" s="231"/>
      <c r="MR91" s="231"/>
      <c r="MS91" s="138"/>
      <c r="MT91" s="139"/>
      <c r="MU91" s="139"/>
      <c r="MV91" s="139"/>
      <c r="MW91" s="139"/>
      <c r="MX91" s="139"/>
      <c r="MY91" s="231"/>
      <c r="MZ91" s="246"/>
      <c r="NA91" s="246"/>
      <c r="NB91" s="246"/>
      <c r="NC91" s="138"/>
      <c r="ND91" s="139"/>
      <c r="NE91" s="139"/>
      <c r="NF91" s="139"/>
      <c r="NG91" s="139"/>
      <c r="NH91" s="139"/>
      <c r="NK91" s="250"/>
      <c r="NL91" s="250"/>
      <c r="NM91" s="138"/>
      <c r="NN91" s="139"/>
      <c r="NO91" s="139"/>
      <c r="NP91" s="139"/>
      <c r="NQ91" s="139"/>
      <c r="NR91" s="139"/>
      <c r="NS91" s="232"/>
      <c r="NU91" s="250"/>
      <c r="NV91" s="250"/>
      <c r="NW91" s="138"/>
      <c r="NX91" s="139"/>
      <c r="NY91" s="139"/>
      <c r="NZ91" s="139"/>
      <c r="OA91" s="139"/>
      <c r="OB91" s="139"/>
      <c r="OC91" s="232"/>
      <c r="OE91" s="250"/>
      <c r="OF91" s="250"/>
      <c r="OG91" s="138"/>
      <c r="OH91" s="139"/>
      <c r="OI91" s="139"/>
      <c r="OJ91" s="139"/>
      <c r="OK91" s="139"/>
      <c r="OL91" s="139"/>
      <c r="OM91" s="232"/>
      <c r="OQ91" s="138"/>
      <c r="OR91" s="139"/>
      <c r="OS91" s="139"/>
      <c r="OT91" s="139"/>
      <c r="OU91" s="139"/>
      <c r="OV91" s="139"/>
      <c r="OW91" s="232"/>
    </row>
    <row r="92" spans="1:413" x14ac:dyDescent="0.25">
      <c r="E92" t="s">
        <v>9</v>
      </c>
      <c r="F92" t="s">
        <v>10</v>
      </c>
      <c r="M92" s="4" t="s">
        <v>9</v>
      </c>
      <c r="N92" s="4" t="s">
        <v>10</v>
      </c>
      <c r="R92" s="5"/>
      <c r="S92" s="5"/>
      <c r="T92" s="5"/>
      <c r="U92" s="4" t="s">
        <v>9</v>
      </c>
      <c r="V92" s="4" t="s">
        <v>10</v>
      </c>
      <c r="W92" s="5"/>
      <c r="Z92" s="5"/>
      <c r="AA92" s="5"/>
      <c r="AB92" s="5"/>
      <c r="AC92" s="4" t="s">
        <v>9</v>
      </c>
      <c r="AD92" s="4" t="s">
        <v>10</v>
      </c>
      <c r="AE92" s="5"/>
      <c r="AF92" s="5"/>
      <c r="AG92" s="5"/>
      <c r="AH92" s="5"/>
      <c r="AI92" s="5"/>
      <c r="AL92" s="5"/>
      <c r="AM92" s="5"/>
      <c r="AN92" s="5"/>
      <c r="AO92" s="4" t="s">
        <v>9</v>
      </c>
      <c r="AP92" s="4" t="s">
        <v>10</v>
      </c>
      <c r="AQ92" s="5"/>
      <c r="AT92" s="39"/>
      <c r="AU92" s="42"/>
      <c r="AV92" s="42"/>
      <c r="AW92" s="42"/>
      <c r="AX92" s="50" t="s">
        <v>9</v>
      </c>
      <c r="AY92" s="50" t="s">
        <v>10</v>
      </c>
      <c r="AZ92" s="42"/>
      <c r="BD92" s="42"/>
      <c r="BE92" s="41"/>
      <c r="BF92" s="41"/>
      <c r="BG92" s="50" t="s">
        <v>9</v>
      </c>
      <c r="BH92" s="50" t="s">
        <v>10</v>
      </c>
      <c r="BI92" s="41"/>
      <c r="BJ92" s="41"/>
      <c r="BK92" s="41"/>
      <c r="BL92"/>
      <c r="BN92" s="42"/>
      <c r="BO92" s="41"/>
      <c r="BP92" s="41"/>
      <c r="BQ92" s="50" t="s">
        <v>9</v>
      </c>
      <c r="BR92" s="50" t="s">
        <v>10</v>
      </c>
      <c r="BS92" s="41"/>
      <c r="BX92" s="42"/>
      <c r="BY92" s="41"/>
      <c r="BZ92" s="41"/>
      <c r="CA92" s="50" t="s">
        <v>9</v>
      </c>
      <c r="CB92" s="50" t="s">
        <v>10</v>
      </c>
      <c r="CC92" s="41"/>
      <c r="CH92" s="42"/>
      <c r="CI92" s="41"/>
      <c r="CJ92" s="41"/>
      <c r="CK92" s="50" t="s">
        <v>9</v>
      </c>
      <c r="CL92" s="50" t="s">
        <v>10</v>
      </c>
      <c r="CM92" s="41"/>
      <c r="CP92" s="137"/>
      <c r="CQ92" s="137"/>
      <c r="CR92" s="138"/>
      <c r="CS92" s="139"/>
      <c r="CT92" s="139"/>
      <c r="CU92" s="140" t="s">
        <v>9</v>
      </c>
      <c r="CV92" s="140" t="s">
        <v>10</v>
      </c>
      <c r="CW92" s="139"/>
      <c r="DB92" s="42"/>
      <c r="DC92" s="41"/>
      <c r="DD92" s="41"/>
      <c r="DE92" s="50" t="s">
        <v>9</v>
      </c>
      <c r="DF92" s="50" t="s">
        <v>10</v>
      </c>
      <c r="DG92" s="41"/>
      <c r="DL92" s="42"/>
      <c r="DM92" s="41"/>
      <c r="DN92" s="41"/>
      <c r="DO92" s="50" t="s">
        <v>9</v>
      </c>
      <c r="DP92" s="50" t="s">
        <v>10</v>
      </c>
      <c r="DQ92" s="41"/>
      <c r="DV92" s="42"/>
      <c r="DW92" s="41"/>
      <c r="DX92" s="41"/>
      <c r="DY92" s="50" t="s">
        <v>9</v>
      </c>
      <c r="DZ92" s="50" t="s">
        <v>10</v>
      </c>
      <c r="EA92" s="41"/>
      <c r="EF92" s="42"/>
      <c r="EG92" s="41"/>
      <c r="EH92" s="41"/>
      <c r="EI92" s="50" t="s">
        <v>9</v>
      </c>
      <c r="EJ92" s="50" t="s">
        <v>10</v>
      </c>
      <c r="EK92" s="41"/>
      <c r="EP92" s="138"/>
      <c r="EQ92" s="139"/>
      <c r="ER92" s="139"/>
      <c r="ES92" s="140" t="s">
        <v>9</v>
      </c>
      <c r="ET92" s="140" t="s">
        <v>10</v>
      </c>
      <c r="EU92" s="139"/>
      <c r="EZ92" s="138"/>
      <c r="FA92" s="139"/>
      <c r="FB92" s="139"/>
      <c r="FC92" s="140" t="s">
        <v>9</v>
      </c>
      <c r="FD92" s="140" t="s">
        <v>10</v>
      </c>
      <c r="FE92" s="139"/>
      <c r="FJ92" s="138"/>
      <c r="FK92" s="139"/>
      <c r="FL92" s="139"/>
      <c r="FM92" s="140" t="s">
        <v>9</v>
      </c>
      <c r="FN92" s="140" t="s">
        <v>10</v>
      </c>
      <c r="FO92" s="139"/>
      <c r="FT92" s="138"/>
      <c r="FU92" s="139"/>
      <c r="FV92" s="139"/>
      <c r="FW92" s="140" t="s">
        <v>9</v>
      </c>
      <c r="FX92" s="140" t="s">
        <v>10</v>
      </c>
      <c r="FY92" s="139"/>
      <c r="GD92" s="138"/>
      <c r="GE92" s="139"/>
      <c r="GF92" s="139"/>
      <c r="GG92" s="140" t="s">
        <v>9</v>
      </c>
      <c r="GH92" s="140" t="s">
        <v>10</v>
      </c>
      <c r="GI92" s="139"/>
      <c r="GN92" s="138"/>
      <c r="GO92" s="139"/>
      <c r="GP92" s="139"/>
      <c r="GQ92" s="140" t="s">
        <v>9</v>
      </c>
      <c r="GR92" s="140" t="s">
        <v>10</v>
      </c>
      <c r="GS92" s="139"/>
      <c r="GX92" s="138"/>
      <c r="GY92" s="139"/>
      <c r="GZ92" s="139"/>
      <c r="HA92" s="140" t="s">
        <v>9</v>
      </c>
      <c r="HB92" s="140" t="s">
        <v>10</v>
      </c>
      <c r="HC92" s="139"/>
      <c r="HG92" s="159"/>
      <c r="HH92" s="159"/>
      <c r="HI92" s="260"/>
      <c r="HJ92" s="261"/>
      <c r="HK92" s="262"/>
      <c r="HL92" s="62" t="s">
        <v>13</v>
      </c>
      <c r="HM92" s="62" t="s">
        <v>10</v>
      </c>
      <c r="HN92" s="139"/>
      <c r="HQ92" s="183"/>
      <c r="HR92" s="183"/>
      <c r="HS92" s="260"/>
      <c r="HT92" s="261"/>
      <c r="HU92" s="262"/>
      <c r="HV92" s="62" t="s">
        <v>13</v>
      </c>
      <c r="HW92" s="62" t="s">
        <v>10</v>
      </c>
      <c r="HX92" s="139"/>
      <c r="HY92" s="183"/>
      <c r="IA92" s="194"/>
      <c r="IB92" s="194"/>
      <c r="IC92" s="260"/>
      <c r="ID92" s="261"/>
      <c r="IE92" s="262"/>
      <c r="IF92" s="62" t="s">
        <v>13</v>
      </c>
      <c r="IG92" s="62" t="s">
        <v>10</v>
      </c>
      <c r="IH92" s="139"/>
      <c r="II92" s="194"/>
      <c r="IM92" s="260"/>
      <c r="IN92" s="261"/>
      <c r="IO92" s="262"/>
      <c r="IP92" s="62" t="s">
        <v>13</v>
      </c>
      <c r="IQ92" s="62" t="s">
        <v>10</v>
      </c>
      <c r="IR92" s="139"/>
      <c r="IU92" s="202"/>
      <c r="IV92" s="202"/>
      <c r="IW92" s="260"/>
      <c r="IX92" s="261"/>
      <c r="IY92" s="262"/>
      <c r="IZ92" s="62" t="s">
        <v>13</v>
      </c>
      <c r="JA92" s="62" t="s">
        <v>10</v>
      </c>
      <c r="JB92" s="139"/>
      <c r="JC92" s="202"/>
      <c r="JE92" s="204"/>
      <c r="JF92" s="204"/>
      <c r="JG92" s="260"/>
      <c r="JH92" s="261"/>
      <c r="JI92" s="262"/>
      <c r="JJ92" s="62" t="s">
        <v>13</v>
      </c>
      <c r="JK92" s="62" t="s">
        <v>10</v>
      </c>
      <c r="JL92" s="139"/>
      <c r="JM92" s="204"/>
      <c r="JN92" s="204"/>
      <c r="JQ92" s="260"/>
      <c r="JR92" s="261"/>
      <c r="JS92" s="262"/>
      <c r="JT92" s="62" t="s">
        <v>13</v>
      </c>
      <c r="JU92" s="62" t="s">
        <v>10</v>
      </c>
      <c r="JV92" s="139"/>
      <c r="JX92" s="213"/>
      <c r="JY92" s="213"/>
      <c r="JZ92" s="213"/>
      <c r="KA92" s="260"/>
      <c r="KB92" s="261"/>
      <c r="KC92" s="262"/>
      <c r="KD92" s="62" t="s">
        <v>13</v>
      </c>
      <c r="KE92" s="62" t="s">
        <v>10</v>
      </c>
      <c r="KF92" s="139"/>
      <c r="KG92" s="213"/>
      <c r="KI92" s="219"/>
      <c r="KJ92" s="219"/>
      <c r="KK92" s="260"/>
      <c r="KL92" s="261"/>
      <c r="KM92" s="262"/>
      <c r="KN92" s="62" t="s">
        <v>13</v>
      </c>
      <c r="KO92" s="62" t="s">
        <v>10</v>
      </c>
      <c r="KP92" s="139"/>
      <c r="KQ92" s="219"/>
      <c r="KU92" s="260"/>
      <c r="KV92" s="261"/>
      <c r="KW92" s="262"/>
      <c r="KX92" s="62" t="s">
        <v>13</v>
      </c>
      <c r="KY92" s="62" t="s">
        <v>10</v>
      </c>
      <c r="KZ92" s="139"/>
      <c r="LE92" s="260"/>
      <c r="LF92" s="261"/>
      <c r="LG92" s="262"/>
      <c r="LH92" s="62" t="s">
        <v>13</v>
      </c>
      <c r="LI92" s="62" t="s">
        <v>10</v>
      </c>
      <c r="LJ92" s="139"/>
      <c r="LL92" s="231"/>
      <c r="LM92" s="231"/>
      <c r="LN92" s="231"/>
      <c r="LO92" s="260"/>
      <c r="LP92" s="261"/>
      <c r="LQ92" s="262"/>
      <c r="LR92" s="62" t="s">
        <v>13</v>
      </c>
      <c r="LS92" s="62" t="s">
        <v>10</v>
      </c>
      <c r="LT92" s="139"/>
      <c r="LU92" s="231"/>
      <c r="LW92" s="231"/>
      <c r="LX92" s="231"/>
      <c r="LY92" s="260"/>
      <c r="LZ92" s="261"/>
      <c r="MA92" s="262"/>
      <c r="MB92" s="62" t="s">
        <v>13</v>
      </c>
      <c r="MC92" s="62" t="s">
        <v>10</v>
      </c>
      <c r="MD92" s="139"/>
      <c r="ME92" s="231"/>
      <c r="MF92" s="231"/>
      <c r="MG92" s="231"/>
      <c r="MH92" s="231"/>
      <c r="MI92" s="260"/>
      <c r="MJ92" s="261"/>
      <c r="MK92" s="262"/>
      <c r="ML92" s="62" t="s">
        <v>13</v>
      </c>
      <c r="MM92" s="62" t="s">
        <v>10</v>
      </c>
      <c r="MN92" s="139"/>
      <c r="MO92" s="231"/>
      <c r="MP92" s="231"/>
      <c r="MQ92" s="231"/>
      <c r="MR92" s="231"/>
      <c r="MS92" s="260"/>
      <c r="MT92" s="261"/>
      <c r="MU92" s="262"/>
      <c r="MV92" s="62" t="s">
        <v>13</v>
      </c>
      <c r="MW92" s="62" t="s">
        <v>10</v>
      </c>
      <c r="MX92" s="139"/>
      <c r="MY92" s="231"/>
      <c r="MZ92" s="246"/>
      <c r="NA92" s="246"/>
      <c r="NB92" s="246"/>
      <c r="NC92" s="260"/>
      <c r="ND92" s="261"/>
      <c r="NE92" s="262"/>
      <c r="NF92" s="62" t="s">
        <v>13</v>
      </c>
      <c r="NG92" s="62" t="s">
        <v>10</v>
      </c>
      <c r="NH92" s="139"/>
      <c r="NK92" s="250"/>
      <c r="NL92" s="250"/>
      <c r="NM92" s="260"/>
      <c r="NN92" s="261"/>
      <c r="NO92" s="262"/>
      <c r="NP92" s="62" t="s">
        <v>13</v>
      </c>
      <c r="NQ92" s="62" t="s">
        <v>10</v>
      </c>
      <c r="NR92" s="139"/>
      <c r="NS92" s="232"/>
      <c r="NU92" s="250"/>
      <c r="NV92" s="250"/>
      <c r="NW92" s="260"/>
      <c r="NX92" s="261"/>
      <c r="NY92" s="262"/>
      <c r="NZ92" s="62" t="s">
        <v>13</v>
      </c>
      <c r="OA92" s="62" t="s">
        <v>10</v>
      </c>
      <c r="OB92" s="139"/>
      <c r="OC92" s="232"/>
      <c r="OE92" s="250"/>
      <c r="OF92" s="250"/>
      <c r="OG92" s="260"/>
      <c r="OH92" s="261"/>
      <c r="OI92" s="262"/>
      <c r="OJ92" s="62" t="s">
        <v>13</v>
      </c>
      <c r="OK92" s="62" t="s">
        <v>10</v>
      </c>
      <c r="OL92" s="139"/>
      <c r="OM92" s="232"/>
      <c r="OQ92" s="260"/>
      <c r="OR92" s="261"/>
      <c r="OS92" s="262"/>
      <c r="OT92" s="62" t="s">
        <v>13</v>
      </c>
      <c r="OU92" s="62" t="s">
        <v>10</v>
      </c>
      <c r="OV92" s="139"/>
      <c r="OW92" s="232"/>
    </row>
    <row r="93" spans="1:413" x14ac:dyDescent="0.25">
      <c r="E93">
        <v>2563.9937999999997</v>
      </c>
      <c r="F93">
        <v>2563.8471</v>
      </c>
      <c r="M93" s="4" t="e">
        <f>#REF!</f>
        <v>#REF!</v>
      </c>
      <c r="N93" s="4">
        <f>O86</f>
        <v>2563.2668999999996</v>
      </c>
      <c r="R93" s="5"/>
      <c r="S93" s="5"/>
      <c r="T93" s="5"/>
      <c r="U93" s="4">
        <f>N93</f>
        <v>2563.2668999999996</v>
      </c>
      <c r="V93" s="4">
        <f>W86</f>
        <v>2563.0390000000002</v>
      </c>
      <c r="W93" s="5"/>
      <c r="Z93" s="5"/>
      <c r="AA93" s="5"/>
      <c r="AB93" s="5"/>
      <c r="AC93" s="4">
        <f>V93</f>
        <v>2563.0390000000002</v>
      </c>
      <c r="AD93" s="4">
        <f>AE86</f>
        <v>2638.4773000000005</v>
      </c>
      <c r="AE93" s="5"/>
      <c r="AF93" s="5"/>
      <c r="AG93" s="5"/>
      <c r="AH93" s="5"/>
      <c r="AI93" s="5"/>
      <c r="AL93" s="5"/>
      <c r="AM93" s="5"/>
      <c r="AN93" s="5"/>
      <c r="AO93" s="4">
        <f>AD93</f>
        <v>2638.4773000000005</v>
      </c>
      <c r="AP93" s="4">
        <f>AQ86</f>
        <v>2637.8573000000006</v>
      </c>
      <c r="AQ93" s="5"/>
      <c r="AT93" s="39"/>
      <c r="AU93" s="42"/>
      <c r="AV93" s="42"/>
      <c r="AW93" s="42"/>
      <c r="AX93" s="50">
        <f>AP93</f>
        <v>2637.8573000000006</v>
      </c>
      <c r="AY93" s="50">
        <f>AZ86</f>
        <v>2637.5936999999994</v>
      </c>
      <c r="AZ93" s="42"/>
      <c r="BD93" s="42"/>
      <c r="BE93" s="41"/>
      <c r="BF93" s="41"/>
      <c r="BG93" s="57">
        <f>AY93</f>
        <v>2637.5936999999994</v>
      </c>
      <c r="BH93" s="57">
        <f>BI86</f>
        <v>2637.5643000000009</v>
      </c>
      <c r="BI93" s="41"/>
      <c r="BJ93" s="41"/>
      <c r="BK93" s="41"/>
      <c r="BL93"/>
      <c r="BN93" s="42"/>
      <c r="BO93" s="41"/>
      <c r="BP93" s="41"/>
      <c r="BQ93" s="57">
        <f>BH93</f>
        <v>2637.5643000000009</v>
      </c>
      <c r="BR93" s="57">
        <f>BS86</f>
        <v>2637.4521999999993</v>
      </c>
      <c r="BS93" s="41"/>
      <c r="BX93" s="42"/>
      <c r="BY93" s="41"/>
      <c r="BZ93" s="41"/>
      <c r="CA93" s="57">
        <f>BR93</f>
        <v>2637.4521999999993</v>
      </c>
      <c r="CB93" s="57">
        <f>CC86</f>
        <v>2637.233099999999</v>
      </c>
      <c r="CC93" s="41"/>
      <c r="CH93" s="42"/>
      <c r="CI93" s="41"/>
      <c r="CJ93" s="41"/>
      <c r="CK93" s="57">
        <f>CB93</f>
        <v>2637.233099999999</v>
      </c>
      <c r="CL93" s="57">
        <f>CM86</f>
        <v>2637.0448000000006</v>
      </c>
      <c r="CM93" s="41"/>
      <c r="CP93" s="137"/>
      <c r="CQ93" s="137"/>
      <c r="CR93" s="138"/>
      <c r="CS93" s="139"/>
      <c r="CT93" s="139"/>
      <c r="CU93" s="141">
        <f>CL93</f>
        <v>2637.0448000000006</v>
      </c>
      <c r="CV93" s="141">
        <f>CW86</f>
        <v>2636.8087000000005</v>
      </c>
      <c r="CW93" s="139"/>
      <c r="DB93" s="42"/>
      <c r="DC93" s="41"/>
      <c r="DD93" s="41"/>
      <c r="DE93" s="57">
        <f>CV93</f>
        <v>2636.8087000000005</v>
      </c>
      <c r="DF93" s="57">
        <f>DG86</f>
        <v>2636.7849999999985</v>
      </c>
      <c r="DG93" s="41"/>
      <c r="DL93" s="42"/>
      <c r="DM93" s="41"/>
      <c r="DN93" s="41"/>
      <c r="DO93" s="57">
        <f>DF93</f>
        <v>2636.7849999999985</v>
      </c>
      <c r="DP93" s="57">
        <f>DQ86</f>
        <v>2636.5144000000014</v>
      </c>
      <c r="DQ93" s="41"/>
      <c r="DV93" s="42"/>
      <c r="DW93" s="41"/>
      <c r="DX93" s="41"/>
      <c r="DY93" s="57">
        <f>DP93</f>
        <v>2636.5144000000014</v>
      </c>
      <c r="DZ93" s="57">
        <f>EA86</f>
        <v>2636.3457999999987</v>
      </c>
      <c r="EA93" s="41"/>
      <c r="EF93" s="42"/>
      <c r="EG93" s="41"/>
      <c r="EH93" s="41"/>
      <c r="EI93" s="57">
        <f>DZ93</f>
        <v>2636.3457999999987</v>
      </c>
      <c r="EJ93" s="57">
        <f>EK86</f>
        <v>2636.0829000000012</v>
      </c>
      <c r="EK93" s="41"/>
      <c r="EP93" s="138"/>
      <c r="EQ93" s="139"/>
      <c r="ER93" s="139"/>
      <c r="ES93" s="141">
        <f>EJ93</f>
        <v>2636.0829000000012</v>
      </c>
      <c r="ET93" s="141">
        <f>EU86</f>
        <v>2635.5595000000003</v>
      </c>
      <c r="EU93" s="139"/>
      <c r="EZ93" s="138"/>
      <c r="FA93" s="139"/>
      <c r="FB93" s="139"/>
      <c r="FC93" s="141">
        <f>ET93</f>
        <v>2635.5595000000003</v>
      </c>
      <c r="FD93" s="141">
        <f>FE86</f>
        <v>2635.313000000001</v>
      </c>
      <c r="FE93" s="139"/>
      <c r="FJ93" s="138"/>
      <c r="FK93" s="139"/>
      <c r="FL93" s="139"/>
      <c r="FM93" s="141">
        <f>FD93</f>
        <v>2635.313000000001</v>
      </c>
      <c r="FN93" s="141">
        <f>FO86</f>
        <v>2634.9841999999999</v>
      </c>
      <c r="FO93" s="139"/>
      <c r="FT93" s="138"/>
      <c r="FU93" s="139"/>
      <c r="FV93" s="139"/>
      <c r="FW93" s="141">
        <f>FN93</f>
        <v>2634.9841999999999</v>
      </c>
      <c r="FX93" s="141">
        <f>FY86</f>
        <v>2634.9159999999997</v>
      </c>
      <c r="FY93" s="139"/>
      <c r="GD93" s="138"/>
      <c r="GE93" s="139"/>
      <c r="GF93" s="139"/>
      <c r="GG93" s="141">
        <f>FY86</f>
        <v>2634.9159999999997</v>
      </c>
      <c r="GH93" s="141">
        <f>GI86</f>
        <v>2634.7490999999995</v>
      </c>
      <c r="GI93" s="139"/>
      <c r="GN93" s="138"/>
      <c r="GO93" s="139"/>
      <c r="GP93" s="139"/>
      <c r="GQ93" s="141">
        <f>GI86</f>
        <v>2634.7490999999995</v>
      </c>
      <c r="GR93" s="141">
        <f>GS86</f>
        <v>2634.3943999999992</v>
      </c>
      <c r="GS93" s="139"/>
      <c r="GX93" s="138"/>
      <c r="GY93" s="139"/>
      <c r="GZ93" s="139"/>
      <c r="HA93" s="141">
        <f>GS86</f>
        <v>2634.3943999999992</v>
      </c>
      <c r="HB93" s="141">
        <f>HC86</f>
        <v>2633.9434999999989</v>
      </c>
      <c r="HC93" s="139"/>
      <c r="HG93" s="159"/>
      <c r="HH93" s="159"/>
      <c r="HI93" s="263" t="s">
        <v>176</v>
      </c>
      <c r="HJ93" s="263"/>
      <c r="HK93" s="263"/>
      <c r="HL93" s="164">
        <f>HC86</f>
        <v>2633.9434999999989</v>
      </c>
      <c r="HM93" s="164">
        <f>HN86</f>
        <v>2633.7622999999999</v>
      </c>
      <c r="HN93" s="139"/>
      <c r="HQ93" s="183"/>
      <c r="HR93" s="183"/>
      <c r="HS93" s="263" t="s">
        <v>176</v>
      </c>
      <c r="HT93" s="263"/>
      <c r="HU93" s="263"/>
      <c r="HV93" s="164">
        <f>HN86</f>
        <v>2633.7622999999999</v>
      </c>
      <c r="HW93" s="164">
        <f>HX86</f>
        <v>2633.6448999999984</v>
      </c>
      <c r="HX93" s="139"/>
      <c r="HY93" s="183"/>
      <c r="IA93" s="194"/>
      <c r="IB93" s="194"/>
      <c r="IC93" s="263" t="s">
        <v>176</v>
      </c>
      <c r="ID93" s="263"/>
      <c r="IE93" s="263"/>
      <c r="IF93" s="164">
        <f>HX86</f>
        <v>2633.6448999999984</v>
      </c>
      <c r="IG93" s="164">
        <f>IH86</f>
        <v>2633.5929000000006</v>
      </c>
      <c r="IH93" s="139"/>
      <c r="II93" s="194"/>
      <c r="IM93" s="263" t="s">
        <v>176</v>
      </c>
      <c r="IN93" s="263"/>
      <c r="IO93" s="263"/>
      <c r="IP93" s="164">
        <f>IH86</f>
        <v>2633.5929000000006</v>
      </c>
      <c r="IQ93" s="164">
        <f>IR86</f>
        <v>2633.3230000000012</v>
      </c>
      <c r="IR93" s="139"/>
      <c r="IU93" s="202"/>
      <c r="IV93" s="202"/>
      <c r="IW93" s="263" t="s">
        <v>176</v>
      </c>
      <c r="IX93" s="263"/>
      <c r="IY93" s="263"/>
      <c r="IZ93" s="164">
        <f>IR86</f>
        <v>2633.3230000000012</v>
      </c>
      <c r="JA93" s="164">
        <f>JB86</f>
        <v>2632.9588999999996</v>
      </c>
      <c r="JB93" s="139"/>
      <c r="JC93" s="202"/>
      <c r="JE93" s="204"/>
      <c r="JF93" s="204"/>
      <c r="JG93" s="263" t="s">
        <v>176</v>
      </c>
      <c r="JH93" s="263"/>
      <c r="JI93" s="263"/>
      <c r="JJ93" s="164">
        <f>JB86</f>
        <v>2632.9588999999996</v>
      </c>
      <c r="JK93" s="164">
        <f>JL86</f>
        <v>2632.8437000000008</v>
      </c>
      <c r="JL93" s="139"/>
      <c r="JM93" s="204"/>
      <c r="JN93" s="204"/>
      <c r="JQ93" s="263" t="s">
        <v>176</v>
      </c>
      <c r="JR93" s="263"/>
      <c r="JS93" s="263"/>
      <c r="JT93" s="164">
        <f>JL86</f>
        <v>2632.8437000000008</v>
      </c>
      <c r="JU93" s="164">
        <f>JV86</f>
        <v>2632.75</v>
      </c>
      <c r="JV93" s="139"/>
      <c r="JX93" s="213"/>
      <c r="JY93" s="213"/>
      <c r="JZ93" s="213"/>
      <c r="KA93" s="263" t="s">
        <v>176</v>
      </c>
      <c r="KB93" s="263"/>
      <c r="KC93" s="263"/>
      <c r="KD93" s="164">
        <f>JV86</f>
        <v>2632.75</v>
      </c>
      <c r="KE93" s="164">
        <f>KF86</f>
        <v>2632.5322999999989</v>
      </c>
      <c r="KF93" s="139"/>
      <c r="KG93" s="213"/>
      <c r="KI93" s="219"/>
      <c r="KJ93" s="219"/>
      <c r="KK93" s="263" t="s">
        <v>176</v>
      </c>
      <c r="KL93" s="263"/>
      <c r="KM93" s="263"/>
      <c r="KN93" s="164">
        <f>KF86</f>
        <v>2632.5322999999989</v>
      </c>
      <c r="KO93" s="164">
        <f>KP86</f>
        <v>2632.4599999999987</v>
      </c>
      <c r="KP93" s="139"/>
      <c r="KQ93" s="219"/>
      <c r="KU93" s="263" t="s">
        <v>176</v>
      </c>
      <c r="KV93" s="263"/>
      <c r="KW93" s="263"/>
      <c r="KX93" s="164">
        <f>KP86</f>
        <v>2632.4599999999987</v>
      </c>
      <c r="KY93" s="164">
        <f>KZ86</f>
        <v>2632.3828999999996</v>
      </c>
      <c r="KZ93" s="139"/>
      <c r="LE93" s="263" t="s">
        <v>176</v>
      </c>
      <c r="LF93" s="263"/>
      <c r="LG93" s="263"/>
      <c r="LH93" s="164">
        <f>KZ86</f>
        <v>2632.3828999999996</v>
      </c>
      <c r="LI93" s="164">
        <f>LJ86</f>
        <v>2632.3189000000002</v>
      </c>
      <c r="LJ93" s="139"/>
      <c r="LL93" s="231"/>
      <c r="LM93" s="231"/>
      <c r="LN93" s="231"/>
      <c r="LO93" s="263" t="s">
        <v>176</v>
      </c>
      <c r="LP93" s="263"/>
      <c r="LQ93" s="263"/>
      <c r="LR93" s="164">
        <f>LJ86</f>
        <v>2632.3189000000002</v>
      </c>
      <c r="LS93" s="164">
        <f>LT86</f>
        <v>2632.2291999999989</v>
      </c>
      <c r="LT93" s="139"/>
      <c r="LU93" s="231"/>
      <c r="LW93" s="231"/>
      <c r="LX93" s="231"/>
      <c r="LY93" s="263" t="s">
        <v>176</v>
      </c>
      <c r="LZ93" s="263"/>
      <c r="MA93" s="263"/>
      <c r="MB93" s="164">
        <f>LT86</f>
        <v>2632.2291999999989</v>
      </c>
      <c r="MC93" s="164">
        <f>MD86</f>
        <v>2632.1273999999999</v>
      </c>
      <c r="MD93" s="139"/>
      <c r="ME93" s="231"/>
      <c r="MF93" s="231"/>
      <c r="MG93" s="231"/>
      <c r="MH93" s="231"/>
      <c r="MI93" s="263" t="s">
        <v>176</v>
      </c>
      <c r="MJ93" s="263"/>
      <c r="MK93" s="263"/>
      <c r="ML93" s="164">
        <f>MD86</f>
        <v>2632.1273999999999</v>
      </c>
      <c r="MM93" s="164">
        <f>MN86</f>
        <v>2632.0279999999998</v>
      </c>
      <c r="MN93" s="139"/>
      <c r="MO93" s="231"/>
      <c r="MP93" s="231"/>
      <c r="MQ93" s="231"/>
      <c r="MR93" s="231"/>
      <c r="MS93" s="263" t="s">
        <v>176</v>
      </c>
      <c r="MT93" s="263"/>
      <c r="MU93" s="263"/>
      <c r="MV93" s="164">
        <f>MN86</f>
        <v>2632.0279999999998</v>
      </c>
      <c r="MW93" s="164">
        <f>MX86</f>
        <v>2631.8378000000002</v>
      </c>
      <c r="MX93" s="139"/>
      <c r="MY93" s="231"/>
      <c r="MZ93" s="246"/>
      <c r="NA93" s="246"/>
      <c r="NB93" s="246"/>
      <c r="NC93" s="263" t="s">
        <v>176</v>
      </c>
      <c r="ND93" s="263"/>
      <c r="NE93" s="263"/>
      <c r="NF93" s="164">
        <f>MX86</f>
        <v>2631.8378000000002</v>
      </c>
      <c r="NG93" s="164">
        <f>NH86</f>
        <v>2631.6440999999995</v>
      </c>
      <c r="NH93" s="139"/>
      <c r="NK93" s="250"/>
      <c r="NL93" s="250"/>
      <c r="NM93" s="263" t="s">
        <v>176</v>
      </c>
      <c r="NN93" s="263"/>
      <c r="NO93" s="263"/>
      <c r="NP93" s="164">
        <f>NH86</f>
        <v>2631.6440999999995</v>
      </c>
      <c r="NQ93" s="164">
        <f>NR86</f>
        <v>2631.5871999999999</v>
      </c>
      <c r="NR93" s="139"/>
      <c r="NS93" s="232"/>
      <c r="NU93" s="250"/>
      <c r="NV93" s="250"/>
      <c r="NW93" s="263" t="s">
        <v>176</v>
      </c>
      <c r="NX93" s="263"/>
      <c r="NY93" s="263"/>
      <c r="NZ93" s="164">
        <f>NR86</f>
        <v>2631.5871999999999</v>
      </c>
      <c r="OA93" s="164">
        <f>OB86</f>
        <v>2631.4968999999996</v>
      </c>
      <c r="OB93" s="139"/>
      <c r="OC93" s="232"/>
      <c r="OE93" s="250"/>
      <c r="OF93" s="250"/>
      <c r="OG93" s="263" t="s">
        <v>176</v>
      </c>
      <c r="OH93" s="263"/>
      <c r="OI93" s="263"/>
      <c r="OJ93" s="164">
        <f>OB86</f>
        <v>2631.4968999999996</v>
      </c>
      <c r="OK93" s="164">
        <f>OL86</f>
        <v>2631.4512</v>
      </c>
      <c r="OL93" s="139"/>
      <c r="OM93" s="232"/>
      <c r="OQ93" s="263" t="s">
        <v>176</v>
      </c>
      <c r="OR93" s="263"/>
      <c r="OS93" s="263"/>
      <c r="OT93" s="164">
        <f>OL86</f>
        <v>2631.4512</v>
      </c>
      <c r="OU93" s="164">
        <f>OV86</f>
        <v>2631.3465999999994</v>
      </c>
      <c r="OV93" s="139"/>
      <c r="OW93" s="232"/>
    </row>
    <row r="94" spans="1:413" x14ac:dyDescent="0.25">
      <c r="N94" s="4"/>
      <c r="O94" s="4"/>
      <c r="R94" s="5"/>
      <c r="S94" s="5"/>
      <c r="T94" s="5"/>
      <c r="U94" s="5"/>
      <c r="V94" s="4"/>
      <c r="W94" s="4"/>
      <c r="Z94" s="5"/>
      <c r="AA94" s="5"/>
      <c r="AB94" s="5"/>
      <c r="AC94" s="5"/>
      <c r="AD94" s="4"/>
      <c r="AE94" s="4"/>
      <c r="AF94" s="4"/>
      <c r="AG94" s="4"/>
      <c r="AH94" s="4"/>
      <c r="AI94" s="4"/>
      <c r="AL94" s="5"/>
      <c r="AM94" s="5"/>
      <c r="AN94" s="5"/>
      <c r="AO94" s="5"/>
      <c r="AP94" s="4"/>
      <c r="AQ94" s="4"/>
      <c r="AT94" s="39"/>
      <c r="AU94" s="42"/>
      <c r="AV94" s="42"/>
      <c r="AW94" s="42"/>
      <c r="AX94" s="42"/>
      <c r="AY94" s="41"/>
      <c r="AZ94" s="41"/>
      <c r="BD94" s="42"/>
      <c r="BE94" s="41"/>
      <c r="BF94" s="41"/>
      <c r="BG94" s="41"/>
      <c r="BH94" s="41"/>
      <c r="BI94" s="41"/>
      <c r="BJ94" s="41"/>
      <c r="BK94" s="41"/>
      <c r="BL94"/>
      <c r="BN94" s="42"/>
      <c r="BO94" s="41"/>
      <c r="BP94" s="41"/>
      <c r="BQ94" s="41"/>
      <c r="BR94" s="41"/>
      <c r="BS94" s="41"/>
      <c r="BX94" s="42"/>
      <c r="BY94" s="41"/>
      <c r="BZ94" s="41"/>
      <c r="CA94" s="41"/>
      <c r="CB94" s="41"/>
      <c r="CC94" s="41"/>
      <c r="CH94" s="42"/>
      <c r="CI94" s="41"/>
      <c r="CJ94" s="41"/>
      <c r="CK94" s="41"/>
      <c r="CL94" s="41"/>
      <c r="CM94" s="41"/>
      <c r="CP94" s="137"/>
      <c r="CQ94" s="137"/>
      <c r="CR94" s="138"/>
      <c r="CS94" s="139"/>
      <c r="CT94" s="139"/>
      <c r="CU94" s="139"/>
      <c r="CV94" s="139"/>
      <c r="CW94" s="139"/>
      <c r="DB94" s="42"/>
      <c r="DC94" s="41"/>
      <c r="DD94" s="41"/>
      <c r="DE94" s="41"/>
      <c r="DF94" s="41"/>
      <c r="DG94" s="41"/>
      <c r="DL94" s="42"/>
      <c r="DM94" s="41"/>
      <c r="DN94" s="41"/>
      <c r="DO94" s="41"/>
      <c r="DP94" s="41"/>
      <c r="DQ94" s="41"/>
      <c r="DV94" s="42"/>
      <c r="DW94" s="41"/>
      <c r="DX94" s="41"/>
      <c r="DY94" s="41"/>
      <c r="DZ94" s="41"/>
      <c r="EA94" s="41"/>
      <c r="EF94" s="42"/>
      <c r="EG94" s="41"/>
      <c r="EH94" s="41"/>
      <c r="EI94" s="41"/>
      <c r="EJ94" s="41"/>
      <c r="EK94" s="41"/>
      <c r="EP94" s="138"/>
      <c r="EQ94" s="139"/>
      <c r="ER94" s="139"/>
      <c r="ES94" s="139"/>
      <c r="ET94" s="139"/>
      <c r="EU94" s="139"/>
      <c r="EZ94" s="138"/>
      <c r="FA94" s="139"/>
      <c r="FB94" s="139"/>
      <c r="FC94" s="139"/>
      <c r="FD94" s="139"/>
      <c r="FE94" s="139"/>
      <c r="FJ94" s="138"/>
      <c r="FK94" s="139"/>
      <c r="FL94" s="139"/>
      <c r="FM94" s="139"/>
      <c r="FN94" s="139"/>
      <c r="FO94" s="139"/>
      <c r="FT94" s="138"/>
      <c r="FU94" s="139"/>
      <c r="FV94" s="139"/>
      <c r="FW94" s="139"/>
      <c r="FX94" s="139"/>
      <c r="FY94" s="139"/>
      <c r="GD94" s="138"/>
      <c r="GE94" s="139"/>
      <c r="GF94" s="139"/>
      <c r="GG94" s="139"/>
      <c r="GH94" s="139"/>
      <c r="GI94" s="139"/>
      <c r="GN94" s="138"/>
      <c r="GO94" s="139"/>
      <c r="GP94" s="139"/>
      <c r="GQ94" s="139"/>
      <c r="GR94" s="139"/>
      <c r="GS94" s="139"/>
      <c r="GX94" s="138"/>
      <c r="GY94" s="139"/>
      <c r="GZ94" s="139"/>
      <c r="HA94" s="139"/>
      <c r="HB94" s="139"/>
      <c r="HC94" s="139"/>
      <c r="HG94" s="159"/>
      <c r="HH94" s="159"/>
      <c r="HI94" s="264" t="s">
        <v>177</v>
      </c>
      <c r="HJ94" s="264"/>
      <c r="HK94" s="264"/>
      <c r="HL94" s="164">
        <f>HL87/71</f>
        <v>0.54952816901408452</v>
      </c>
      <c r="HM94" s="164">
        <f>HL86/71</f>
        <v>0.55208028169014056</v>
      </c>
      <c r="HN94" s="139"/>
      <c r="HQ94" s="183"/>
      <c r="HR94" s="183"/>
      <c r="HS94" s="264" t="s">
        <v>177</v>
      </c>
      <c r="HT94" s="264"/>
      <c r="HU94" s="264"/>
      <c r="HV94" s="164">
        <f>HV87/71</f>
        <v>0.55208028169014056</v>
      </c>
      <c r="HW94" s="164">
        <f>HV86/71</f>
        <v>0.55373380281690121</v>
      </c>
      <c r="HX94" s="139"/>
      <c r="HY94" s="183"/>
      <c r="IA94" s="194"/>
      <c r="IB94" s="194"/>
      <c r="IC94" s="264" t="s">
        <v>177</v>
      </c>
      <c r="ID94" s="264"/>
      <c r="IE94" s="264"/>
      <c r="IF94" s="164">
        <f>IF87/71</f>
        <v>0.55373380281690121</v>
      </c>
      <c r="IG94" s="164">
        <f>IF86/71</f>
        <v>0.55446619718309886</v>
      </c>
      <c r="IH94" s="139"/>
      <c r="II94" s="194"/>
      <c r="IM94" s="264" t="s">
        <v>177</v>
      </c>
      <c r="IN94" s="264"/>
      <c r="IO94" s="264"/>
      <c r="IP94" s="164">
        <f>IP87/71</f>
        <v>0.55446619718309886</v>
      </c>
      <c r="IQ94" s="164">
        <f>IP86/71</f>
        <v>0.55826760563380273</v>
      </c>
      <c r="IR94" s="139"/>
      <c r="IU94" s="202"/>
      <c r="IV94" s="202"/>
      <c r="IW94" s="264" t="s">
        <v>177</v>
      </c>
      <c r="IX94" s="264"/>
      <c r="IY94" s="264"/>
      <c r="IZ94" s="164">
        <f>IZ87/71</f>
        <v>0.55826760563380273</v>
      </c>
      <c r="JA94" s="164">
        <f>IZ86/71</f>
        <v>0.56339577464788737</v>
      </c>
      <c r="JB94" s="139"/>
      <c r="JC94" s="202"/>
      <c r="JE94" s="204"/>
      <c r="JF94" s="204"/>
      <c r="JG94" s="264" t="s">
        <v>177</v>
      </c>
      <c r="JH94" s="264"/>
      <c r="JI94" s="264"/>
      <c r="JJ94" s="164">
        <f>JJ87/71</f>
        <v>0.56339577464788737</v>
      </c>
      <c r="JK94" s="164">
        <f>JJ86/71</f>
        <v>0.56501830985915491</v>
      </c>
      <c r="JL94" s="139"/>
      <c r="JM94" s="204"/>
      <c r="JN94" s="204"/>
      <c r="JQ94" s="264" t="s">
        <v>177</v>
      </c>
      <c r="JR94" s="264"/>
      <c r="JS94" s="264"/>
      <c r="JT94" s="164">
        <f>JT87/71</f>
        <v>0.56501830985915491</v>
      </c>
      <c r="JU94" s="164">
        <f>JT86/71</f>
        <v>0.56633802816901402</v>
      </c>
      <c r="JV94" s="139"/>
      <c r="JX94" s="213"/>
      <c r="JY94" s="213"/>
      <c r="JZ94" s="213"/>
      <c r="KA94" s="264" t="s">
        <v>177</v>
      </c>
      <c r="KB94" s="264"/>
      <c r="KC94" s="264"/>
      <c r="KD94" s="164">
        <f>KD87/71</f>
        <v>0.56633802816901402</v>
      </c>
      <c r="KE94" s="164">
        <f>KD86/71</f>
        <v>0.56940422535211266</v>
      </c>
      <c r="KF94" s="139"/>
      <c r="KG94" s="213"/>
      <c r="KI94" s="219"/>
      <c r="KJ94" s="219"/>
      <c r="KK94" s="264" t="s">
        <v>177</v>
      </c>
      <c r="KL94" s="264"/>
      <c r="KM94" s="264"/>
      <c r="KN94" s="164">
        <f>KN87/71</f>
        <v>0.56940422535211266</v>
      </c>
      <c r="KO94" s="164">
        <f>KN86/71</f>
        <v>0.57042253521126751</v>
      </c>
      <c r="KP94" s="139"/>
      <c r="KQ94" s="219"/>
      <c r="KU94" s="264" t="s">
        <v>177</v>
      </c>
      <c r="KV94" s="264"/>
      <c r="KW94" s="264"/>
      <c r="KX94" s="164">
        <f>KX87/71</f>
        <v>0.57042253521126751</v>
      </c>
      <c r="KY94" s="164">
        <f>KX86/71</f>
        <v>0.57150845070422507</v>
      </c>
      <c r="KZ94" s="139"/>
      <c r="LE94" s="264" t="s">
        <v>177</v>
      </c>
      <c r="LF94" s="264"/>
      <c r="LG94" s="264"/>
      <c r="LH94" s="164">
        <f>LH87/71</f>
        <v>0.57150845070422507</v>
      </c>
      <c r="LI94" s="164">
        <f>LH86/71</f>
        <v>0.5724098591549297</v>
      </c>
      <c r="LJ94" s="139"/>
      <c r="LL94" s="231"/>
      <c r="LM94" s="231"/>
      <c r="LN94" s="231"/>
      <c r="LO94" s="264" t="s">
        <v>177</v>
      </c>
      <c r="LP94" s="264"/>
      <c r="LQ94" s="264"/>
      <c r="LR94" s="164">
        <f>LR87/71</f>
        <v>0.5724098591549297</v>
      </c>
      <c r="LS94" s="164">
        <f>LR86/71</f>
        <v>0.57367323943661996</v>
      </c>
      <c r="LT94" s="139"/>
      <c r="LU94" s="231"/>
      <c r="LW94" s="231"/>
      <c r="LX94" s="231"/>
      <c r="LY94" s="264" t="s">
        <v>177</v>
      </c>
      <c r="LZ94" s="264"/>
      <c r="MA94" s="264"/>
      <c r="MB94" s="164">
        <f>MB87/71</f>
        <v>0.57367323943661996</v>
      </c>
      <c r="MC94" s="164">
        <f>MB86/71</f>
        <v>0.57510704225352116</v>
      </c>
      <c r="MD94" s="139"/>
      <c r="ME94" s="231"/>
      <c r="MF94" s="231"/>
      <c r="MG94" s="231"/>
      <c r="MH94" s="231"/>
      <c r="MI94" s="264" t="s">
        <v>177</v>
      </c>
      <c r="MJ94" s="264"/>
      <c r="MK94" s="264"/>
      <c r="ML94" s="164">
        <f>ML87/71</f>
        <v>0.57510704225352116</v>
      </c>
      <c r="MM94" s="164">
        <f>ML86/71</f>
        <v>0.57650704225352134</v>
      </c>
      <c r="MN94" s="139"/>
      <c r="MO94" s="231"/>
      <c r="MP94" s="231"/>
      <c r="MQ94" s="231"/>
      <c r="MR94" s="231"/>
      <c r="MS94" s="264" t="s">
        <v>177</v>
      </c>
      <c r="MT94" s="264"/>
      <c r="MU94" s="264"/>
      <c r="MV94" s="164">
        <f>MV87/71</f>
        <v>0.57650704225352134</v>
      </c>
      <c r="MW94" s="164">
        <f>MV86/71</f>
        <v>0.57918591549295784</v>
      </c>
      <c r="MX94" s="139"/>
      <c r="MY94" s="231"/>
      <c r="MZ94" s="246"/>
      <c r="NA94" s="246"/>
      <c r="NB94" s="246"/>
      <c r="NC94" s="264" t="s">
        <v>177</v>
      </c>
      <c r="ND94" s="264"/>
      <c r="NE94" s="264"/>
      <c r="NF94" s="164">
        <f>NF87/71</f>
        <v>0.57918591549295784</v>
      </c>
      <c r="NG94" s="164">
        <f>NF86/71</f>
        <v>0.58191408450704241</v>
      </c>
      <c r="NH94" s="139"/>
      <c r="NK94" s="250"/>
      <c r="NL94" s="250"/>
      <c r="NM94" s="264" t="s">
        <v>177</v>
      </c>
      <c r="NN94" s="264"/>
      <c r="NO94" s="264"/>
      <c r="NP94" s="164">
        <f>NP87/71</f>
        <v>0.58191408450704241</v>
      </c>
      <c r="NQ94" s="164">
        <f>NP86/71</f>
        <v>0.58271549295774638</v>
      </c>
      <c r="NR94" s="139"/>
      <c r="NS94" s="232"/>
      <c r="NU94" s="250"/>
      <c r="NV94" s="250"/>
      <c r="NW94" s="264" t="s">
        <v>177</v>
      </c>
      <c r="NX94" s="264"/>
      <c r="NY94" s="264"/>
      <c r="NZ94" s="164">
        <f>NZ87/71</f>
        <v>0.58271549295774638</v>
      </c>
      <c r="OA94" s="164">
        <f>NZ86/71</f>
        <v>0.58398732394366193</v>
      </c>
      <c r="OB94" s="139"/>
      <c r="OC94" s="232"/>
      <c r="OE94" s="250"/>
      <c r="OF94" s="250"/>
      <c r="OG94" s="264" t="s">
        <v>177</v>
      </c>
      <c r="OH94" s="264"/>
      <c r="OI94" s="264"/>
      <c r="OJ94" s="164">
        <f>OJ87/71</f>
        <v>0.58398732394366193</v>
      </c>
      <c r="OK94" s="164">
        <f>OJ86/71</f>
        <v>0.58463098591549312</v>
      </c>
      <c r="OL94" s="139"/>
      <c r="OM94" s="232"/>
      <c r="OQ94" s="264" t="s">
        <v>177</v>
      </c>
      <c r="OR94" s="264"/>
      <c r="OS94" s="264"/>
      <c r="OT94" s="164">
        <f>OT87/71</f>
        <v>0.58463098591549312</v>
      </c>
      <c r="OU94" s="164">
        <f>OT86/71</f>
        <v>0.58610422535211282</v>
      </c>
      <c r="OV94" s="139"/>
      <c r="OW94" s="232"/>
    </row>
    <row r="95" spans="1:413" x14ac:dyDescent="0.25">
      <c r="N95" s="4"/>
      <c r="O95" s="4"/>
      <c r="R95" s="5"/>
      <c r="S95" s="5"/>
      <c r="T95" s="5"/>
      <c r="U95" s="5"/>
      <c r="V95" s="4"/>
      <c r="W95" s="4"/>
      <c r="Z95" s="5"/>
      <c r="AA95" s="5"/>
      <c r="AB95" s="5"/>
      <c r="AC95" s="5"/>
      <c r="AD95" s="4"/>
      <c r="AE95" s="4"/>
      <c r="AF95" s="4"/>
      <c r="AG95" s="4"/>
      <c r="AH95" s="4"/>
      <c r="AI95" s="4"/>
      <c r="AL95" s="5"/>
      <c r="AM95" s="5"/>
      <c r="AN95" s="5"/>
      <c r="AO95" s="5"/>
      <c r="AP95" s="4"/>
      <c r="AQ95" s="4"/>
      <c r="AT95" s="39"/>
      <c r="AU95" s="42"/>
      <c r="AV95" s="42"/>
      <c r="AW95" s="42"/>
      <c r="AX95" s="42"/>
      <c r="AY95" s="41"/>
      <c r="AZ95" s="41"/>
      <c r="BD95" s="42"/>
      <c r="BE95" s="41"/>
      <c r="BF95" s="41"/>
      <c r="BG95" s="41"/>
      <c r="BH95" s="41"/>
      <c r="BI95" s="41"/>
      <c r="BJ95" s="41"/>
      <c r="BK95" s="41"/>
      <c r="BL95"/>
      <c r="BN95" s="42"/>
      <c r="BO95" s="41"/>
      <c r="BP95" s="41"/>
      <c r="BQ95" s="41"/>
      <c r="BR95" s="41"/>
      <c r="BS95" s="41"/>
      <c r="BX95" s="42"/>
      <c r="BY95" s="41"/>
      <c r="BZ95" s="41"/>
      <c r="CA95" s="41"/>
      <c r="CB95" s="41"/>
      <c r="CC95" s="41"/>
      <c r="CH95" s="42"/>
      <c r="CI95" s="41"/>
      <c r="CJ95" s="41"/>
      <c r="CK95" s="41"/>
      <c r="CL95" s="41"/>
      <c r="CM95" s="41"/>
      <c r="CP95" s="137"/>
      <c r="CQ95" s="137"/>
      <c r="CR95" s="138"/>
      <c r="CS95" s="139"/>
      <c r="CT95" s="139"/>
      <c r="CU95" s="139"/>
      <c r="CV95" s="139"/>
      <c r="CW95" s="139"/>
      <c r="DB95" s="42"/>
      <c r="DC95" s="41"/>
      <c r="DD95" s="41"/>
      <c r="DE95" s="41"/>
      <c r="DF95" s="41"/>
      <c r="DG95" s="41"/>
      <c r="DL95" s="42"/>
      <c r="DM95" s="41"/>
      <c r="DN95" s="41"/>
      <c r="DO95" s="41"/>
      <c r="DP95" s="41"/>
      <c r="DQ95" s="41"/>
      <c r="DV95" s="42"/>
      <c r="DW95" s="41"/>
      <c r="DX95" s="41"/>
      <c r="DY95" s="41"/>
      <c r="DZ95" s="41"/>
      <c r="EA95" s="41"/>
      <c r="EF95" s="42"/>
      <c r="EG95" s="41"/>
      <c r="EH95" s="41"/>
      <c r="EI95" s="41"/>
      <c r="EJ95" s="41"/>
      <c r="EK95" s="41"/>
      <c r="EP95" s="138"/>
      <c r="EQ95" s="139"/>
      <c r="ER95" s="139"/>
      <c r="ES95" s="139"/>
      <c r="ET95" s="139"/>
      <c r="EU95" s="139"/>
      <c r="EZ95" s="138"/>
      <c r="FA95" s="139"/>
      <c r="FB95" s="139"/>
      <c r="FC95" s="139"/>
      <c r="FD95" s="139"/>
      <c r="FE95" s="139"/>
      <c r="FJ95" s="138"/>
      <c r="FK95" s="139"/>
      <c r="FL95" s="139"/>
      <c r="FM95" s="139"/>
      <c r="FN95" s="139"/>
      <c r="FO95" s="139"/>
      <c r="FT95" s="138"/>
      <c r="FU95" s="139"/>
      <c r="FV95" s="139"/>
      <c r="FW95" s="139"/>
      <c r="FX95" s="139"/>
      <c r="FY95" s="139"/>
      <c r="GD95" s="138"/>
      <c r="GE95" s="139"/>
      <c r="GF95" s="139"/>
      <c r="GG95" s="139"/>
      <c r="GH95" s="139"/>
      <c r="GI95" s="139"/>
      <c r="GN95" s="138"/>
      <c r="GO95" s="139"/>
      <c r="GP95" s="139"/>
      <c r="GQ95" s="139"/>
      <c r="GR95" s="139"/>
      <c r="GS95" s="139"/>
      <c r="GX95" s="138"/>
      <c r="GY95" s="139"/>
      <c r="GZ95" s="139"/>
      <c r="HA95" s="139"/>
      <c r="HB95" s="139"/>
      <c r="HC95" s="139"/>
      <c r="HG95" s="159"/>
      <c r="HH95" s="159"/>
      <c r="HI95" s="138"/>
      <c r="HJ95" s="139"/>
      <c r="HK95" s="139"/>
      <c r="HL95" s="139"/>
      <c r="HM95" s="139"/>
      <c r="HN95" s="139"/>
      <c r="HQ95" s="183"/>
      <c r="HR95" s="183"/>
      <c r="HS95" s="138"/>
      <c r="HT95" s="139"/>
      <c r="HU95" s="139"/>
      <c r="HV95" s="139"/>
      <c r="HW95" s="139"/>
      <c r="HX95" s="139"/>
      <c r="HY95" s="183"/>
      <c r="IA95" s="194"/>
      <c r="IB95" s="194"/>
      <c r="IC95" s="138"/>
      <c r="ID95" s="139"/>
      <c r="IE95" s="139"/>
      <c r="IF95" s="139"/>
      <c r="IG95" s="139"/>
      <c r="IH95" s="139"/>
      <c r="II95" s="194"/>
      <c r="IM95" s="138"/>
      <c r="IN95" s="139"/>
      <c r="IO95" s="139"/>
      <c r="IP95" s="139"/>
      <c r="IQ95" s="139"/>
      <c r="IR95" s="139"/>
      <c r="IU95" s="202"/>
      <c r="IV95" s="202"/>
      <c r="IW95" s="138"/>
      <c r="IX95" s="139"/>
      <c r="IY95" s="139"/>
      <c r="IZ95" s="139"/>
      <c r="JA95" s="139"/>
      <c r="JB95" s="139"/>
      <c r="JC95" s="202"/>
      <c r="JE95" s="204"/>
      <c r="JF95" s="204"/>
      <c r="JG95" s="138"/>
      <c r="JH95" s="139"/>
      <c r="JI95" s="139"/>
      <c r="JJ95" s="139"/>
      <c r="JK95" s="139"/>
      <c r="JL95" s="139"/>
      <c r="JM95" s="204"/>
      <c r="JN95" s="204"/>
      <c r="JQ95" s="138"/>
      <c r="JR95" s="139"/>
      <c r="JS95" s="139"/>
      <c r="JT95" s="139"/>
      <c r="JU95" s="139"/>
      <c r="JV95" s="139"/>
      <c r="JX95" s="213"/>
      <c r="JY95" s="213"/>
      <c r="JZ95" s="213"/>
      <c r="KA95" s="138"/>
      <c r="KB95" s="139"/>
      <c r="KC95" s="139"/>
      <c r="KD95" s="139"/>
      <c r="KE95" s="139"/>
      <c r="KF95" s="139"/>
      <c r="KG95" s="213"/>
      <c r="KI95" s="219"/>
      <c r="KJ95" s="219"/>
      <c r="KK95" s="138"/>
      <c r="KL95" s="139"/>
      <c r="KM95" s="139"/>
      <c r="KN95" s="139"/>
      <c r="KO95" s="139"/>
      <c r="KP95" s="139"/>
      <c r="KQ95" s="219"/>
      <c r="KU95" s="138"/>
      <c r="KV95" s="139"/>
      <c r="KW95" s="139"/>
      <c r="KX95" s="139"/>
      <c r="KY95" s="139"/>
      <c r="KZ95" s="139"/>
      <c r="LE95" s="138"/>
      <c r="LF95" s="139"/>
      <c r="LG95" s="139"/>
      <c r="LH95" s="139"/>
      <c r="LI95" s="139"/>
      <c r="LJ95" s="139"/>
      <c r="LL95" s="231"/>
      <c r="LM95" s="231"/>
      <c r="LN95" s="231"/>
      <c r="LO95" s="138"/>
      <c r="LP95" s="139"/>
      <c r="LQ95" s="139"/>
      <c r="LR95" s="139"/>
      <c r="LS95" s="139"/>
      <c r="LT95" s="139"/>
      <c r="LU95" s="231"/>
      <c r="LW95" s="231"/>
      <c r="LX95" s="231"/>
      <c r="LY95" s="138"/>
      <c r="LZ95" s="139"/>
      <c r="MA95" s="139"/>
      <c r="MB95" s="139"/>
      <c r="MC95" s="139"/>
      <c r="MD95" s="139"/>
      <c r="ME95" s="231"/>
      <c r="MF95" s="231"/>
      <c r="MG95" s="231"/>
      <c r="MH95" s="231"/>
      <c r="MI95" s="138"/>
      <c r="MJ95" s="139"/>
      <c r="MK95" s="139"/>
      <c r="ML95" s="139"/>
      <c r="MM95" s="139"/>
      <c r="MN95" s="139"/>
      <c r="MO95" s="231"/>
      <c r="MP95" s="231"/>
      <c r="MQ95" s="231"/>
      <c r="MR95" s="231"/>
      <c r="MS95" s="138"/>
      <c r="MT95" s="139"/>
      <c r="MU95" s="139"/>
      <c r="MV95" s="139"/>
      <c r="MW95" s="139"/>
      <c r="MX95" s="139"/>
      <c r="MY95" s="231"/>
      <c r="MZ95" s="246"/>
      <c r="NA95" s="246"/>
      <c r="NB95" s="246"/>
      <c r="NC95" s="138"/>
      <c r="ND95" s="139"/>
      <c r="NE95" s="139"/>
      <c r="NF95" s="139"/>
      <c r="NG95" s="139"/>
      <c r="NH95" s="139"/>
      <c r="NK95" s="250"/>
      <c r="NL95" s="250"/>
      <c r="NM95" s="138"/>
      <c r="NN95" s="139"/>
      <c r="NO95" s="139"/>
      <c r="NP95" s="139"/>
      <c r="NQ95" s="139"/>
      <c r="NR95" s="139"/>
      <c r="NS95" s="232"/>
      <c r="NU95" s="250"/>
      <c r="NV95" s="250"/>
      <c r="NW95" s="138"/>
      <c r="NX95" s="139"/>
      <c r="NY95" s="139"/>
      <c r="NZ95" s="139"/>
      <c r="OA95" s="139"/>
      <c r="OB95" s="139"/>
      <c r="OC95" s="232"/>
      <c r="OE95" s="250"/>
      <c r="OF95" s="250"/>
      <c r="OG95" s="138"/>
      <c r="OH95" s="139"/>
      <c r="OI95" s="139"/>
      <c r="OJ95" s="139"/>
      <c r="OK95" s="139"/>
      <c r="OL95" s="139"/>
      <c r="OM95" s="232"/>
      <c r="OQ95" s="138"/>
      <c r="OR95" s="139"/>
      <c r="OS95" s="139"/>
      <c r="OT95" s="139"/>
      <c r="OU95" s="139"/>
      <c r="OV95" s="139"/>
      <c r="OW95" s="232"/>
    </row>
    <row r="96" spans="1:413" x14ac:dyDescent="0.25">
      <c r="A96" t="s">
        <v>12</v>
      </c>
      <c r="C96" t="s">
        <v>10</v>
      </c>
      <c r="D96" t="s">
        <v>92</v>
      </c>
      <c r="E96">
        <v>0.47989710144927539</v>
      </c>
      <c r="K96" s="5" t="s">
        <v>10</v>
      </c>
      <c r="L96" s="5" t="s">
        <v>92</v>
      </c>
      <c r="M96" s="4">
        <f>M86/69</f>
        <v>0.48830579710144911</v>
      </c>
      <c r="N96" s="4"/>
      <c r="O96" s="4"/>
      <c r="R96" s="5"/>
      <c r="S96" s="5" t="s">
        <v>10</v>
      </c>
      <c r="T96" s="5" t="s">
        <v>92</v>
      </c>
      <c r="U96" s="4">
        <f>U86/69</f>
        <v>0.4916086956521738</v>
      </c>
      <c r="V96" s="4"/>
      <c r="W96" s="4"/>
      <c r="Z96" s="5"/>
      <c r="AA96" s="5" t="s">
        <v>10</v>
      </c>
      <c r="AB96" s="5" t="s">
        <v>92</v>
      </c>
      <c r="AC96" s="4">
        <f>AC86/69</f>
        <v>0.49974927536231878</v>
      </c>
      <c r="AD96" s="4"/>
      <c r="AE96" s="4"/>
      <c r="AF96" s="4"/>
      <c r="AG96" s="4"/>
      <c r="AH96" s="4"/>
      <c r="AI96" s="4"/>
      <c r="AL96" s="5"/>
      <c r="AM96" s="5" t="s">
        <v>10</v>
      </c>
      <c r="AN96" s="5" t="s">
        <v>92</v>
      </c>
      <c r="AO96" s="4">
        <f>AO86/71</f>
        <v>0.49440422535211254</v>
      </c>
      <c r="AP96" s="4"/>
      <c r="AQ96" s="4"/>
      <c r="AT96" s="39"/>
      <c r="AU96" s="42"/>
      <c r="AV96" s="52" t="s">
        <v>10</v>
      </c>
      <c r="AW96" s="52" t="s">
        <v>92</v>
      </c>
      <c r="AX96" s="50">
        <f>AX86/71</f>
        <v>0.49811690140845083</v>
      </c>
      <c r="AY96" s="41"/>
      <c r="AZ96" s="41"/>
      <c r="BD96" s="42"/>
      <c r="BE96" s="50" t="s">
        <v>10</v>
      </c>
      <c r="BF96" s="50" t="s">
        <v>92</v>
      </c>
      <c r="BG96" s="50">
        <f>BG86/71</f>
        <v>0.49853098591549311</v>
      </c>
      <c r="BH96" s="41"/>
      <c r="BI96" s="41"/>
      <c r="BJ96" s="41"/>
      <c r="BK96" s="41"/>
      <c r="BL96"/>
      <c r="BN96" s="42"/>
      <c r="BO96" s="50" t="s">
        <v>10</v>
      </c>
      <c r="BP96" s="50" t="s">
        <v>92</v>
      </c>
      <c r="BQ96" s="50">
        <f>BQ86/71</f>
        <v>0.50010985915492956</v>
      </c>
      <c r="BR96" s="41"/>
      <c r="BS96" s="41"/>
      <c r="BX96" s="42"/>
      <c r="BY96" s="50" t="s">
        <v>10</v>
      </c>
      <c r="BZ96" s="50" t="s">
        <v>92</v>
      </c>
      <c r="CA96" s="50">
        <f>CA86/71</f>
        <v>0.50319577464788723</v>
      </c>
      <c r="CB96" s="41"/>
      <c r="CC96" s="41"/>
      <c r="CH96" s="42"/>
      <c r="CI96" s="50" t="s">
        <v>10</v>
      </c>
      <c r="CJ96" s="50" t="s">
        <v>92</v>
      </c>
      <c r="CK96" s="50">
        <f>CK86/71</f>
        <v>0.50584788732394359</v>
      </c>
      <c r="CL96" s="41"/>
      <c r="CM96" s="41"/>
      <c r="CP96" s="137"/>
      <c r="CQ96" s="137"/>
      <c r="CR96" s="138"/>
      <c r="CS96" s="140" t="s">
        <v>10</v>
      </c>
      <c r="CT96" s="140" t="s">
        <v>92</v>
      </c>
      <c r="CU96" s="140">
        <f>CU86/71</f>
        <v>0.50917323943661985</v>
      </c>
      <c r="CV96" s="139"/>
      <c r="CW96" s="139"/>
      <c r="DB96" s="42"/>
      <c r="DC96" s="50" t="s">
        <v>10</v>
      </c>
      <c r="DD96" s="50" t="s">
        <v>92</v>
      </c>
      <c r="DE96" s="50">
        <f>DE86/71</f>
        <v>0.50950704225352106</v>
      </c>
      <c r="DF96" s="41"/>
      <c r="DG96" s="41"/>
      <c r="DL96" s="42"/>
      <c r="DM96" s="50" t="s">
        <v>10</v>
      </c>
      <c r="DN96" s="50" t="s">
        <v>92</v>
      </c>
      <c r="DO96" s="50">
        <f>DO86/71</f>
        <v>0.51331830985915472</v>
      </c>
      <c r="DP96" s="41"/>
      <c r="DQ96" s="41"/>
      <c r="DV96" s="42"/>
      <c r="DW96" s="50" t="s">
        <v>10</v>
      </c>
      <c r="DX96" s="50" t="s">
        <v>92</v>
      </c>
      <c r="DY96" s="50">
        <f>DY86/71</f>
        <v>0.51569295774647883</v>
      </c>
      <c r="DZ96" s="41"/>
      <c r="EA96" s="41"/>
      <c r="EF96" s="42"/>
      <c r="EG96" s="50" t="s">
        <v>10</v>
      </c>
      <c r="EH96" s="50" t="s">
        <v>92</v>
      </c>
      <c r="EI96" s="50">
        <f>EI86/71</f>
        <v>0.51939577464788755</v>
      </c>
      <c r="EJ96" s="41"/>
      <c r="EK96" s="41"/>
      <c r="EP96" s="138"/>
      <c r="EQ96" s="140" t="s">
        <v>10</v>
      </c>
      <c r="ER96" s="140" t="s">
        <v>92</v>
      </c>
      <c r="ES96" s="140">
        <f>ES86/71</f>
        <v>0.52676760563380309</v>
      </c>
      <c r="ET96" s="139"/>
      <c r="EU96" s="139"/>
      <c r="EZ96" s="138"/>
      <c r="FA96" s="140" t="s">
        <v>10</v>
      </c>
      <c r="FB96" s="140" t="s">
        <v>92</v>
      </c>
      <c r="FC96" s="140">
        <f>FC86/71</f>
        <v>0.53023943661971851</v>
      </c>
      <c r="FD96" s="139"/>
      <c r="FE96" s="139"/>
      <c r="FJ96" s="138"/>
      <c r="FK96" s="140" t="s">
        <v>10</v>
      </c>
      <c r="FL96" s="140" t="s">
        <v>92</v>
      </c>
      <c r="FM96" s="140">
        <f>FM86/71</f>
        <v>0.53487042253521144</v>
      </c>
      <c r="FN96" s="139"/>
      <c r="FO96" s="139"/>
      <c r="FT96" s="138"/>
      <c r="FU96" s="140" t="s">
        <v>10</v>
      </c>
      <c r="FV96" s="140" t="s">
        <v>92</v>
      </c>
      <c r="FW96" s="140">
        <f>FW86/71</f>
        <v>0.53583098591549294</v>
      </c>
      <c r="FX96" s="139"/>
      <c r="FY96" s="139"/>
      <c r="GD96" s="138"/>
      <c r="GE96" s="140" t="s">
        <v>10</v>
      </c>
      <c r="GF96" s="140" t="s">
        <v>92</v>
      </c>
      <c r="GG96" s="140">
        <f>GG86/71</f>
        <v>0.53818169014084505</v>
      </c>
      <c r="GH96" s="139"/>
      <c r="GI96" s="139"/>
      <c r="GN96" s="138"/>
      <c r="GO96" s="140" t="s">
        <v>10</v>
      </c>
      <c r="GP96" s="140" t="s">
        <v>92</v>
      </c>
      <c r="GQ96" s="140">
        <f>GQ86/71</f>
        <v>0.54317746478873241</v>
      </c>
      <c r="GR96" s="139"/>
      <c r="GS96" s="139"/>
      <c r="GX96" s="138"/>
      <c r="GY96" s="140" t="s">
        <v>10</v>
      </c>
      <c r="GZ96" s="140" t="s">
        <v>92</v>
      </c>
      <c r="HA96" s="140">
        <f>HA86/71</f>
        <v>0.54952816901408452</v>
      </c>
      <c r="HB96" s="139"/>
      <c r="HC96" s="139"/>
      <c r="HG96" s="159"/>
      <c r="HH96" s="159"/>
      <c r="HI96" s="138"/>
      <c r="HJ96" s="140"/>
      <c r="HK96" s="140"/>
      <c r="HL96" s="140"/>
      <c r="HM96" s="139"/>
      <c r="HN96" s="139"/>
      <c r="HQ96" s="183"/>
      <c r="HR96" s="183"/>
      <c r="HS96" s="138"/>
      <c r="HT96" s="140"/>
      <c r="HU96" s="140"/>
      <c r="HV96" s="140"/>
      <c r="HW96" s="139"/>
      <c r="HX96" s="139"/>
      <c r="HY96" s="183"/>
      <c r="IA96" s="194"/>
      <c r="IB96" s="194"/>
      <c r="IC96" s="138"/>
      <c r="ID96" s="140"/>
      <c r="IE96" s="140"/>
      <c r="IF96" s="140"/>
      <c r="IG96" s="139"/>
      <c r="IH96" s="139"/>
      <c r="II96" s="194"/>
      <c r="IM96" s="138"/>
      <c r="IN96" s="140"/>
      <c r="IO96" s="140"/>
      <c r="IP96" s="140"/>
      <c r="IQ96" s="139"/>
      <c r="IR96" s="139"/>
      <c r="IU96" s="202"/>
      <c r="IV96" s="202"/>
      <c r="IW96" s="138"/>
      <c r="IX96" s="140"/>
      <c r="IY96" s="140"/>
      <c r="IZ96" s="140"/>
      <c r="JA96" s="139"/>
      <c r="JB96" s="139"/>
      <c r="JC96" s="202"/>
      <c r="JE96" s="204"/>
      <c r="JF96" s="204"/>
      <c r="JG96" s="138"/>
      <c r="JH96" s="140"/>
      <c r="JI96" s="140"/>
      <c r="JJ96" s="140"/>
      <c r="JK96" s="139"/>
      <c r="JL96" s="139"/>
      <c r="JM96" s="204"/>
      <c r="JN96" s="204"/>
      <c r="JQ96" s="138"/>
      <c r="JR96" s="140"/>
      <c r="JS96" s="140"/>
      <c r="JT96" s="140"/>
      <c r="JU96" s="139"/>
      <c r="JV96" s="139"/>
      <c r="JX96" s="213"/>
      <c r="JY96" s="213"/>
      <c r="JZ96" s="213"/>
      <c r="KA96" s="138"/>
      <c r="KB96" s="140"/>
      <c r="KC96" s="140"/>
      <c r="KD96" s="140"/>
      <c r="KE96" s="139"/>
      <c r="KF96" s="139"/>
      <c r="KG96" s="213"/>
      <c r="KI96" s="219"/>
      <c r="KJ96" s="219"/>
      <c r="KK96" s="138"/>
      <c r="KL96" s="140"/>
      <c r="KM96" s="140"/>
      <c r="KN96" s="140"/>
      <c r="KO96" s="139"/>
      <c r="KP96" s="139"/>
      <c r="KQ96" s="219"/>
      <c r="KU96" s="138"/>
      <c r="KV96" s="140"/>
      <c r="KW96" s="140"/>
      <c r="KX96" s="140"/>
      <c r="KY96" s="139"/>
      <c r="KZ96" s="139"/>
      <c r="LE96" s="138"/>
      <c r="LF96" s="140"/>
      <c r="LG96" s="140"/>
      <c r="LH96" s="140"/>
      <c r="LI96" s="139"/>
      <c r="LJ96" s="139"/>
      <c r="LL96" s="231"/>
      <c r="LM96" s="231"/>
      <c r="LN96" s="231"/>
      <c r="LO96" s="138"/>
      <c r="LP96" s="140"/>
      <c r="LQ96" s="140"/>
      <c r="LR96" s="140"/>
      <c r="LS96" s="139"/>
      <c r="LT96" s="139"/>
      <c r="LU96" s="231"/>
      <c r="LW96" s="231"/>
      <c r="LX96" s="231"/>
      <c r="LY96" s="138"/>
      <c r="LZ96" s="140"/>
      <c r="MA96" s="140"/>
      <c r="MB96" s="140"/>
      <c r="MC96" s="139"/>
      <c r="MD96" s="139"/>
      <c r="ME96" s="231"/>
      <c r="MF96" s="231"/>
      <c r="MG96" s="231"/>
      <c r="MH96" s="231"/>
      <c r="MI96" s="138"/>
      <c r="MJ96" s="140"/>
      <c r="MK96" s="140"/>
      <c r="ML96" s="140"/>
      <c r="MM96" s="139"/>
      <c r="MN96" s="139"/>
      <c r="MO96" s="231"/>
      <c r="MP96" s="231"/>
      <c r="MQ96" s="231"/>
      <c r="MR96" s="231"/>
      <c r="MS96" s="138"/>
      <c r="MT96" s="140"/>
      <c r="MU96" s="140"/>
      <c r="MV96" s="140"/>
      <c r="MW96" s="139"/>
      <c r="MX96" s="139"/>
      <c r="MY96" s="231"/>
      <c r="MZ96" s="246"/>
      <c r="NA96" s="246"/>
      <c r="NB96" s="246"/>
      <c r="NC96" s="138"/>
      <c r="ND96" s="140"/>
      <c r="NE96" s="140"/>
      <c r="NF96" s="140"/>
      <c r="NG96" s="139"/>
      <c r="NH96" s="139"/>
      <c r="NK96" s="250"/>
      <c r="NL96" s="250"/>
      <c r="NM96" s="138"/>
      <c r="NN96" s="140"/>
      <c r="NO96" s="140"/>
      <c r="NP96" s="140"/>
      <c r="NQ96" s="139"/>
      <c r="NR96" s="139"/>
      <c r="NS96" s="232"/>
      <c r="NU96" s="250"/>
      <c r="NV96" s="250"/>
      <c r="NW96" s="138"/>
      <c r="NX96" s="140"/>
      <c r="NY96" s="140"/>
      <c r="NZ96" s="140"/>
      <c r="OA96" s="139"/>
      <c r="OB96" s="139"/>
      <c r="OC96" s="232"/>
      <c r="OE96" s="250"/>
      <c r="OF96" s="250"/>
      <c r="OG96" s="138"/>
      <c r="OH96" s="140"/>
      <c r="OI96" s="140"/>
      <c r="OJ96" s="140"/>
      <c r="OK96" s="139"/>
      <c r="OL96" s="139"/>
      <c r="OM96" s="232"/>
      <c r="OQ96" s="138"/>
      <c r="OR96" s="140"/>
      <c r="OS96" s="140"/>
      <c r="OT96" s="140"/>
      <c r="OU96" s="139"/>
      <c r="OV96" s="139"/>
      <c r="OW96" s="232"/>
    </row>
    <row r="97" spans="3:413" x14ac:dyDescent="0.25">
      <c r="C97" t="s">
        <v>13</v>
      </c>
      <c r="D97" t="s">
        <v>92</v>
      </c>
      <c r="E97">
        <v>0.477771014492754</v>
      </c>
      <c r="K97" s="5" t="s">
        <v>13</v>
      </c>
      <c r="L97" s="5" t="s">
        <v>92</v>
      </c>
      <c r="M97" s="4" t="e">
        <f>M87/69</f>
        <v>#REF!</v>
      </c>
      <c r="N97" s="4"/>
      <c r="O97" s="4"/>
      <c r="R97" s="5"/>
      <c r="S97" s="5" t="s">
        <v>13</v>
      </c>
      <c r="T97" s="5" t="s">
        <v>92</v>
      </c>
      <c r="U97" s="4">
        <f>U87/69</f>
        <v>0.48830579710144911</v>
      </c>
      <c r="V97" s="4"/>
      <c r="W97" s="4"/>
      <c r="Z97" s="5"/>
      <c r="AA97" s="5" t="s">
        <v>13</v>
      </c>
      <c r="AB97" s="5" t="s">
        <v>92</v>
      </c>
      <c r="AC97" s="4">
        <f>AC87/69</f>
        <v>0.4916086956521738</v>
      </c>
      <c r="AD97" s="4"/>
      <c r="AE97" s="4"/>
      <c r="AF97" s="4"/>
      <c r="AG97" s="4"/>
      <c r="AH97" s="4"/>
      <c r="AI97" s="4"/>
      <c r="AL97" s="5"/>
      <c r="AM97" s="5" t="s">
        <v>13</v>
      </c>
      <c r="AN97" s="5" t="s">
        <v>92</v>
      </c>
      <c r="AO97" s="4">
        <f>AO87/71</f>
        <v>0.48567183098591543</v>
      </c>
      <c r="AP97" s="4"/>
      <c r="AQ97" s="4"/>
      <c r="AT97" s="39"/>
      <c r="AU97" s="42"/>
      <c r="AV97" s="52" t="s">
        <v>13</v>
      </c>
      <c r="AW97" s="52" t="s">
        <v>92</v>
      </c>
      <c r="AX97" s="50">
        <f>AX87/71</f>
        <v>0.49440422535211254</v>
      </c>
      <c r="AY97" s="41"/>
      <c r="AZ97" s="41"/>
      <c r="BD97" s="42"/>
      <c r="BE97" s="50" t="s">
        <v>13</v>
      </c>
      <c r="BF97" s="50" t="s">
        <v>92</v>
      </c>
      <c r="BG97" s="50">
        <f>BG87/71</f>
        <v>0.49811690140845083</v>
      </c>
      <c r="BH97" s="41"/>
      <c r="BI97" s="41"/>
      <c r="BJ97" s="41"/>
      <c r="BK97" s="41"/>
      <c r="BL97"/>
      <c r="BN97" s="42"/>
      <c r="BO97" s="50" t="s">
        <v>13</v>
      </c>
      <c r="BP97" s="50" t="s">
        <v>92</v>
      </c>
      <c r="BQ97" s="50">
        <f>BQ87/71</f>
        <v>0.49853098591549311</v>
      </c>
      <c r="BR97" s="41"/>
      <c r="BS97" s="41"/>
      <c r="BX97" s="42"/>
      <c r="BY97" s="50" t="s">
        <v>13</v>
      </c>
      <c r="BZ97" s="50" t="s">
        <v>92</v>
      </c>
      <c r="CA97" s="50">
        <f>CA87/71</f>
        <v>0.50010985915492956</v>
      </c>
      <c r="CB97" s="41"/>
      <c r="CC97" s="41"/>
      <c r="CH97" s="42"/>
      <c r="CI97" s="50" t="s">
        <v>13</v>
      </c>
      <c r="CJ97" s="50" t="s">
        <v>92</v>
      </c>
      <c r="CK97" s="50">
        <f>CK87/71</f>
        <v>0.50319577464788723</v>
      </c>
      <c r="CL97" s="41"/>
      <c r="CM97" s="41"/>
      <c r="CP97" s="137"/>
      <c r="CQ97" s="137"/>
      <c r="CR97" s="138"/>
      <c r="CS97" s="140" t="s">
        <v>13</v>
      </c>
      <c r="CT97" s="140" t="s">
        <v>92</v>
      </c>
      <c r="CU97" s="140">
        <f>CU87/71</f>
        <v>0.50584788732394359</v>
      </c>
      <c r="CV97" s="139"/>
      <c r="CW97" s="139"/>
      <c r="DB97" s="42"/>
      <c r="DC97" s="50" t="s">
        <v>13</v>
      </c>
      <c r="DD97" s="50" t="s">
        <v>92</v>
      </c>
      <c r="DE97" s="50">
        <f>DE87/71</f>
        <v>0.50917323943661985</v>
      </c>
      <c r="DF97" s="41"/>
      <c r="DG97" s="41"/>
      <c r="DL97" s="42"/>
      <c r="DM97" s="50" t="s">
        <v>13</v>
      </c>
      <c r="DN97" s="50" t="s">
        <v>92</v>
      </c>
      <c r="DO97" s="50">
        <f>DO87/71</f>
        <v>0.50950704225352106</v>
      </c>
      <c r="DP97" s="41"/>
      <c r="DQ97" s="41"/>
      <c r="DV97" s="42"/>
      <c r="DW97" s="50" t="s">
        <v>13</v>
      </c>
      <c r="DX97" s="50" t="s">
        <v>92</v>
      </c>
      <c r="DY97" s="50">
        <f>DY87/71</f>
        <v>0.51331830985915472</v>
      </c>
      <c r="DZ97" s="41"/>
      <c r="EA97" s="41"/>
      <c r="EF97" s="42"/>
      <c r="EG97" s="50" t="s">
        <v>13</v>
      </c>
      <c r="EH97" s="50" t="s">
        <v>92</v>
      </c>
      <c r="EI97" s="50">
        <f>EI87/71</f>
        <v>0.51569295774647883</v>
      </c>
      <c r="EJ97" s="41"/>
      <c r="EK97" s="41"/>
      <c r="EP97" s="138"/>
      <c r="EQ97" s="140" t="s">
        <v>13</v>
      </c>
      <c r="ER97" s="140" t="s">
        <v>92</v>
      </c>
      <c r="ES97" s="140">
        <f>ES87/71</f>
        <v>0.51939577464788755</v>
      </c>
      <c r="ET97" s="139"/>
      <c r="EU97" s="139"/>
      <c r="EZ97" s="138"/>
      <c r="FA97" s="140" t="s">
        <v>13</v>
      </c>
      <c r="FB97" s="140" t="s">
        <v>92</v>
      </c>
      <c r="FC97" s="140">
        <f>FC87/71</f>
        <v>0.52676760563380309</v>
      </c>
      <c r="FD97" s="139"/>
      <c r="FE97" s="139"/>
      <c r="FJ97" s="138"/>
      <c r="FK97" s="140" t="s">
        <v>13</v>
      </c>
      <c r="FL97" s="140" t="s">
        <v>92</v>
      </c>
      <c r="FM97" s="140">
        <f>FM87/71</f>
        <v>0.53023943661971851</v>
      </c>
      <c r="FN97" s="139"/>
      <c r="FO97" s="139"/>
      <c r="FT97" s="138"/>
      <c r="FU97" s="140" t="s">
        <v>13</v>
      </c>
      <c r="FV97" s="140" t="s">
        <v>92</v>
      </c>
      <c r="FW97" s="140">
        <f>FW87/71</f>
        <v>0.53487042253521144</v>
      </c>
      <c r="FX97" s="139"/>
      <c r="FY97" s="139"/>
      <c r="GD97" s="138"/>
      <c r="GE97" s="140" t="s">
        <v>13</v>
      </c>
      <c r="GF97" s="140" t="s">
        <v>92</v>
      </c>
      <c r="GG97" s="140">
        <f>GG87/71</f>
        <v>0.53583098591549294</v>
      </c>
      <c r="GH97" s="139"/>
      <c r="GI97" s="139"/>
      <c r="GN97" s="138"/>
      <c r="GO97" s="140" t="s">
        <v>13</v>
      </c>
      <c r="GP97" s="140" t="s">
        <v>92</v>
      </c>
      <c r="GQ97" s="140">
        <f>GQ87/71</f>
        <v>0.53818169014084505</v>
      </c>
      <c r="GR97" s="139"/>
      <c r="GS97" s="139"/>
      <c r="GX97" s="138"/>
      <c r="GY97" s="140" t="s">
        <v>13</v>
      </c>
      <c r="GZ97" s="140" t="s">
        <v>92</v>
      </c>
      <c r="HA97" s="140">
        <f>HA87/71</f>
        <v>0.54317746478873241</v>
      </c>
      <c r="HB97" s="139"/>
      <c r="HC97" s="139"/>
      <c r="HG97" s="159"/>
      <c r="HH97" s="159"/>
      <c r="HI97" s="138"/>
      <c r="HJ97" s="140"/>
      <c r="HK97" s="140"/>
      <c r="HL97" s="140"/>
      <c r="HM97" s="139"/>
      <c r="HN97" s="139"/>
      <c r="HQ97" s="183"/>
      <c r="HR97" s="183"/>
      <c r="HS97" s="138"/>
      <c r="HT97" s="140"/>
      <c r="HU97" s="140"/>
      <c r="HV97" s="140"/>
      <c r="HW97" s="139"/>
      <c r="HX97" s="139"/>
      <c r="HY97" s="183"/>
      <c r="IA97" s="194"/>
      <c r="IB97" s="194"/>
      <c r="IC97" s="138"/>
      <c r="ID97" s="140"/>
      <c r="IE97" s="140"/>
      <c r="IF97" s="140"/>
      <c r="IG97" s="139"/>
      <c r="IH97" s="139"/>
      <c r="II97" s="194"/>
      <c r="IM97" s="138"/>
      <c r="IN97" s="140"/>
      <c r="IO97" s="140"/>
      <c r="IP97" s="140"/>
      <c r="IQ97" s="139"/>
      <c r="IR97" s="139"/>
      <c r="IU97" s="202"/>
      <c r="IV97" s="202"/>
      <c r="IW97" s="138"/>
      <c r="IX97" s="140"/>
      <c r="IY97" s="140"/>
      <c r="IZ97" s="140"/>
      <c r="JA97" s="139"/>
      <c r="JB97" s="139"/>
      <c r="JC97" s="202"/>
      <c r="JE97" s="204"/>
      <c r="JF97" s="204"/>
      <c r="JG97" s="138"/>
      <c r="JH97" s="140"/>
      <c r="JI97" s="140"/>
      <c r="JJ97" s="140"/>
      <c r="JK97" s="139"/>
      <c r="JL97" s="139"/>
      <c r="JM97" s="204"/>
      <c r="JN97" s="204"/>
      <c r="JQ97" s="138"/>
      <c r="JR97" s="140"/>
      <c r="JS97" s="140"/>
      <c r="JT97" s="140"/>
      <c r="JU97" s="139"/>
      <c r="JV97" s="139"/>
      <c r="JX97" s="213"/>
      <c r="JY97" s="213"/>
      <c r="JZ97" s="213"/>
      <c r="KA97" s="138"/>
      <c r="KB97" s="140"/>
      <c r="KC97" s="140"/>
      <c r="KD97" s="140"/>
      <c r="KE97" s="139"/>
      <c r="KF97" s="139"/>
      <c r="KG97" s="213"/>
      <c r="KI97" s="219"/>
      <c r="KJ97" s="219"/>
      <c r="KK97" s="138"/>
      <c r="KL97" s="140"/>
      <c r="KM97" s="140"/>
      <c r="KN97" s="140"/>
      <c r="KO97" s="139"/>
      <c r="KP97" s="139"/>
      <c r="KQ97" s="219"/>
      <c r="KU97" s="138"/>
      <c r="KV97" s="140"/>
      <c r="KW97" s="140"/>
      <c r="KX97" s="140"/>
      <c r="KY97" s="139"/>
      <c r="KZ97" s="139"/>
      <c r="LE97" s="138"/>
      <c r="LF97" s="140"/>
      <c r="LG97" s="140"/>
      <c r="LH97" s="140"/>
      <c r="LI97" s="139"/>
      <c r="LJ97" s="139"/>
      <c r="LL97" s="231"/>
      <c r="LM97" s="231"/>
      <c r="LN97" s="231"/>
      <c r="LO97" s="138"/>
      <c r="LP97" s="140"/>
      <c r="LQ97" s="140"/>
      <c r="LR97" s="140"/>
      <c r="LS97" s="139"/>
      <c r="LT97" s="139"/>
      <c r="LU97" s="231"/>
      <c r="LW97" s="231"/>
      <c r="LX97" s="231"/>
      <c r="LY97" s="138"/>
      <c r="LZ97" s="140"/>
      <c r="MA97" s="140"/>
      <c r="MB97" s="140"/>
      <c r="MC97" s="139"/>
      <c r="MD97" s="139"/>
      <c r="ME97" s="231"/>
      <c r="MF97" s="231"/>
      <c r="MG97" s="231"/>
      <c r="MH97" s="231"/>
      <c r="MI97" s="138"/>
      <c r="MJ97" s="140"/>
      <c r="MK97" s="140"/>
      <c r="ML97" s="140"/>
      <c r="MM97" s="139"/>
      <c r="MN97" s="139"/>
      <c r="MO97" s="231"/>
      <c r="MP97" s="231"/>
      <c r="MQ97" s="231"/>
      <c r="MR97" s="231"/>
      <c r="MS97" s="138"/>
      <c r="MT97" s="140"/>
      <c r="MU97" s="140"/>
      <c r="MV97" s="140"/>
      <c r="MW97" s="139"/>
      <c r="MX97" s="139"/>
      <c r="MY97" s="231"/>
      <c r="MZ97" s="246"/>
      <c r="NA97" s="246"/>
      <c r="NB97" s="246"/>
      <c r="NC97" s="138"/>
      <c r="ND97" s="140"/>
      <c r="NE97" s="140"/>
      <c r="NF97" s="140"/>
      <c r="NG97" s="139"/>
      <c r="NH97" s="139"/>
      <c r="NK97" s="250"/>
      <c r="NL97" s="250"/>
      <c r="NM97" s="138"/>
      <c r="NN97" s="140"/>
      <c r="NO97" s="140"/>
      <c r="NP97" s="140"/>
      <c r="NQ97" s="139"/>
      <c r="NR97" s="139"/>
      <c r="NS97" s="232"/>
      <c r="NU97" s="250"/>
      <c r="NV97" s="250"/>
      <c r="NW97" s="138"/>
      <c r="NX97" s="140"/>
      <c r="NY97" s="140"/>
      <c r="NZ97" s="140"/>
      <c r="OA97" s="139"/>
      <c r="OB97" s="139"/>
      <c r="OC97" s="232"/>
      <c r="OE97" s="250"/>
      <c r="OF97" s="250"/>
      <c r="OG97" s="138"/>
      <c r="OH97" s="140"/>
      <c r="OI97" s="140"/>
      <c r="OJ97" s="140"/>
      <c r="OK97" s="139"/>
      <c r="OL97" s="139"/>
      <c r="OM97" s="232"/>
      <c r="OQ97" s="138"/>
      <c r="OR97" s="140"/>
      <c r="OS97" s="140"/>
      <c r="OT97" s="140"/>
      <c r="OU97" s="139"/>
      <c r="OV97" s="139"/>
      <c r="OW97" s="232"/>
    </row>
    <row r="98" spans="3:413" x14ac:dyDescent="0.25">
      <c r="BN98" s="18"/>
      <c r="BO98" s="18"/>
      <c r="BP98" s="18"/>
      <c r="BQ98" s="18"/>
      <c r="EP98" s="137"/>
      <c r="EQ98" s="137"/>
      <c r="ER98" s="137"/>
      <c r="ES98" s="137"/>
      <c r="ET98" s="142"/>
      <c r="EU98" s="143"/>
      <c r="EZ98" s="137"/>
      <c r="FA98" s="137"/>
      <c r="FB98" s="137"/>
      <c r="FC98" s="137"/>
      <c r="FD98" s="142"/>
      <c r="FE98" s="143"/>
      <c r="FJ98" s="137"/>
      <c r="FK98" s="137"/>
      <c r="FL98" s="137"/>
      <c r="FM98" s="137"/>
      <c r="FN98" s="142"/>
      <c r="FO98" s="143"/>
      <c r="FT98" s="137"/>
      <c r="FU98" s="137"/>
      <c r="FV98" s="137"/>
      <c r="FW98" s="137"/>
      <c r="FX98" s="142"/>
      <c r="FY98" s="143"/>
      <c r="GD98" s="137"/>
      <c r="GE98" s="137"/>
      <c r="GF98" s="137"/>
      <c r="GG98" s="137"/>
      <c r="GH98" s="142"/>
      <c r="GI98" s="143"/>
      <c r="GN98" s="137"/>
      <c r="GO98" s="137"/>
      <c r="GP98" s="137"/>
      <c r="GQ98" s="137"/>
      <c r="GR98" s="142"/>
      <c r="GS98" s="143"/>
      <c r="GX98" s="137"/>
      <c r="GY98" s="137"/>
      <c r="GZ98" s="137"/>
      <c r="HA98" s="137"/>
      <c r="HB98" s="142"/>
      <c r="HC98" s="143"/>
      <c r="HG98" s="159"/>
      <c r="HH98" s="159"/>
      <c r="HI98" s="137"/>
      <c r="HJ98" s="137"/>
      <c r="HK98" s="137"/>
      <c r="HL98" s="137"/>
      <c r="HM98" s="142"/>
      <c r="HN98" s="143"/>
      <c r="HQ98" s="183"/>
      <c r="HR98" s="183"/>
      <c r="HS98" s="137"/>
      <c r="HT98" s="137"/>
      <c r="HU98" s="137"/>
      <c r="HV98" s="137"/>
      <c r="HW98" s="142"/>
      <c r="HX98" s="143"/>
      <c r="HY98" s="183"/>
      <c r="IA98" s="194"/>
      <c r="IB98" s="194"/>
      <c r="IC98" s="137"/>
      <c r="ID98" s="137"/>
      <c r="IE98" s="137"/>
      <c r="IF98" s="137"/>
      <c r="IG98" s="142"/>
      <c r="IH98" s="143"/>
      <c r="II98" s="194"/>
      <c r="IM98" s="137"/>
      <c r="IN98" s="137"/>
      <c r="IO98" s="137"/>
      <c r="IP98" s="137"/>
      <c r="IQ98" s="142"/>
      <c r="IR98" s="143"/>
      <c r="IU98" s="202"/>
      <c r="IV98" s="202"/>
      <c r="IW98" s="137"/>
      <c r="IX98" s="137"/>
      <c r="IY98" s="137"/>
      <c r="IZ98" s="137"/>
      <c r="JA98" s="142"/>
      <c r="JB98" s="143"/>
      <c r="JC98" s="202"/>
      <c r="JE98" s="204"/>
      <c r="JF98" s="204"/>
      <c r="JG98" s="137"/>
      <c r="JH98" s="137"/>
      <c r="JI98" s="137"/>
      <c r="JJ98" s="137"/>
      <c r="JK98" s="142"/>
      <c r="JL98" s="143"/>
      <c r="JM98" s="204"/>
      <c r="JN98" s="204"/>
      <c r="JQ98" s="137"/>
      <c r="JR98" s="137"/>
      <c r="JS98" s="137"/>
      <c r="JT98" s="137"/>
      <c r="JU98" s="142"/>
      <c r="JV98" s="143"/>
      <c r="JX98" s="213"/>
      <c r="JY98" s="213"/>
      <c r="JZ98" s="213"/>
      <c r="KA98" s="137"/>
      <c r="KB98" s="137"/>
      <c r="KC98" s="137"/>
      <c r="KD98" s="137"/>
      <c r="KE98" s="142"/>
      <c r="KF98" s="143"/>
      <c r="KG98" s="213"/>
      <c r="KI98" s="219"/>
      <c r="KJ98" s="219"/>
      <c r="KK98" s="137"/>
      <c r="KL98" s="137"/>
      <c r="KM98" s="137"/>
      <c r="KN98" s="137"/>
      <c r="KO98" s="142"/>
      <c r="KP98" s="143"/>
      <c r="KQ98" s="219"/>
      <c r="KU98" s="137"/>
      <c r="KV98" s="137"/>
      <c r="KW98" s="137"/>
      <c r="KX98" s="137"/>
      <c r="KY98" s="142"/>
      <c r="KZ98" s="143"/>
      <c r="LE98" s="137"/>
      <c r="LF98" s="137"/>
      <c r="LG98" s="137"/>
      <c r="LH98" s="137"/>
      <c r="LI98" s="142"/>
      <c r="LJ98" s="143"/>
      <c r="LL98" s="231"/>
      <c r="LM98" s="231"/>
      <c r="LN98" s="231"/>
      <c r="LO98" s="137"/>
      <c r="LP98" s="137"/>
      <c r="LQ98" s="137"/>
      <c r="LR98" s="137"/>
      <c r="LS98" s="142"/>
      <c r="LT98" s="143"/>
      <c r="LU98" s="231"/>
      <c r="LW98" s="231"/>
      <c r="LX98" s="231"/>
      <c r="LY98" s="137"/>
      <c r="LZ98" s="137"/>
      <c r="MA98" s="137"/>
      <c r="MB98" s="137"/>
      <c r="MC98" s="142"/>
      <c r="MD98" s="143"/>
      <c r="ME98" s="231"/>
      <c r="MF98" s="231"/>
      <c r="MG98" s="231"/>
      <c r="MH98" s="231"/>
      <c r="MI98" s="137"/>
      <c r="MJ98" s="137"/>
      <c r="MK98" s="137"/>
      <c r="ML98" s="137"/>
      <c r="MM98" s="142"/>
      <c r="MN98" s="143"/>
      <c r="MO98" s="231"/>
      <c r="MP98" s="231"/>
      <c r="MQ98" s="231"/>
      <c r="MR98" s="231"/>
      <c r="MS98" s="137"/>
      <c r="MT98" s="137"/>
      <c r="MU98" s="137"/>
      <c r="MV98" s="137"/>
      <c r="MW98" s="142"/>
      <c r="MX98" s="143"/>
      <c r="MY98" s="231"/>
      <c r="MZ98" s="246"/>
      <c r="NA98" s="246"/>
      <c r="NB98" s="246"/>
      <c r="NC98" s="137"/>
      <c r="ND98" s="137"/>
      <c r="NE98" s="137"/>
      <c r="NF98" s="137"/>
      <c r="NG98" s="142"/>
      <c r="NH98" s="143"/>
      <c r="NK98" s="250"/>
      <c r="NL98" s="250"/>
      <c r="NM98" s="137"/>
      <c r="NN98" s="137"/>
      <c r="NO98" s="137"/>
      <c r="NP98" s="137"/>
      <c r="NQ98" s="142"/>
      <c r="NR98" s="143"/>
      <c r="NS98" s="232"/>
      <c r="NU98" s="250"/>
      <c r="NV98" s="250"/>
      <c r="NW98" s="137"/>
      <c r="NX98" s="137"/>
      <c r="NY98" s="137"/>
      <c r="NZ98" s="137"/>
      <c r="OA98" s="142"/>
      <c r="OB98" s="143"/>
      <c r="OC98" s="232"/>
      <c r="OE98" s="250"/>
      <c r="OF98" s="250"/>
      <c r="OG98" s="137"/>
      <c r="OH98" s="137"/>
      <c r="OI98" s="137"/>
      <c r="OJ98" s="137"/>
      <c r="OK98" s="142"/>
      <c r="OL98" s="143"/>
      <c r="OM98" s="232"/>
      <c r="OQ98" s="137"/>
      <c r="OR98" s="137"/>
      <c r="OS98" s="137"/>
      <c r="OT98" s="137"/>
      <c r="OU98" s="142"/>
      <c r="OV98" s="143"/>
      <c r="OW98" s="232"/>
    </row>
    <row r="99" spans="3:413" x14ac:dyDescent="0.25">
      <c r="BN99" s="18"/>
      <c r="BO99" s="18"/>
      <c r="BP99" s="18"/>
      <c r="BQ99" s="18"/>
      <c r="IA99" s="194"/>
      <c r="IB99" s="194"/>
      <c r="IC99" s="194"/>
      <c r="ID99" s="194"/>
      <c r="IE99" s="194"/>
      <c r="IF99" s="194"/>
      <c r="IG99" s="194"/>
      <c r="IH99" s="194"/>
      <c r="II99" s="194"/>
      <c r="JX99" s="213"/>
      <c r="JY99" s="213"/>
      <c r="JZ99" s="213"/>
      <c r="KA99" s="213"/>
      <c r="KB99" s="213"/>
      <c r="KC99" s="213"/>
      <c r="KD99" s="213"/>
      <c r="KE99" s="213"/>
      <c r="KF99" s="213"/>
      <c r="KG99" s="213"/>
    </row>
    <row r="100" spans="3:413" x14ac:dyDescent="0.25">
      <c r="BN100" s="18"/>
      <c r="BO100" s="18"/>
      <c r="BP100" s="18"/>
      <c r="BQ100" s="18"/>
      <c r="IA100" s="194"/>
      <c r="IB100" s="194"/>
      <c r="IC100" s="194"/>
      <c r="ID100" s="194"/>
      <c r="IE100" s="194"/>
      <c r="IF100" s="194"/>
      <c r="IG100" s="194"/>
      <c r="IH100" s="194"/>
      <c r="II100" s="194"/>
      <c r="JX100" s="213"/>
      <c r="JY100" s="213"/>
      <c r="JZ100" s="213"/>
      <c r="KA100" s="213"/>
      <c r="KB100" s="213"/>
      <c r="KC100" s="213"/>
      <c r="KD100" s="213"/>
      <c r="KE100" s="213"/>
      <c r="KF100" s="213"/>
      <c r="KG100" s="213"/>
    </row>
    <row r="101" spans="3:413" x14ac:dyDescent="0.25">
      <c r="IA101" s="194"/>
      <c r="IB101" s="194"/>
      <c r="IC101" s="194"/>
      <c r="ID101" s="194"/>
      <c r="IE101" s="194"/>
      <c r="IF101" s="194"/>
      <c r="IG101" s="194"/>
      <c r="IH101" s="194"/>
      <c r="II101" s="194"/>
      <c r="JX101" s="213"/>
      <c r="JY101" s="213"/>
      <c r="JZ101" s="213"/>
      <c r="KA101" s="213"/>
      <c r="KB101" s="213"/>
      <c r="KC101" s="213"/>
      <c r="KD101" s="213"/>
      <c r="KE101" s="213"/>
      <c r="KF101" s="213"/>
      <c r="KG101" s="213"/>
    </row>
    <row r="102" spans="3:413" x14ac:dyDescent="0.25">
      <c r="IA102" s="194"/>
      <c r="IB102" s="194"/>
      <c r="IC102" s="194"/>
      <c r="ID102" s="194"/>
      <c r="IE102" s="194"/>
      <c r="IF102" s="194"/>
      <c r="IG102" s="194"/>
      <c r="IH102" s="194"/>
      <c r="II102" s="194"/>
    </row>
  </sheetData>
  <mergeCells count="269">
    <mergeCell ref="OQ6:OV6"/>
    <mergeCell ref="OQ7:OQ8"/>
    <mergeCell ref="OR7:OR8"/>
    <mergeCell ref="OS7:OT7"/>
    <mergeCell ref="OU7:OU8"/>
    <mergeCell ref="OV7:OV8"/>
    <mergeCell ref="OQ92:OS92"/>
    <mergeCell ref="OQ93:OS93"/>
    <mergeCell ref="OQ94:OS94"/>
    <mergeCell ref="NW6:OB6"/>
    <mergeCell ref="NW7:NW8"/>
    <mergeCell ref="NX7:NX8"/>
    <mergeCell ref="NY7:NZ7"/>
    <mergeCell ref="OA7:OA8"/>
    <mergeCell ref="OB7:OB8"/>
    <mergeCell ref="NW92:NY92"/>
    <mergeCell ref="NW93:NY93"/>
    <mergeCell ref="NW94:NY94"/>
    <mergeCell ref="NC6:NH6"/>
    <mergeCell ref="NC7:NC8"/>
    <mergeCell ref="ND7:ND8"/>
    <mergeCell ref="NE7:NF7"/>
    <mergeCell ref="NG7:NG8"/>
    <mergeCell ref="NH7:NH8"/>
    <mergeCell ref="NC92:NE92"/>
    <mergeCell ref="NC93:NE93"/>
    <mergeCell ref="NC94:NE94"/>
    <mergeCell ref="MI6:MN6"/>
    <mergeCell ref="MI7:MI8"/>
    <mergeCell ref="MJ7:MJ8"/>
    <mergeCell ref="MK7:ML7"/>
    <mergeCell ref="MM7:MM8"/>
    <mergeCell ref="MN7:MN8"/>
    <mergeCell ref="MI92:MK92"/>
    <mergeCell ref="MI93:MK93"/>
    <mergeCell ref="MI94:MK94"/>
    <mergeCell ref="LE6:LJ6"/>
    <mergeCell ref="LE7:LE8"/>
    <mergeCell ref="LF7:LF8"/>
    <mergeCell ref="LG7:LH7"/>
    <mergeCell ref="LI7:LI8"/>
    <mergeCell ref="LJ7:LJ8"/>
    <mergeCell ref="LE92:LG92"/>
    <mergeCell ref="LE93:LG93"/>
    <mergeCell ref="LE94:LG94"/>
    <mergeCell ref="KK6:KP6"/>
    <mergeCell ref="KK7:KK8"/>
    <mergeCell ref="KL7:KL8"/>
    <mergeCell ref="KM7:KN7"/>
    <mergeCell ref="KO7:KO8"/>
    <mergeCell ref="KP7:KP8"/>
    <mergeCell ref="KK92:KM92"/>
    <mergeCell ref="KK93:KM93"/>
    <mergeCell ref="KK94:KM94"/>
    <mergeCell ref="JQ6:JV6"/>
    <mergeCell ref="JQ7:JQ8"/>
    <mergeCell ref="JR7:JR8"/>
    <mergeCell ref="JS7:JT7"/>
    <mergeCell ref="JU7:JU8"/>
    <mergeCell ref="JV7:JV8"/>
    <mergeCell ref="JQ92:JS92"/>
    <mergeCell ref="JQ93:JS93"/>
    <mergeCell ref="JQ94:JS94"/>
    <mergeCell ref="JG6:JL6"/>
    <mergeCell ref="JG7:JG8"/>
    <mergeCell ref="JH7:JH8"/>
    <mergeCell ref="JI7:JJ7"/>
    <mergeCell ref="JK7:JK8"/>
    <mergeCell ref="JL7:JL8"/>
    <mergeCell ref="JG92:JI92"/>
    <mergeCell ref="JG93:JI93"/>
    <mergeCell ref="JG94:JI94"/>
    <mergeCell ref="IM6:IR6"/>
    <mergeCell ref="IM7:IM8"/>
    <mergeCell ref="IN7:IN8"/>
    <mergeCell ref="IO7:IP7"/>
    <mergeCell ref="IQ7:IQ8"/>
    <mergeCell ref="IR7:IR8"/>
    <mergeCell ref="IM92:IO92"/>
    <mergeCell ref="IM93:IO93"/>
    <mergeCell ref="IM94:IO94"/>
    <mergeCell ref="IC6:IH6"/>
    <mergeCell ref="IC7:IC8"/>
    <mergeCell ref="ID7:ID8"/>
    <mergeCell ref="IE7:IF7"/>
    <mergeCell ref="IG7:IG8"/>
    <mergeCell ref="IH7:IH8"/>
    <mergeCell ref="IC92:IE92"/>
    <mergeCell ref="IC93:IE93"/>
    <mergeCell ref="IC94:IE94"/>
    <mergeCell ref="HS92:HU92"/>
    <mergeCell ref="HS93:HU93"/>
    <mergeCell ref="HS94:HU94"/>
    <mergeCell ref="HS6:HX6"/>
    <mergeCell ref="HS7:HS8"/>
    <mergeCell ref="HT7:HT8"/>
    <mergeCell ref="HU7:HV7"/>
    <mergeCell ref="HW7:HW8"/>
    <mergeCell ref="HX7:HX8"/>
    <mergeCell ref="HI93:HK93"/>
    <mergeCell ref="HI94:HK94"/>
    <mergeCell ref="HI92:HK92"/>
    <mergeCell ref="HI6:HN6"/>
    <mergeCell ref="HI7:HI8"/>
    <mergeCell ref="HJ7:HJ8"/>
    <mergeCell ref="HK7:HL7"/>
    <mergeCell ref="HM7:HM8"/>
    <mergeCell ref="HN7:HN8"/>
    <mergeCell ref="FO7:FO8"/>
    <mergeCell ref="GN6:GS6"/>
    <mergeCell ref="GN7:GN8"/>
    <mergeCell ref="GO7:GO8"/>
    <mergeCell ref="GP7:GQ7"/>
    <mergeCell ref="GR7:GR8"/>
    <mergeCell ref="GS7:GS8"/>
    <mergeCell ref="GD6:GI6"/>
    <mergeCell ref="GD7:GD8"/>
    <mergeCell ref="GE7:GE8"/>
    <mergeCell ref="GF7:GG7"/>
    <mergeCell ref="GH7:GH8"/>
    <mergeCell ref="GI7:GI8"/>
    <mergeCell ref="DL6:DQ6"/>
    <mergeCell ref="DL7:DL8"/>
    <mergeCell ref="DM7:DM8"/>
    <mergeCell ref="DN7:DO7"/>
    <mergeCell ref="BX6:CC6"/>
    <mergeCell ref="BY7:BY8"/>
    <mergeCell ref="BZ7:CA7"/>
    <mergeCell ref="FT6:FY6"/>
    <mergeCell ref="FT7:FT8"/>
    <mergeCell ref="FU7:FU8"/>
    <mergeCell ref="FV7:FW7"/>
    <mergeCell ref="FX7:FX8"/>
    <mergeCell ref="FY7:FY8"/>
    <mergeCell ref="EZ6:FE6"/>
    <mergeCell ref="EZ7:EZ8"/>
    <mergeCell ref="FA7:FA8"/>
    <mergeCell ref="FB7:FC7"/>
    <mergeCell ref="FD7:FD8"/>
    <mergeCell ref="FE7:FE8"/>
    <mergeCell ref="FJ6:FO6"/>
    <mergeCell ref="FJ7:FJ8"/>
    <mergeCell ref="FK7:FK8"/>
    <mergeCell ref="FL7:FM7"/>
    <mergeCell ref="FN7:FN8"/>
    <mergeCell ref="EP6:EU6"/>
    <mergeCell ref="EP7:EP8"/>
    <mergeCell ref="EQ7:EQ8"/>
    <mergeCell ref="ER7:ES7"/>
    <mergeCell ref="ET7:ET8"/>
    <mergeCell ref="EU7:EU8"/>
    <mergeCell ref="DV6:EA6"/>
    <mergeCell ref="DV7:DV8"/>
    <mergeCell ref="DW7:DW8"/>
    <mergeCell ref="DX7:DY7"/>
    <mergeCell ref="EF6:EK6"/>
    <mergeCell ref="EF7:EF8"/>
    <mergeCell ref="EG7:EG8"/>
    <mergeCell ref="EH7:EI7"/>
    <mergeCell ref="CI7:CI8"/>
    <mergeCell ref="CJ7:CK7"/>
    <mergeCell ref="J6:O6"/>
    <mergeCell ref="K7:K8"/>
    <mergeCell ref="L7:M7"/>
    <mergeCell ref="Z6:AE6"/>
    <mergeCell ref="AA7:AA8"/>
    <mergeCell ref="AB7:AC7"/>
    <mergeCell ref="R6:W6"/>
    <mergeCell ref="S7:S8"/>
    <mergeCell ref="T7:U7"/>
    <mergeCell ref="BN6:BS6"/>
    <mergeCell ref="BO7:BO8"/>
    <mergeCell ref="BP7:BQ7"/>
    <mergeCell ref="GX6:HC6"/>
    <mergeCell ref="GX7:GX8"/>
    <mergeCell ref="GY7:GY8"/>
    <mergeCell ref="GZ7:HA7"/>
    <mergeCell ref="HB7:HB8"/>
    <mergeCell ref="HC7:HC8"/>
    <mergeCell ref="AN7:AO7"/>
    <mergeCell ref="AL6:AQ6"/>
    <mergeCell ref="AM7:AM8"/>
    <mergeCell ref="BD6:BI6"/>
    <mergeCell ref="DB6:DG6"/>
    <mergeCell ref="DB7:DB8"/>
    <mergeCell ref="DC7:DC8"/>
    <mergeCell ref="DD7:DE7"/>
    <mergeCell ref="CR6:CW6"/>
    <mergeCell ref="CS7:CS8"/>
    <mergeCell ref="CT7:CU7"/>
    <mergeCell ref="CR7:CR8"/>
    <mergeCell ref="AU6:AZ6"/>
    <mergeCell ref="AV7:AV8"/>
    <mergeCell ref="AW7:AX7"/>
    <mergeCell ref="CH6:CM6"/>
    <mergeCell ref="BE7:BE8"/>
    <mergeCell ref="BF7:BG7"/>
    <mergeCell ref="IW6:JB6"/>
    <mergeCell ref="IW7:IW8"/>
    <mergeCell ref="IX7:IX8"/>
    <mergeCell ref="IY7:IZ7"/>
    <mergeCell ref="JA7:JA8"/>
    <mergeCell ref="JB7:JB8"/>
    <mergeCell ref="IW92:IY92"/>
    <mergeCell ref="IW93:IY93"/>
    <mergeCell ref="IW94:IY94"/>
    <mergeCell ref="KA6:KF6"/>
    <mergeCell ref="KA7:KA8"/>
    <mergeCell ref="KB7:KB8"/>
    <mergeCell ref="KC7:KD7"/>
    <mergeCell ref="KE7:KE8"/>
    <mergeCell ref="KF7:KF8"/>
    <mergeCell ref="KA92:KC92"/>
    <mergeCell ref="KA93:KC93"/>
    <mergeCell ref="KA94:KC94"/>
    <mergeCell ref="KU6:KZ6"/>
    <mergeCell ref="KU7:KU8"/>
    <mergeCell ref="KV7:KV8"/>
    <mergeCell ref="KW7:KX7"/>
    <mergeCell ref="KY7:KY8"/>
    <mergeCell ref="KZ7:KZ8"/>
    <mergeCell ref="KU92:KW92"/>
    <mergeCell ref="KU93:KW93"/>
    <mergeCell ref="KU94:KW94"/>
    <mergeCell ref="LO6:LT6"/>
    <mergeCell ref="LO7:LO8"/>
    <mergeCell ref="LP7:LP8"/>
    <mergeCell ref="LQ7:LR7"/>
    <mergeCell ref="LS7:LS8"/>
    <mergeCell ref="LT7:LT8"/>
    <mergeCell ref="LO92:LQ92"/>
    <mergeCell ref="LO93:LQ93"/>
    <mergeCell ref="LO94:LQ94"/>
    <mergeCell ref="LY6:MD6"/>
    <mergeCell ref="LY7:LY8"/>
    <mergeCell ref="LZ7:LZ8"/>
    <mergeCell ref="MA7:MB7"/>
    <mergeCell ref="MC7:MC8"/>
    <mergeCell ref="MD7:MD8"/>
    <mergeCell ref="LY92:MA92"/>
    <mergeCell ref="LY93:MA93"/>
    <mergeCell ref="LY94:MA94"/>
    <mergeCell ref="MS6:MX6"/>
    <mergeCell ref="MS7:MS8"/>
    <mergeCell ref="MT7:MT8"/>
    <mergeCell ref="MU7:MV7"/>
    <mergeCell ref="MW7:MW8"/>
    <mergeCell ref="MX7:MX8"/>
    <mergeCell ref="MS92:MU92"/>
    <mergeCell ref="MS93:MU93"/>
    <mergeCell ref="MS94:MU94"/>
    <mergeCell ref="NM6:NR6"/>
    <mergeCell ref="NM7:NM8"/>
    <mergeCell ref="NN7:NN8"/>
    <mergeCell ref="NO7:NP7"/>
    <mergeCell ref="NQ7:NQ8"/>
    <mergeCell ref="NR7:NR8"/>
    <mergeCell ref="NM92:NO92"/>
    <mergeCell ref="NM93:NO93"/>
    <mergeCell ref="NM94:NO94"/>
    <mergeCell ref="OG6:OL6"/>
    <mergeCell ref="OG7:OG8"/>
    <mergeCell ref="OH7:OH8"/>
    <mergeCell ref="OI7:OJ7"/>
    <mergeCell ref="OK7:OK8"/>
    <mergeCell ref="OL7:OL8"/>
    <mergeCell ref="OG92:OI92"/>
    <mergeCell ref="OG93:OI93"/>
    <mergeCell ref="OG94:OI94"/>
  </mergeCells>
  <printOptions horizontalCentered="1"/>
  <pageMargins left="0.25" right="0" top="0.25" bottom="0.25" header="0.25" footer="0.25"/>
  <pageSetup paperSize="9" orientation="portrait" horizontalDpi="4294967293" r:id="rId1"/>
  <colBreaks count="2" manualBreakCount="2">
    <brk id="201" max="87" man="1"/>
    <brk id="203" max="87" man="1"/>
  </colBreaks>
  <ignoredErrors>
    <ignoredError sqref="DW50:DY5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abSelected="1" zoomScale="85" zoomScaleNormal="85" workbookViewId="0">
      <selection activeCell="L11" sqref="L11"/>
    </sheetView>
  </sheetViews>
  <sheetFormatPr defaultRowHeight="15" x14ac:dyDescent="0.25"/>
  <cols>
    <col min="1" max="1" width="5.42578125" customWidth="1"/>
    <col min="2" max="2" width="11.42578125" customWidth="1"/>
    <col min="3" max="3" width="15.28515625" customWidth="1"/>
    <col min="4" max="4" width="11.5703125" style="3" customWidth="1"/>
    <col min="5" max="5" width="12.7109375" style="3" customWidth="1"/>
    <col min="6" max="6" width="15.5703125" customWidth="1"/>
    <col min="7" max="7" width="19.42578125" bestFit="1" customWidth="1"/>
    <col min="10" max="10" width="13.42578125" customWidth="1"/>
    <col min="12" max="12" width="17.28515625" bestFit="1" customWidth="1"/>
    <col min="14" max="14" width="9.7109375" bestFit="1" customWidth="1"/>
    <col min="15" max="15" width="10.28515625" bestFit="1" customWidth="1"/>
    <col min="16" max="16" width="12.85546875" bestFit="1" customWidth="1"/>
  </cols>
  <sheetData>
    <row r="1" spans="1:15" x14ac:dyDescent="0.25">
      <c r="A1" s="278" t="s">
        <v>14</v>
      </c>
      <c r="B1" s="179" t="s">
        <v>15</v>
      </c>
      <c r="C1" s="278" t="s">
        <v>17</v>
      </c>
      <c r="D1" s="278" t="s">
        <v>18</v>
      </c>
      <c r="E1" s="278"/>
      <c r="F1" s="179" t="s">
        <v>19</v>
      </c>
      <c r="G1" s="278" t="s">
        <v>21</v>
      </c>
    </row>
    <row r="2" spans="1:15" x14ac:dyDescent="0.25">
      <c r="A2" s="278"/>
      <c r="B2" s="179" t="s">
        <v>16</v>
      </c>
      <c r="C2" s="278"/>
      <c r="D2" s="7" t="s">
        <v>5</v>
      </c>
      <c r="E2" s="7" t="s">
        <v>22</v>
      </c>
      <c r="F2" s="179" t="s">
        <v>20</v>
      </c>
      <c r="G2" s="278"/>
    </row>
    <row r="3" spans="1:15" x14ac:dyDescent="0.25">
      <c r="A3" s="179">
        <v>1</v>
      </c>
      <c r="B3" s="179">
        <v>9883</v>
      </c>
      <c r="C3" s="179" t="s">
        <v>23</v>
      </c>
      <c r="D3" s="191">
        <f>VLOOKUP(B3,Sheet1!OQ11:OV81,5,0)</f>
        <v>0.7906875000000001</v>
      </c>
      <c r="E3" s="192">
        <f>VLOOKUP(B3,Sheet1!OQ11:OV81,3,0)</f>
        <v>2.5428999999999999</v>
      </c>
      <c r="F3" s="192">
        <f>VLOOKUP(B3,Sheet1!OQ11:OV81,6,0)</f>
        <v>36.491100000000003</v>
      </c>
      <c r="G3" s="290"/>
      <c r="H3" s="292"/>
      <c r="J3" s="196"/>
      <c r="K3" s="18"/>
      <c r="L3" s="18"/>
      <c r="M3" s="18"/>
      <c r="N3" s="18"/>
      <c r="O3" s="18"/>
    </row>
    <row r="4" spans="1:15" x14ac:dyDescent="0.25">
      <c r="A4" s="179">
        <v>2</v>
      </c>
      <c r="B4" s="179">
        <v>9987</v>
      </c>
      <c r="C4" s="179" t="s">
        <v>24</v>
      </c>
      <c r="D4" s="191">
        <f>VLOOKUP(B4,Sheet1!OQ12:OV82,5,0)</f>
        <v>0.58244583333333333</v>
      </c>
      <c r="E4" s="192">
        <f>VLOOKUP(B4,Sheet1!OQ12:OV82,3,0)</f>
        <v>1.8732</v>
      </c>
      <c r="F4" s="192">
        <f>VLOOKUP(B4,Sheet1!OQ12:OV82,6,0)</f>
        <v>37.796299999999995</v>
      </c>
      <c r="G4" s="291"/>
      <c r="H4" s="293"/>
      <c r="J4" s="240"/>
      <c r="K4" s="18"/>
      <c r="L4" s="18"/>
      <c r="M4" s="18"/>
      <c r="N4" s="18"/>
      <c r="O4" s="18"/>
    </row>
    <row r="5" spans="1:15" x14ac:dyDescent="0.25">
      <c r="A5" s="179">
        <v>3</v>
      </c>
      <c r="B5" s="179">
        <v>9996</v>
      </c>
      <c r="C5" s="179" t="s">
        <v>25</v>
      </c>
      <c r="D5" s="191">
        <f>VLOOKUP(B5,Sheet1!OQ13:OV83,5,0)</f>
        <v>0.59444583333333334</v>
      </c>
      <c r="E5" s="192">
        <f>VLOOKUP(B5,Sheet1!OQ13:OV83,3,0)</f>
        <v>1.9117999999999999</v>
      </c>
      <c r="F5" s="192">
        <f>VLOOKUP(B5,Sheet1!OQ13:OV83,6,0)</f>
        <v>37.711599999999997</v>
      </c>
      <c r="G5" s="291"/>
      <c r="H5" s="293"/>
      <c r="I5" s="18"/>
      <c r="J5" s="241"/>
      <c r="K5" s="18"/>
      <c r="L5" s="18"/>
      <c r="M5" s="18"/>
      <c r="N5" s="18"/>
      <c r="O5" s="18"/>
    </row>
    <row r="6" spans="1:15" x14ac:dyDescent="0.25">
      <c r="A6" s="179">
        <v>4</v>
      </c>
      <c r="B6" s="179">
        <v>9988</v>
      </c>
      <c r="C6" s="179" t="s">
        <v>26</v>
      </c>
      <c r="D6" s="191">
        <f>VLOOKUP(B6,Sheet1!OQ14:OV84,5,0)</f>
        <v>0.59444583333333334</v>
      </c>
      <c r="E6" s="192">
        <f>VLOOKUP(B6,Sheet1!OQ14:OV84,3,0)</f>
        <v>1.9117999999999999</v>
      </c>
      <c r="F6" s="192">
        <f>VLOOKUP(B6,Sheet1!OQ14:OV84,6,0)</f>
        <v>37.671599999999998</v>
      </c>
      <c r="G6" s="179"/>
      <c r="I6" s="18"/>
      <c r="J6" s="18"/>
      <c r="K6" s="18"/>
      <c r="L6" s="18"/>
      <c r="M6" s="18"/>
      <c r="N6" s="18"/>
      <c r="O6" s="18"/>
    </row>
    <row r="7" spans="1:15" x14ac:dyDescent="0.25">
      <c r="A7" s="179">
        <v>5</v>
      </c>
      <c r="B7" s="179">
        <v>9994</v>
      </c>
      <c r="C7" s="179" t="s">
        <v>27</v>
      </c>
      <c r="D7" s="191">
        <f>VLOOKUP(B7,Sheet1!OQ15:OV85,5,0)</f>
        <v>0.59444583333333334</v>
      </c>
      <c r="E7" s="192">
        <f>VLOOKUP(B7,Sheet1!OQ15:OV85,3,0)</f>
        <v>1.9117999999999999</v>
      </c>
      <c r="F7" s="192">
        <f>VLOOKUP(B7,Sheet1!OQ15:OV85,6,0)</f>
        <v>37.771599999999999</v>
      </c>
      <c r="G7" s="179"/>
      <c r="I7" s="18"/>
      <c r="J7" s="18"/>
      <c r="K7" s="18"/>
      <c r="L7" s="18"/>
      <c r="M7" s="18"/>
      <c r="N7" s="18"/>
      <c r="O7" s="18"/>
    </row>
    <row r="8" spans="1:15" x14ac:dyDescent="0.25">
      <c r="A8" s="179">
        <v>6</v>
      </c>
      <c r="B8" s="179">
        <v>9995</v>
      </c>
      <c r="C8" s="179" t="s">
        <v>28</v>
      </c>
      <c r="D8" s="191">
        <f>VLOOKUP(B8,Sheet1!OQ16:OV86,5,0)</f>
        <v>0.59444583333333334</v>
      </c>
      <c r="E8" s="192">
        <f>VLOOKUP(B8,Sheet1!OQ16:OV86,3,0)</f>
        <v>1.9117999999999999</v>
      </c>
      <c r="F8" s="192">
        <f>VLOOKUP(B8,Sheet1!OQ16:OV86,6,0)</f>
        <v>37.771599999999999</v>
      </c>
      <c r="G8" s="179"/>
      <c r="I8" s="18"/>
      <c r="J8" s="18"/>
      <c r="K8" s="18"/>
      <c r="L8" s="18"/>
      <c r="M8" s="18"/>
      <c r="N8" s="18"/>
      <c r="O8" s="18"/>
    </row>
    <row r="9" spans="1:15" x14ac:dyDescent="0.25">
      <c r="A9" s="179">
        <v>7</v>
      </c>
      <c r="B9" s="179">
        <v>9892</v>
      </c>
      <c r="C9" s="179" t="s">
        <v>29</v>
      </c>
      <c r="D9" s="191">
        <f>VLOOKUP(B9,Sheet1!OQ17:OV87,5,0)</f>
        <v>0.5180583333333334</v>
      </c>
      <c r="E9" s="192">
        <f>VLOOKUP(B9,Sheet1!OQ17:OV87,3,0)</f>
        <v>1.6660999999999999</v>
      </c>
      <c r="F9" s="192">
        <f>VLOOKUP(B9,Sheet1!OQ17:OV87,6,0)</f>
        <v>37.395200000000003</v>
      </c>
      <c r="G9" s="179"/>
      <c r="I9" s="18"/>
      <c r="J9" s="18"/>
      <c r="K9" s="18"/>
      <c r="L9" s="18"/>
      <c r="M9" s="18"/>
      <c r="N9" s="18"/>
      <c r="O9" s="18"/>
    </row>
    <row r="10" spans="1:15" x14ac:dyDescent="0.25">
      <c r="A10" s="179">
        <v>8</v>
      </c>
      <c r="B10" s="179">
        <v>9998</v>
      </c>
      <c r="C10" s="179" t="s">
        <v>30</v>
      </c>
      <c r="D10" s="191">
        <f>VLOOKUP(B10,Sheet1!OQ18:OV88,5,0)</f>
        <v>0.49632083333333332</v>
      </c>
      <c r="E10" s="192">
        <f>VLOOKUP(B10,Sheet1!OQ18:OV88,3,0)</f>
        <v>1.5962000000000001</v>
      </c>
      <c r="F10" s="192">
        <f>VLOOKUP(B10,Sheet1!OQ18:OV88,6,0)</f>
        <v>37.3718</v>
      </c>
      <c r="G10" s="179"/>
      <c r="I10" s="18"/>
      <c r="J10" s="18"/>
      <c r="K10" s="18"/>
      <c r="L10" s="18"/>
      <c r="M10" s="18"/>
      <c r="N10" s="18"/>
      <c r="O10" s="18"/>
    </row>
    <row r="11" spans="1:15" x14ac:dyDescent="0.25">
      <c r="A11" s="179">
        <v>9</v>
      </c>
      <c r="B11" s="179">
        <v>9981</v>
      </c>
      <c r="C11" s="179" t="s">
        <v>31</v>
      </c>
      <c r="D11" s="191">
        <f>VLOOKUP(B11,Sheet1!OQ19:OV89,5,0)</f>
        <v>0.52891250000000001</v>
      </c>
      <c r="E11" s="192">
        <f>VLOOKUP(B11,Sheet1!OQ19:OV89,3,0)</f>
        <v>1.7010000000000001</v>
      </c>
      <c r="F11" s="192">
        <f>VLOOKUP(B11,Sheet1!OQ19:OV89,6,0)</f>
        <v>37.3919</v>
      </c>
      <c r="G11" s="179"/>
      <c r="I11" s="18"/>
      <c r="J11" s="18"/>
      <c r="K11" s="18"/>
      <c r="L11" s="18"/>
      <c r="M11" s="18"/>
      <c r="N11" s="18"/>
      <c r="O11" s="18"/>
    </row>
    <row r="12" spans="1:15" x14ac:dyDescent="0.25">
      <c r="A12" s="179">
        <v>10</v>
      </c>
      <c r="B12" s="179">
        <v>9977</v>
      </c>
      <c r="C12" s="179" t="s">
        <v>32</v>
      </c>
      <c r="D12" s="191">
        <f>VLOOKUP(B12,Sheet1!OQ20:OV90,5,0)</f>
        <v>0.5180583333333334</v>
      </c>
      <c r="E12" s="192">
        <f>VLOOKUP(B12,Sheet1!OQ20:OV90,3,0)</f>
        <v>1.6660999999999999</v>
      </c>
      <c r="F12" s="192">
        <f>VLOOKUP(B12,Sheet1!OQ20:OV90,6,0)</f>
        <v>37.655200000000001</v>
      </c>
      <c r="G12" s="179"/>
      <c r="I12" s="18"/>
      <c r="J12" s="18"/>
      <c r="K12" s="18"/>
      <c r="L12" s="18"/>
      <c r="M12" s="18"/>
      <c r="N12" s="18"/>
      <c r="O12" s="18"/>
    </row>
    <row r="13" spans="1:15" x14ac:dyDescent="0.25">
      <c r="A13" s="179">
        <v>11</v>
      </c>
      <c r="B13" s="179">
        <v>9975</v>
      </c>
      <c r="C13" s="179" t="s">
        <v>33</v>
      </c>
      <c r="D13" s="191">
        <f>VLOOKUP(B13,Sheet1!OQ21:OV91,5,0)</f>
        <v>0.5180583333333334</v>
      </c>
      <c r="E13" s="192">
        <f>VLOOKUP(B13,Sheet1!OQ21:OV91,3,0)</f>
        <v>1.6660999999999999</v>
      </c>
      <c r="F13" s="192">
        <f>VLOOKUP(B13,Sheet1!OQ21:OV91,6,0)</f>
        <v>37.535200000000003</v>
      </c>
      <c r="G13" s="179"/>
      <c r="I13" s="18"/>
      <c r="J13" s="18"/>
      <c r="K13" s="18"/>
      <c r="L13" s="18"/>
      <c r="M13" s="18"/>
      <c r="N13" s="18"/>
      <c r="O13" s="18"/>
    </row>
    <row r="14" spans="1:15" x14ac:dyDescent="0.25">
      <c r="A14" s="179">
        <v>12</v>
      </c>
      <c r="B14" s="179">
        <v>9983</v>
      </c>
      <c r="C14" s="179" t="s">
        <v>34</v>
      </c>
      <c r="D14" s="191">
        <f>VLOOKUP(B14,Sheet1!OQ22:OV92,5,0)</f>
        <v>0.54181666666666672</v>
      </c>
      <c r="E14" s="192">
        <f>VLOOKUP(B14,Sheet1!OQ22:OV92,3,0)</f>
        <v>1.7424999999999999</v>
      </c>
      <c r="F14" s="192">
        <f>VLOOKUP(B14,Sheet1!OQ22:OV92,6,0)</f>
        <v>37.436100000000003</v>
      </c>
      <c r="G14" s="179"/>
      <c r="I14" s="18"/>
      <c r="J14" s="18"/>
      <c r="K14" s="18"/>
      <c r="L14" s="18"/>
      <c r="M14" s="18"/>
      <c r="N14" s="18"/>
      <c r="O14" s="18"/>
    </row>
    <row r="15" spans="1:15" x14ac:dyDescent="0.25">
      <c r="A15" s="179">
        <v>13</v>
      </c>
      <c r="B15" s="179">
        <v>9986</v>
      </c>
      <c r="C15" s="179" t="s">
        <v>35</v>
      </c>
      <c r="D15" s="191">
        <f>VLOOKUP(B15,Sheet1!OQ23:OV93,5,0)</f>
        <v>0.5097666666666667</v>
      </c>
      <c r="E15" s="192">
        <f>VLOOKUP(B15,Sheet1!OQ23:OV93,3,0)</f>
        <v>1.6395</v>
      </c>
      <c r="F15" s="192">
        <f>VLOOKUP(B15,Sheet1!OQ23:OV93,6,0)</f>
        <v>37.365400000000001</v>
      </c>
      <c r="G15" s="179"/>
      <c r="I15" s="18"/>
      <c r="J15" s="18"/>
      <c r="K15" s="18"/>
      <c r="L15" s="18"/>
      <c r="M15" s="18"/>
      <c r="N15" s="18"/>
      <c r="O15" s="18"/>
    </row>
    <row r="16" spans="1:15" x14ac:dyDescent="0.25">
      <c r="A16" s="179">
        <v>14</v>
      </c>
      <c r="B16" s="179">
        <v>9976</v>
      </c>
      <c r="C16" s="179" t="s">
        <v>36</v>
      </c>
      <c r="D16" s="191">
        <f>VLOOKUP(B16,Sheet1!OQ24:OV94,5,0)</f>
        <v>0.5180583333333334</v>
      </c>
      <c r="E16" s="192">
        <f>VLOOKUP(B16,Sheet1!OQ24:OV94,3,0)</f>
        <v>1.6660999999999999</v>
      </c>
      <c r="F16" s="192">
        <f>VLOOKUP(B16,Sheet1!OQ24:OV94,6,0)</f>
        <v>37.545200000000001</v>
      </c>
      <c r="G16" s="179"/>
      <c r="I16" s="18"/>
      <c r="J16" s="18"/>
      <c r="K16" s="18"/>
      <c r="L16" s="18"/>
      <c r="M16" s="18"/>
      <c r="N16" s="18"/>
      <c r="O16" s="18"/>
    </row>
    <row r="17" spans="1:15" x14ac:dyDescent="0.25">
      <c r="A17" s="179">
        <v>15</v>
      </c>
      <c r="B17" s="179">
        <v>9598</v>
      </c>
      <c r="C17" s="179" t="s">
        <v>37</v>
      </c>
      <c r="D17" s="191">
        <f>VLOOKUP(B17,Sheet1!OQ25:OV95,5,0)</f>
        <v>0.67357500000000003</v>
      </c>
      <c r="E17" s="192">
        <f>VLOOKUP(B17,Sheet1!OQ25:OV95,3,0)</f>
        <v>2.1663000000000001</v>
      </c>
      <c r="F17" s="192">
        <f>VLOOKUP(B17,Sheet1!OQ25:OV95,6,0)</f>
        <v>37.384599999999999</v>
      </c>
      <c r="G17" s="179"/>
      <c r="I17" s="18"/>
      <c r="J17" s="18"/>
      <c r="K17" s="18"/>
      <c r="L17" s="18"/>
      <c r="M17" s="18"/>
      <c r="N17" s="18"/>
      <c r="O17" s="18"/>
    </row>
    <row r="18" spans="1:15" x14ac:dyDescent="0.25">
      <c r="A18" s="179">
        <v>16</v>
      </c>
      <c r="B18" s="179">
        <v>9597</v>
      </c>
      <c r="C18" s="179" t="s">
        <v>38</v>
      </c>
      <c r="D18" s="191">
        <f>VLOOKUP(B18,Sheet1!OQ26:OV96,5,0)</f>
        <v>0.69139583333333332</v>
      </c>
      <c r="E18" s="192">
        <f>VLOOKUP(B18,Sheet1!OQ26:OV96,3,0)</f>
        <v>2.2235999999999998</v>
      </c>
      <c r="F18" s="192">
        <f>VLOOKUP(B18,Sheet1!OQ26:OV96,6,0)</f>
        <v>37.3628</v>
      </c>
      <c r="G18" s="179"/>
      <c r="I18" s="18"/>
      <c r="J18" s="18"/>
      <c r="K18" s="18"/>
      <c r="L18" s="18"/>
      <c r="M18" s="18"/>
      <c r="N18" s="18"/>
      <c r="O18" s="18"/>
    </row>
    <row r="19" spans="1:15" x14ac:dyDescent="0.25">
      <c r="A19" s="179">
        <v>17</v>
      </c>
      <c r="B19" s="198">
        <v>9881</v>
      </c>
      <c r="C19" s="179" t="s">
        <v>39</v>
      </c>
      <c r="D19" s="191">
        <f>VLOOKUP(B19,Sheet1!OQ27:OV97,5,0)</f>
        <v>0.43746250000000003</v>
      </c>
      <c r="E19" s="192">
        <f>VLOOKUP(B19,Sheet1!OQ27:OV97,3,0)</f>
        <v>1.4069</v>
      </c>
      <c r="F19" s="192">
        <f>VLOOKUP(B19,Sheet1!OQ27:OV97,6,0)</f>
        <v>37.373999999999995</v>
      </c>
      <c r="G19" s="179"/>
      <c r="I19" s="17"/>
      <c r="J19" s="188"/>
      <c r="K19" s="188"/>
      <c r="L19" s="188"/>
      <c r="M19" s="189"/>
      <c r="N19" s="18"/>
      <c r="O19" s="18"/>
    </row>
    <row r="20" spans="1:15" x14ac:dyDescent="0.25">
      <c r="A20" s="179">
        <v>18</v>
      </c>
      <c r="B20" s="179">
        <v>9352</v>
      </c>
      <c r="C20" s="179" t="s">
        <v>40</v>
      </c>
      <c r="D20" s="191">
        <f>VLOOKUP(B20,Sheet1!OQ28:OV98,5,0)</f>
        <v>0.56949166666666662</v>
      </c>
      <c r="E20" s="192">
        <f>VLOOKUP(B20,Sheet1!OQ28:OV98,3,0)</f>
        <v>1.8314999999999999</v>
      </c>
      <c r="F20" s="192">
        <f>VLOOKUP(B20,Sheet1!OQ28:OV98,6,0)</f>
        <v>37.1922</v>
      </c>
      <c r="G20" s="179"/>
      <c r="I20" s="18"/>
      <c r="J20" s="18"/>
      <c r="K20" s="18"/>
      <c r="L20" s="18"/>
      <c r="M20" s="18"/>
      <c r="N20" s="18"/>
      <c r="O20" s="18"/>
    </row>
    <row r="21" spans="1:15" x14ac:dyDescent="0.25">
      <c r="A21" s="179">
        <v>19</v>
      </c>
      <c r="B21" s="179">
        <v>9638</v>
      </c>
      <c r="C21" s="179" t="s">
        <v>41</v>
      </c>
      <c r="D21" s="191">
        <f>VLOOKUP(B21,Sheet1!OQ29:OV99,5,0)</f>
        <v>0.19464999999999999</v>
      </c>
      <c r="E21" s="192">
        <f>VLOOKUP(B21,Sheet1!OQ29:OV99,3,0)</f>
        <v>0.626</v>
      </c>
      <c r="F21" s="192">
        <f>VLOOKUP(B21,Sheet1!OQ29:OV99,6,0)</f>
        <v>37.401499999999999</v>
      </c>
      <c r="G21" s="179"/>
      <c r="I21" s="18"/>
      <c r="J21" s="18"/>
      <c r="K21" s="18"/>
      <c r="L21" s="18"/>
      <c r="M21" s="18"/>
      <c r="N21" s="18"/>
      <c r="O21" s="18"/>
    </row>
    <row r="22" spans="1:15" x14ac:dyDescent="0.25">
      <c r="A22" s="179">
        <v>20</v>
      </c>
      <c r="B22" s="179">
        <v>9878</v>
      </c>
      <c r="C22" s="179" t="s">
        <v>42</v>
      </c>
      <c r="D22" s="191">
        <f>VLOOKUP(B22,Sheet1!OQ30:OV100,5,0)</f>
        <v>0.42572916666666666</v>
      </c>
      <c r="E22" s="192">
        <f>VLOOKUP(B22,Sheet1!OQ30:OV100,3,0)</f>
        <v>1.3692</v>
      </c>
      <c r="F22" s="192">
        <f>VLOOKUP(B22,Sheet1!OQ30:OV100,6,0)</f>
        <v>37.1783</v>
      </c>
      <c r="G22" s="179"/>
      <c r="I22" s="18"/>
      <c r="J22" s="18"/>
      <c r="K22" s="18"/>
      <c r="L22" s="18"/>
      <c r="M22" s="18"/>
      <c r="N22" s="18"/>
      <c r="O22" s="18"/>
    </row>
    <row r="23" spans="1:15" x14ac:dyDescent="0.25">
      <c r="A23" s="179">
        <v>21</v>
      </c>
      <c r="B23" s="179">
        <v>9879</v>
      </c>
      <c r="C23" s="179" t="s">
        <v>43</v>
      </c>
      <c r="D23" s="191">
        <f>VLOOKUP(B23,Sheet1!OQ31:OV101,5,0)</f>
        <v>0.43746250000000003</v>
      </c>
      <c r="E23" s="192">
        <f>VLOOKUP(B23,Sheet1!OQ31:OV101,3,0)</f>
        <v>1.4069</v>
      </c>
      <c r="F23" s="192">
        <f>VLOOKUP(B23,Sheet1!OQ31:OV101,6,0)</f>
        <v>37.304000000000002</v>
      </c>
      <c r="G23" s="179"/>
      <c r="I23" s="18"/>
      <c r="J23" s="18"/>
      <c r="K23" s="18"/>
      <c r="L23" s="18"/>
      <c r="M23" s="18"/>
      <c r="N23" s="18"/>
      <c r="O23" s="18"/>
    </row>
    <row r="24" spans="1:15" x14ac:dyDescent="0.25">
      <c r="A24" s="179">
        <v>22</v>
      </c>
      <c r="B24" s="179">
        <v>9978</v>
      </c>
      <c r="C24" s="179" t="s">
        <v>44</v>
      </c>
      <c r="D24" s="191">
        <f>VLOOKUP(B24,Sheet1!OQ32:OV102,5,0)</f>
        <v>0.43206250000000002</v>
      </c>
      <c r="E24" s="192">
        <f>VLOOKUP(B24,Sheet1!OQ32:OV102,3,0)</f>
        <v>1.3895999999999999</v>
      </c>
      <c r="F24" s="192">
        <f>VLOOKUP(B24,Sheet1!OQ32:OV102,6,0)</f>
        <v>37.190599999999996</v>
      </c>
      <c r="G24" s="179"/>
      <c r="I24" s="18"/>
      <c r="J24" s="18"/>
      <c r="K24" s="18"/>
      <c r="L24" s="18"/>
      <c r="M24" s="18"/>
      <c r="N24" s="18"/>
      <c r="O24" s="18"/>
    </row>
    <row r="25" spans="1:15" x14ac:dyDescent="0.25">
      <c r="A25" s="179">
        <v>23</v>
      </c>
      <c r="B25" s="179">
        <v>9997</v>
      </c>
      <c r="C25" s="179" t="s">
        <v>45</v>
      </c>
      <c r="D25" s="191">
        <f>VLOOKUP(B25,Sheet1!OQ33:OV103,5,0)</f>
        <v>0.47322083333333337</v>
      </c>
      <c r="E25" s="192">
        <f>VLOOKUP(B25,Sheet1!OQ33:OV103,3,0)</f>
        <v>1.5219</v>
      </c>
      <c r="F25" s="192">
        <f>VLOOKUP(B25,Sheet1!OQ33:OV103,6,0)</f>
        <v>37.420099999999998</v>
      </c>
      <c r="G25" s="179"/>
      <c r="I25" s="18"/>
      <c r="J25" s="18"/>
      <c r="K25" s="18"/>
      <c r="L25" s="18"/>
      <c r="M25" s="18"/>
      <c r="N25" s="18"/>
      <c r="O25" s="18"/>
    </row>
    <row r="26" spans="1:15" x14ac:dyDescent="0.25">
      <c r="A26" s="179">
        <v>24</v>
      </c>
      <c r="B26" s="179">
        <v>9593</v>
      </c>
      <c r="C26" s="179" t="s">
        <v>46</v>
      </c>
      <c r="D26" s="191">
        <f>VLOOKUP(B26,Sheet1!OQ34:OV104,5,0)</f>
        <v>0.61196666666666666</v>
      </c>
      <c r="E26" s="192">
        <f>VLOOKUP(B26,Sheet1!OQ34:OV104,3,0)</f>
        <v>1.9681</v>
      </c>
      <c r="F26" s="192">
        <f>VLOOKUP(B26,Sheet1!OQ34:OV104,6,0)</f>
        <v>37.320100000000004</v>
      </c>
      <c r="G26" s="179"/>
      <c r="I26" s="18"/>
      <c r="J26" s="18"/>
      <c r="K26" s="18"/>
      <c r="L26" s="18"/>
      <c r="M26" s="18"/>
      <c r="N26" s="18"/>
      <c r="O26" s="18"/>
    </row>
    <row r="27" spans="1:15" x14ac:dyDescent="0.25">
      <c r="A27" s="179">
        <v>25</v>
      </c>
      <c r="B27" s="179">
        <v>9870</v>
      </c>
      <c r="C27" s="179" t="s">
        <v>47</v>
      </c>
      <c r="D27" s="191">
        <f>VLOOKUP(B27,Sheet1!OQ35:OV105,5,0)</f>
        <v>0.41572499999999996</v>
      </c>
      <c r="E27" s="192">
        <f>VLOOKUP(B27,Sheet1!OQ35:OV105,3,0)</f>
        <v>1.337</v>
      </c>
      <c r="F27" s="192">
        <f>VLOOKUP(B27,Sheet1!OQ35:OV105,6,0)</f>
        <v>37.2806</v>
      </c>
      <c r="G27" s="179"/>
      <c r="I27" s="18"/>
      <c r="J27" s="18"/>
      <c r="K27" s="18"/>
      <c r="L27" s="18"/>
      <c r="M27" s="18"/>
      <c r="N27" s="18"/>
      <c r="O27" s="18"/>
    </row>
    <row r="28" spans="1:15" x14ac:dyDescent="0.25">
      <c r="A28" s="179">
        <v>26</v>
      </c>
      <c r="B28" s="179">
        <v>9873</v>
      </c>
      <c r="C28" s="179" t="s">
        <v>48</v>
      </c>
      <c r="D28" s="191">
        <f>VLOOKUP(B28,Sheet1!OQ36:OV106,5,0)</f>
        <v>0.41572499999999996</v>
      </c>
      <c r="E28" s="192">
        <f>VLOOKUP(B28,Sheet1!OQ36:OV106,3,0)</f>
        <v>1.337</v>
      </c>
      <c r="F28" s="192">
        <f>VLOOKUP(B28,Sheet1!OQ36:OV106,6,0)</f>
        <v>37.180599999999998</v>
      </c>
      <c r="G28" s="179"/>
    </row>
    <row r="29" spans="1:15" x14ac:dyDescent="0.25">
      <c r="A29" s="179">
        <v>27</v>
      </c>
      <c r="B29" s="179">
        <v>9984</v>
      </c>
      <c r="C29" s="179" t="s">
        <v>49</v>
      </c>
      <c r="D29" s="191">
        <f>VLOOKUP(B29,Sheet1!OQ37:OV107,5,0)</f>
        <v>0.46122083333333336</v>
      </c>
      <c r="E29" s="192">
        <f>VLOOKUP(B29,Sheet1!OQ37:OV107,3,0)</f>
        <v>1.4833000000000001</v>
      </c>
      <c r="F29" s="192">
        <f>VLOOKUP(B29,Sheet1!OQ37:OV107,6,0)</f>
        <v>37.354900000000001</v>
      </c>
      <c r="G29" s="179"/>
    </row>
    <row r="30" spans="1:15" x14ac:dyDescent="0.25">
      <c r="A30" s="179">
        <v>28</v>
      </c>
      <c r="B30" s="179">
        <v>9985</v>
      </c>
      <c r="C30" s="179" t="s">
        <v>50</v>
      </c>
      <c r="D30" s="191">
        <f>VLOOKUP(B30,Sheet1!OQ38:OV108,5,0)</f>
        <v>0.46900000000000003</v>
      </c>
      <c r="E30" s="192">
        <f>VLOOKUP(B30,Sheet1!OQ38:OV108,3,0)</f>
        <v>1.5083</v>
      </c>
      <c r="F30" s="192">
        <f>VLOOKUP(B30,Sheet1!OQ38:OV108,6,0)</f>
        <v>37.415300000000002</v>
      </c>
      <c r="G30" s="179"/>
    </row>
    <row r="31" spans="1:15" x14ac:dyDescent="0.25">
      <c r="A31" s="179">
        <v>29</v>
      </c>
      <c r="B31" s="179">
        <v>9982</v>
      </c>
      <c r="C31" s="179" t="s">
        <v>51</v>
      </c>
      <c r="D31" s="191">
        <f>VLOOKUP(B31,Sheet1!OQ39:OV109,5,0)</f>
        <v>0.46122083333333336</v>
      </c>
      <c r="E31" s="192">
        <f>VLOOKUP(B31,Sheet1!OQ39:OV109,3,0)</f>
        <v>1.4833000000000001</v>
      </c>
      <c r="F31" s="192">
        <f>VLOOKUP(B31,Sheet1!OQ39:OV109,6,0)</f>
        <v>37.3949</v>
      </c>
      <c r="G31" s="179"/>
    </row>
    <row r="32" spans="1:15" x14ac:dyDescent="0.25">
      <c r="A32" s="179">
        <v>30</v>
      </c>
      <c r="B32" s="179">
        <v>9594</v>
      </c>
      <c r="C32" s="179" t="s">
        <v>52</v>
      </c>
      <c r="D32" s="191">
        <f>VLOOKUP(B32,Sheet1!OQ40:OV110,5,0)</f>
        <v>0.60023333333333329</v>
      </c>
      <c r="E32" s="192">
        <f>VLOOKUP(B32,Sheet1!OQ40:OV110,3,0)</f>
        <v>1.9303999999999999</v>
      </c>
      <c r="F32" s="192">
        <f>VLOOKUP(B32,Sheet1!OQ40:OV110,6,0)</f>
        <v>37.334499999999998</v>
      </c>
      <c r="G32" s="179"/>
    </row>
    <row r="33" spans="1:7" x14ac:dyDescent="0.25">
      <c r="A33" s="179">
        <v>31</v>
      </c>
      <c r="B33" s="179">
        <v>9869</v>
      </c>
      <c r="C33" s="179" t="s">
        <v>53</v>
      </c>
      <c r="D33" s="191">
        <f>VLOOKUP(B33,Sheet1!OQ41:OV111,5,0)</f>
        <v>0.40399166666666669</v>
      </c>
      <c r="E33" s="192">
        <f>VLOOKUP(B33,Sheet1!OQ41:OV111,3,0)</f>
        <v>1.2992999999999999</v>
      </c>
      <c r="F33" s="192">
        <f>VLOOKUP(B33,Sheet1!OQ41:OV111,6,0)</f>
        <v>37.175000000000004</v>
      </c>
      <c r="G33" s="179"/>
    </row>
    <row r="34" spans="1:7" x14ac:dyDescent="0.25">
      <c r="A34" s="179">
        <v>32</v>
      </c>
      <c r="B34" s="179">
        <v>9980</v>
      </c>
      <c r="C34" s="179" t="s">
        <v>54</v>
      </c>
      <c r="D34" s="191">
        <f>VLOOKUP(B34,Sheet1!OQ42:OV112,5,0)</f>
        <v>0.45975833333333332</v>
      </c>
      <c r="E34" s="192">
        <f>VLOOKUP(B34,Sheet1!OQ42:OV112,3,0)</f>
        <v>1.4785999999999999</v>
      </c>
      <c r="F34" s="192">
        <f>VLOOKUP(B34,Sheet1!OQ42:OV112,6,0)</f>
        <v>37.176600000000001</v>
      </c>
      <c r="G34" s="179"/>
    </row>
    <row r="35" spans="1:7" x14ac:dyDescent="0.25">
      <c r="A35" s="179">
        <v>33</v>
      </c>
      <c r="B35" s="179">
        <v>9877</v>
      </c>
      <c r="C35" s="179" t="s">
        <v>55</v>
      </c>
      <c r="D35" s="191">
        <f>VLOOKUP(B35,Sheet1!OQ43:OV113,5,0)</f>
        <v>0.43620833333333331</v>
      </c>
      <c r="E35" s="192">
        <f>VLOOKUP(B35,Sheet1!OQ43:OV113,3,0)</f>
        <v>1.4029</v>
      </c>
      <c r="F35" s="192">
        <f>VLOOKUP(B35,Sheet1!OQ43:OV113,6,0)</f>
        <v>37.255499999999998</v>
      </c>
      <c r="G35" s="179"/>
    </row>
    <row r="36" spans="1:7" x14ac:dyDescent="0.25">
      <c r="A36" s="179">
        <v>34</v>
      </c>
      <c r="B36" s="179">
        <v>9880</v>
      </c>
      <c r="C36" s="179" t="s">
        <v>56</v>
      </c>
      <c r="D36" s="191">
        <f>VLOOKUP(B36,Sheet1!OQ44:OV114,5,0)</f>
        <v>0.43746250000000003</v>
      </c>
      <c r="E36" s="192">
        <f>VLOOKUP(B36,Sheet1!OQ44:OV114,3,0)</f>
        <v>1.4069</v>
      </c>
      <c r="F36" s="192">
        <f>VLOOKUP(B36,Sheet1!OQ44:OV114,6,0)</f>
        <v>37.384</v>
      </c>
      <c r="G36" s="179"/>
    </row>
    <row r="37" spans="1:7" x14ac:dyDescent="0.25">
      <c r="A37" s="179">
        <v>35</v>
      </c>
      <c r="B37" s="179">
        <v>9979</v>
      </c>
      <c r="C37" s="179" t="s">
        <v>57</v>
      </c>
      <c r="D37" s="191">
        <f>VLOOKUP(B37,Sheet1!OQ45:OV115,5,0)</f>
        <v>0.39885416666666668</v>
      </c>
      <c r="E37" s="192">
        <f>VLOOKUP(B37,Sheet1!OQ45:OV115,3,0)</f>
        <v>1.2827999999999999</v>
      </c>
      <c r="F37" s="192">
        <f>VLOOKUP(B37,Sheet1!OQ45:OV115,6,0)</f>
        <v>37.241299999999995</v>
      </c>
      <c r="G37" s="179"/>
    </row>
    <row r="38" spans="1:7" x14ac:dyDescent="0.25">
      <c r="A38" s="179">
        <v>36</v>
      </c>
      <c r="B38" s="179">
        <v>9636</v>
      </c>
      <c r="C38" s="179" t="s">
        <v>58</v>
      </c>
      <c r="D38" s="191">
        <f>VLOOKUP(B38,Sheet1!OQ46:OV116,5,0)</f>
        <v>0.34162916666666665</v>
      </c>
      <c r="E38" s="192">
        <f>VLOOKUP(B38,Sheet1!OQ46:OV116,3,0)</f>
        <v>1.0987</v>
      </c>
      <c r="F38" s="192">
        <f>VLOOKUP(B38,Sheet1!OQ46:OV116,6,0)</f>
        <v>37.2014</v>
      </c>
      <c r="G38" s="179"/>
    </row>
    <row r="39" spans="1:7" x14ac:dyDescent="0.25">
      <c r="A39" s="179">
        <v>37</v>
      </c>
      <c r="B39" s="179">
        <v>9887</v>
      </c>
      <c r="C39" s="179" t="s">
        <v>59</v>
      </c>
      <c r="D39" s="191">
        <f>VLOOKUP(B39,Sheet1!OQ47:OV117,5,0)</f>
        <v>0.36336666666666667</v>
      </c>
      <c r="E39" s="192">
        <f>VLOOKUP(B39,Sheet1!OQ47:OV117,3,0)</f>
        <v>1.1686000000000001</v>
      </c>
      <c r="F39" s="192">
        <f>VLOOKUP(B39,Sheet1!OQ47:OV117,6,0)</f>
        <v>37.004800000000003</v>
      </c>
      <c r="G39" s="179"/>
    </row>
    <row r="40" spans="1:7" x14ac:dyDescent="0.25">
      <c r="A40" s="179">
        <v>38</v>
      </c>
      <c r="B40" s="179">
        <v>9354</v>
      </c>
      <c r="C40" s="179" t="s">
        <v>60</v>
      </c>
      <c r="D40" s="191">
        <f>VLOOKUP(B40,Sheet1!OQ48:OV118,5,0)</f>
        <v>0.67459999999999998</v>
      </c>
      <c r="E40" s="192">
        <f>VLOOKUP(B40,Sheet1!OQ48:OV118,3,0)</f>
        <v>2.1696</v>
      </c>
      <c r="F40" s="192">
        <f>VLOOKUP(B40,Sheet1!OQ48:OV118,6,0)</f>
        <v>37.2134</v>
      </c>
      <c r="G40" s="179"/>
    </row>
    <row r="41" spans="1:7" x14ac:dyDescent="0.25">
      <c r="A41" s="179">
        <v>39</v>
      </c>
      <c r="B41" s="179">
        <v>9596</v>
      </c>
      <c r="C41" s="179" t="s">
        <v>61</v>
      </c>
      <c r="D41" s="191">
        <f>VLOOKUP(B41,Sheet1!OQ49:OV119,5,0)</f>
        <v>0.5378666666666666</v>
      </c>
      <c r="E41" s="192">
        <f>VLOOKUP(B41,Sheet1!OQ49:OV119,3,0)</f>
        <v>1.7298</v>
      </c>
      <c r="F41" s="192">
        <f>VLOOKUP(B41,Sheet1!OQ49:OV119,6,0)</f>
        <v>37.160899999999998</v>
      </c>
      <c r="G41" s="179"/>
    </row>
    <row r="42" spans="1:7" x14ac:dyDescent="0.25">
      <c r="A42" s="179">
        <v>40</v>
      </c>
      <c r="B42" s="179">
        <v>9886</v>
      </c>
      <c r="C42" s="179" t="s">
        <v>62</v>
      </c>
      <c r="D42" s="191">
        <f>VLOOKUP(B42,Sheet1!OQ50:OV120,5,0)</f>
        <v>0.37509999999999999</v>
      </c>
      <c r="E42" s="192">
        <f>VLOOKUP(B42,Sheet1!OQ50:OV120,3,0)</f>
        <v>1.2063999999999999</v>
      </c>
      <c r="F42" s="192">
        <f>VLOOKUP(B42,Sheet1!OQ50:OV120,6,0)</f>
        <v>37.200399999999995</v>
      </c>
      <c r="G42" s="179"/>
    </row>
    <row r="43" spans="1:7" x14ac:dyDescent="0.25">
      <c r="A43" s="179">
        <v>41</v>
      </c>
      <c r="B43" s="179">
        <v>9882</v>
      </c>
      <c r="C43" s="179" t="s">
        <v>63</v>
      </c>
      <c r="D43" s="191">
        <f>VLOOKUP(B43,Sheet1!OQ51:OV121,5,0)</f>
        <v>0.36336666666666667</v>
      </c>
      <c r="E43" s="192">
        <f>VLOOKUP(B43,Sheet1!OQ51:OV121,3,0)</f>
        <v>1.1686000000000001</v>
      </c>
      <c r="F43" s="192">
        <f>VLOOKUP(B43,Sheet1!OQ51:OV121,6,0)</f>
        <v>37.204799999999999</v>
      </c>
      <c r="G43" s="179"/>
    </row>
    <row r="44" spans="1:7" x14ac:dyDescent="0.25">
      <c r="A44" s="179">
        <v>42</v>
      </c>
      <c r="B44" s="179">
        <v>9885</v>
      </c>
      <c r="C44" s="179" t="s">
        <v>64</v>
      </c>
      <c r="D44" s="191">
        <f>VLOOKUP(B44,Sheet1!OQ52:OV122,5,0)</f>
        <v>0.36336666666666667</v>
      </c>
      <c r="E44" s="192">
        <f>VLOOKUP(B44,Sheet1!OQ52:OV122,3,0)</f>
        <v>1.1686000000000001</v>
      </c>
      <c r="F44" s="192">
        <f>VLOOKUP(B44,Sheet1!OQ52:OV122,6,0)</f>
        <v>37.204799999999999</v>
      </c>
      <c r="G44" s="179"/>
    </row>
    <row r="45" spans="1:7" x14ac:dyDescent="0.25">
      <c r="A45" s="179">
        <v>43</v>
      </c>
      <c r="B45" s="179">
        <v>9640</v>
      </c>
      <c r="C45" s="179" t="s">
        <v>65</v>
      </c>
      <c r="D45" s="191">
        <f>VLOOKUP(B45,Sheet1!OQ53:OV123,5,0)</f>
        <v>0.34162916666666665</v>
      </c>
      <c r="E45" s="192">
        <f>VLOOKUP(B45,Sheet1!OQ53:OV123,3,0)</f>
        <v>1.0987</v>
      </c>
      <c r="F45" s="192">
        <f>VLOOKUP(B45,Sheet1!OQ53:OV123,6,0)</f>
        <v>37.2014</v>
      </c>
      <c r="G45" s="179"/>
    </row>
    <row r="46" spans="1:7" x14ac:dyDescent="0.25">
      <c r="A46" s="179">
        <v>44</v>
      </c>
      <c r="B46" s="179">
        <v>9871</v>
      </c>
      <c r="C46" s="179" t="s">
        <v>66</v>
      </c>
      <c r="D46" s="191">
        <f>VLOOKUP(B46,Sheet1!OQ54:OV124,5,0)</f>
        <v>0.37356666666666666</v>
      </c>
      <c r="E46" s="192">
        <f>VLOOKUP(B46,Sheet1!OQ54:OV124,3,0)</f>
        <v>1.2014</v>
      </c>
      <c r="F46" s="192">
        <f>VLOOKUP(B46,Sheet1!OQ54:OV124,6,0)</f>
        <v>37.222299999999997</v>
      </c>
      <c r="G46" s="179"/>
    </row>
    <row r="47" spans="1:7" x14ac:dyDescent="0.25">
      <c r="A47" s="179">
        <v>45</v>
      </c>
      <c r="B47" s="179">
        <v>9890</v>
      </c>
      <c r="C47" s="179" t="s">
        <v>67</v>
      </c>
      <c r="D47" s="191">
        <f>VLOOKUP(B47,Sheet1!OQ55:OV125,5,0)</f>
        <v>0.36336666666666667</v>
      </c>
      <c r="E47" s="192">
        <f>VLOOKUP(B47,Sheet1!OQ55:OV125,3,0)</f>
        <v>1.1686000000000001</v>
      </c>
      <c r="F47" s="192">
        <f>VLOOKUP(B47,Sheet1!OQ55:OV125,6,0)</f>
        <v>36.754800000000003</v>
      </c>
      <c r="G47" s="179"/>
    </row>
    <row r="48" spans="1:7" x14ac:dyDescent="0.25">
      <c r="A48" s="179">
        <v>46</v>
      </c>
      <c r="B48" s="179">
        <v>9353</v>
      </c>
      <c r="C48" s="179" t="s">
        <v>68</v>
      </c>
      <c r="D48" s="191">
        <f>VLOOKUP(B48,Sheet1!OQ56:OV126,5,0)</f>
        <v>0.67029583333333331</v>
      </c>
      <c r="E48" s="192">
        <f>VLOOKUP(B48,Sheet1!OQ56:OV126,3,0)</f>
        <v>2.1556999999999999</v>
      </c>
      <c r="F48" s="192">
        <f>VLOOKUP(B48,Sheet1!OQ56:OV126,6,0)</f>
        <v>36.998699999999999</v>
      </c>
      <c r="G48" s="179"/>
    </row>
    <row r="49" spans="1:7" x14ac:dyDescent="0.25">
      <c r="A49" s="179">
        <v>47</v>
      </c>
      <c r="B49" s="179">
        <v>9888</v>
      </c>
      <c r="C49" s="179" t="s">
        <v>69</v>
      </c>
      <c r="D49" s="191">
        <f>VLOOKUP(B49,Sheet1!OQ57:OV127,5,0)</f>
        <v>0.36336666666666667</v>
      </c>
      <c r="E49" s="192">
        <f>VLOOKUP(B49,Sheet1!OQ57:OV127,3,0)</f>
        <v>1.1686000000000001</v>
      </c>
      <c r="F49" s="192">
        <f>VLOOKUP(B49,Sheet1!OQ57:OV127,6,0)</f>
        <v>36.954799999999999</v>
      </c>
      <c r="G49" s="179"/>
    </row>
    <row r="50" spans="1:7" x14ac:dyDescent="0.25">
      <c r="A50" s="179">
        <v>48</v>
      </c>
      <c r="B50" s="179">
        <v>9595</v>
      </c>
      <c r="C50" s="179" t="s">
        <v>70</v>
      </c>
      <c r="D50" s="191">
        <f>VLOOKUP(B50,Sheet1!OQ58:OV128,5,0)</f>
        <v>0.5378666666666666</v>
      </c>
      <c r="E50" s="192">
        <f>VLOOKUP(B50,Sheet1!OQ58:OV128,3,0)</f>
        <v>1.7298</v>
      </c>
      <c r="F50" s="192">
        <f>VLOOKUP(B50,Sheet1!OQ58:OV128,6,0)</f>
        <v>36.940899999999999</v>
      </c>
      <c r="G50" s="179"/>
    </row>
    <row r="51" spans="1:7" x14ac:dyDescent="0.25">
      <c r="A51" s="179">
        <v>49</v>
      </c>
      <c r="B51" s="179">
        <v>9641</v>
      </c>
      <c r="C51" s="179" t="s">
        <v>71</v>
      </c>
      <c r="D51" s="191">
        <f>VLOOKUP(B51,Sheet1!OQ59:OV129,5,0)</f>
        <v>0.34162916666666665</v>
      </c>
      <c r="E51" s="192">
        <f>VLOOKUP(B51,Sheet1!OQ59:OV129,3,0)</f>
        <v>1.0987</v>
      </c>
      <c r="F51" s="192">
        <f>VLOOKUP(B51,Sheet1!OQ59:OV129,6,0)</f>
        <v>37.211400000000005</v>
      </c>
      <c r="G51" s="179"/>
    </row>
    <row r="52" spans="1:7" x14ac:dyDescent="0.25">
      <c r="A52" s="179">
        <v>50</v>
      </c>
      <c r="B52" s="179">
        <v>9872</v>
      </c>
      <c r="C52" s="179" t="s">
        <v>72</v>
      </c>
      <c r="D52" s="191">
        <f>VLOOKUP(B52,Sheet1!OQ60:OV130,5,0)</f>
        <v>0.34162916666666665</v>
      </c>
      <c r="E52" s="192">
        <f>VLOOKUP(B52,Sheet1!OQ60:OV130,3,0)</f>
        <v>1.0987</v>
      </c>
      <c r="F52" s="192">
        <f>VLOOKUP(B52,Sheet1!OQ60:OV130,6,0)</f>
        <v>37.241399999999999</v>
      </c>
      <c r="G52" s="179"/>
    </row>
    <row r="53" spans="1:7" x14ac:dyDescent="0.25">
      <c r="A53" s="179">
        <v>51</v>
      </c>
      <c r="B53" s="179">
        <v>9349</v>
      </c>
      <c r="C53" s="179" t="s">
        <v>73</v>
      </c>
      <c r="D53" s="191">
        <f>VLOOKUP(B53,Sheet1!OQ61:OV131,5,0)</f>
        <v>0.65200416666666661</v>
      </c>
      <c r="E53" s="192">
        <f>VLOOKUP(B53,Sheet1!OQ61:OV131,3,0)</f>
        <v>2.0969000000000002</v>
      </c>
      <c r="F53" s="192">
        <f>VLOOKUP(B53,Sheet1!OQ61:OV131,6,0)</f>
        <v>36.761099999999999</v>
      </c>
      <c r="G53" s="179"/>
    </row>
    <row r="54" spans="1:7" x14ac:dyDescent="0.25">
      <c r="A54" s="179">
        <v>52</v>
      </c>
      <c r="B54" s="179">
        <v>9639</v>
      </c>
      <c r="C54" s="179" t="s">
        <v>74</v>
      </c>
      <c r="D54" s="191">
        <f>VLOOKUP(B54,Sheet1!OQ62:OV132,5,0)</f>
        <v>0.34162916666666665</v>
      </c>
      <c r="E54" s="192">
        <f>VLOOKUP(B54,Sheet1!OQ62:OV132,3,0)</f>
        <v>1.0987</v>
      </c>
      <c r="F54" s="192">
        <f>VLOOKUP(B54,Sheet1!OQ62:OV132,6,0)</f>
        <v>37.211400000000005</v>
      </c>
      <c r="G54" s="179"/>
    </row>
    <row r="55" spans="1:7" x14ac:dyDescent="0.25">
      <c r="A55" s="179">
        <v>53</v>
      </c>
      <c r="B55" s="179">
        <v>9889</v>
      </c>
      <c r="C55" s="179" t="s">
        <v>75</v>
      </c>
      <c r="D55" s="191">
        <f>VLOOKUP(B55,Sheet1!OQ63:OV133,5,0)</f>
        <v>0.36336666666666667</v>
      </c>
      <c r="E55" s="192">
        <f>VLOOKUP(B55,Sheet1!OQ63:OV133,3,0)</f>
        <v>1.1686000000000001</v>
      </c>
      <c r="F55" s="192">
        <f>VLOOKUP(B55,Sheet1!OQ63:OV133,6,0)</f>
        <v>36.774799999999999</v>
      </c>
      <c r="G55" s="179"/>
    </row>
    <row r="56" spans="1:7" x14ac:dyDescent="0.25">
      <c r="A56" s="179">
        <v>54</v>
      </c>
      <c r="B56" s="179">
        <v>9874</v>
      </c>
      <c r="C56" s="179" t="s">
        <v>76</v>
      </c>
      <c r="D56" s="191">
        <f>VLOOKUP(B56,Sheet1!OQ64:OV134,5,0)</f>
        <v>0.3268166666666667</v>
      </c>
      <c r="E56" s="192">
        <f>VLOOKUP(B56,Sheet1!OQ64:OV134,3,0)</f>
        <v>1.0510999999999999</v>
      </c>
      <c r="F56" s="192">
        <f>VLOOKUP(B56,Sheet1!OQ64:OV134,6,0)</f>
        <v>36.7395</v>
      </c>
      <c r="G56" s="179"/>
    </row>
    <row r="57" spans="1:7" x14ac:dyDescent="0.25">
      <c r="A57" s="179">
        <v>55</v>
      </c>
      <c r="B57" s="179">
        <v>9635</v>
      </c>
      <c r="C57" s="179" t="s">
        <v>77</v>
      </c>
      <c r="D57" s="191">
        <f>VLOOKUP(B57,Sheet1!OQ65:OV135,5,0)</f>
        <v>0.51887916666666667</v>
      </c>
      <c r="E57" s="192">
        <f>VLOOKUP(B57,Sheet1!OQ65:OV135,3,0)</f>
        <v>1.6688000000000001</v>
      </c>
      <c r="F57" s="192">
        <f>VLOOKUP(B57,Sheet1!OQ65:OV135,6,0)</f>
        <v>37.014199999999995</v>
      </c>
      <c r="G57" s="179"/>
    </row>
    <row r="58" spans="1:7" x14ac:dyDescent="0.25">
      <c r="A58" s="179">
        <v>56</v>
      </c>
      <c r="B58" s="179">
        <v>9637</v>
      </c>
      <c r="C58" s="179" t="s">
        <v>78</v>
      </c>
      <c r="D58" s="191">
        <f>VLOOKUP(B58,Sheet1!OQ66:OV136,5,0)</f>
        <v>0.34039583333333329</v>
      </c>
      <c r="E58" s="192">
        <f>VLOOKUP(B58,Sheet1!OQ66:OV136,3,0)</f>
        <v>1.0947</v>
      </c>
      <c r="F58" s="192">
        <f>VLOOKUP(B58,Sheet1!OQ66:OV136,6,0)</f>
        <v>37.232900000000001</v>
      </c>
      <c r="G58" s="179"/>
    </row>
    <row r="59" spans="1:7" x14ac:dyDescent="0.25">
      <c r="A59" s="179">
        <v>57</v>
      </c>
      <c r="B59" s="179">
        <v>9350</v>
      </c>
      <c r="C59" s="179" t="s">
        <v>79</v>
      </c>
      <c r="D59" s="191">
        <f>VLOOKUP(B59,Sheet1!OQ67:OV137,5,0)</f>
        <v>0.69249583333333342</v>
      </c>
      <c r="E59" s="192">
        <f>VLOOKUP(B59,Sheet1!OQ67:OV137,3,0)</f>
        <v>2.2271000000000001</v>
      </c>
      <c r="F59" s="192">
        <f>VLOOKUP(B59,Sheet1!OQ67:OV137,6,0)</f>
        <v>37.241500000000002</v>
      </c>
      <c r="G59" s="179"/>
    </row>
    <row r="60" spans="1:7" x14ac:dyDescent="0.25">
      <c r="A60" s="179">
        <v>58</v>
      </c>
      <c r="B60" s="179">
        <v>9540</v>
      </c>
      <c r="C60" s="179" t="s">
        <v>80</v>
      </c>
      <c r="D60" s="191">
        <f>VLOOKUP(B60,Sheet1!OQ68:OV138,5,0)</f>
        <v>0.62614166666666671</v>
      </c>
      <c r="E60" s="192">
        <f>VLOOKUP(B60,Sheet1!OQ68:OV138,3,0)</f>
        <v>2.0137</v>
      </c>
      <c r="F60" s="192">
        <f>VLOOKUP(B60,Sheet1!OQ68:OV138,6,0)</f>
        <v>36.082799999999999</v>
      </c>
      <c r="G60" s="179"/>
    </row>
    <row r="61" spans="1:7" x14ac:dyDescent="0.25">
      <c r="A61" s="179">
        <v>59</v>
      </c>
      <c r="B61" s="179">
        <v>9876</v>
      </c>
      <c r="C61" s="179" t="s">
        <v>81</v>
      </c>
      <c r="D61" s="191">
        <f>VLOOKUP(B61,Sheet1!OQ69:OV139,5,0)</f>
        <v>0.308975</v>
      </c>
      <c r="E61" s="192">
        <f>VLOOKUP(B61,Sheet1!OQ69:OV139,3,0)</f>
        <v>0.99370000000000003</v>
      </c>
      <c r="F61" s="192">
        <f>VLOOKUP(B61,Sheet1!OQ69:OV139,6,0)</f>
        <v>36.621400000000001</v>
      </c>
      <c r="G61" s="179"/>
    </row>
    <row r="62" spans="1:7" x14ac:dyDescent="0.25">
      <c r="A62" s="179">
        <v>60</v>
      </c>
      <c r="B62" s="179">
        <v>9538</v>
      </c>
      <c r="C62" s="179" t="s">
        <v>82</v>
      </c>
      <c r="D62" s="191">
        <f>VLOOKUP(B62,Sheet1!OQ70:OV140,5,0)</f>
        <v>0.63199166666666662</v>
      </c>
      <c r="E62" s="192">
        <f>VLOOKUP(B62,Sheet1!OQ70:OV140,3,0)</f>
        <v>2.0325000000000002</v>
      </c>
      <c r="F62" s="192">
        <f>VLOOKUP(B62,Sheet1!OQ70:OV140,6,0)</f>
        <v>36.055599999999998</v>
      </c>
      <c r="G62" s="179"/>
    </row>
    <row r="63" spans="1:7" x14ac:dyDescent="0.25">
      <c r="A63" s="179">
        <v>61</v>
      </c>
      <c r="B63" s="179">
        <v>9891</v>
      </c>
      <c r="C63" s="179" t="s">
        <v>83</v>
      </c>
      <c r="D63" s="191">
        <f>VLOOKUP(B63,Sheet1!OQ71:OV141,5,0)</f>
        <v>0.31656250000000002</v>
      </c>
      <c r="E63" s="192">
        <f>VLOOKUP(B63,Sheet1!OQ71:OV141,3,0)</f>
        <v>1.0181</v>
      </c>
      <c r="F63" s="192">
        <f>VLOOKUP(B63,Sheet1!OQ71:OV141,6,0)</f>
        <v>36.982099999999996</v>
      </c>
      <c r="G63" s="179"/>
    </row>
    <row r="64" spans="1:7" x14ac:dyDescent="0.25">
      <c r="A64" s="179">
        <v>62</v>
      </c>
      <c r="B64" s="179">
        <v>9537</v>
      </c>
      <c r="C64" s="179" t="s">
        <v>84</v>
      </c>
      <c r="D64" s="191">
        <f>VLOOKUP(B64,Sheet1!OQ72:OV142,5,0)</f>
        <v>0.63199166666666662</v>
      </c>
      <c r="E64" s="192">
        <f>VLOOKUP(B64,Sheet1!OQ72:OV142,3,0)</f>
        <v>2.0325000000000002</v>
      </c>
      <c r="F64" s="192">
        <f>VLOOKUP(B64,Sheet1!OQ72:OV142,6,0)</f>
        <v>35.685600000000001</v>
      </c>
      <c r="G64" s="179"/>
    </row>
    <row r="65" spans="1:10" x14ac:dyDescent="0.25">
      <c r="A65" s="179">
        <v>63</v>
      </c>
      <c r="B65" s="179">
        <v>9536</v>
      </c>
      <c r="C65" s="179" t="s">
        <v>85</v>
      </c>
      <c r="D65" s="191">
        <f>VLOOKUP(B65,Sheet1!OQ73:OV143,5,0)</f>
        <v>0.63199166666666662</v>
      </c>
      <c r="E65" s="192">
        <f>VLOOKUP(B65,Sheet1!OQ73:OV143,3,0)</f>
        <v>2.0325000000000002</v>
      </c>
      <c r="F65" s="192">
        <f>VLOOKUP(B65,Sheet1!OQ73:OV143,6,0)</f>
        <v>35.635599999999997</v>
      </c>
      <c r="G65" s="179"/>
    </row>
    <row r="66" spans="1:10" x14ac:dyDescent="0.25">
      <c r="A66" s="179">
        <v>64</v>
      </c>
      <c r="B66" s="179">
        <v>9875</v>
      </c>
      <c r="C66" s="179" t="s">
        <v>86</v>
      </c>
      <c r="D66" s="191">
        <f>VLOOKUP(B66,Sheet1!OQ74:OV144,5,0)</f>
        <v>0.27723749999999997</v>
      </c>
      <c r="E66" s="192">
        <f>VLOOKUP(B66,Sheet1!OQ74:OV144,3,0)</f>
        <v>0.89159999999999995</v>
      </c>
      <c r="F66" s="192">
        <f>VLOOKUP(B66,Sheet1!OQ74:OV144,6,0)</f>
        <v>36.600299999999997</v>
      </c>
      <c r="G66" s="179"/>
    </row>
    <row r="67" spans="1:10" x14ac:dyDescent="0.25">
      <c r="A67" s="179">
        <v>65</v>
      </c>
      <c r="B67" s="179">
        <v>9535</v>
      </c>
      <c r="C67" s="179" t="s">
        <v>87</v>
      </c>
      <c r="D67" s="191">
        <f>VLOOKUP(B67,Sheet1!OQ75:OV145,5,0)</f>
        <v>0.63009166666666661</v>
      </c>
      <c r="E67" s="192">
        <f>VLOOKUP(B67,Sheet1!OQ75:OV145,3,0)</f>
        <v>2.0264000000000002</v>
      </c>
      <c r="F67" s="192">
        <f>VLOOKUP(B67,Sheet1!OQ75:OV145,6,0)</f>
        <v>34.927900000000001</v>
      </c>
      <c r="G67" s="179"/>
    </row>
    <row r="68" spans="1:10" x14ac:dyDescent="0.25">
      <c r="A68" s="179">
        <v>66</v>
      </c>
      <c r="B68" s="179">
        <v>6710</v>
      </c>
      <c r="C68" s="179" t="s">
        <v>124</v>
      </c>
      <c r="D68" s="191">
        <f>VLOOKUP(B68,Sheet1!OQ76:OV146,5,0)</f>
        <v>5.32375E-2</v>
      </c>
      <c r="E68" s="192">
        <f>VLOOKUP(B68,Sheet1!OQ76:OV146,3,0)</f>
        <v>0.17119999999999999</v>
      </c>
      <c r="F68" s="192">
        <f>VLOOKUP(B68,Sheet1!OQ76:OV146,6,0)</f>
        <v>37.934800000000003</v>
      </c>
      <c r="G68" s="179"/>
    </row>
    <row r="69" spans="1:10" x14ac:dyDescent="0.25">
      <c r="A69" s="179">
        <v>67</v>
      </c>
      <c r="B69" s="179">
        <v>9542</v>
      </c>
      <c r="C69" s="179" t="s">
        <v>125</v>
      </c>
      <c r="D69" s="191">
        <f>VLOOKUP(B69,Sheet1!OQ77:OV147,5,0)</f>
        <v>0.63068333333333337</v>
      </c>
      <c r="E69" s="192">
        <f>VLOOKUP(B69,Sheet1!OQ77:OV147,3,0)</f>
        <v>2.0283000000000002</v>
      </c>
      <c r="F69" s="192">
        <f>VLOOKUP(B69,Sheet1!OQ77:OV147,6,0)</f>
        <v>35.377200000000002</v>
      </c>
      <c r="G69" s="179"/>
    </row>
    <row r="70" spans="1:10" x14ac:dyDescent="0.25">
      <c r="A70" s="179">
        <v>68</v>
      </c>
      <c r="B70" s="179">
        <v>9541</v>
      </c>
      <c r="C70" s="179" t="s">
        <v>88</v>
      </c>
      <c r="D70" s="191">
        <f>VLOOKUP(B70,Sheet1!OQ78:OV148,5,0)</f>
        <v>0.63199166666666662</v>
      </c>
      <c r="E70" s="192">
        <f>VLOOKUP(B70,Sheet1!OQ78:OV148,3,0)</f>
        <v>2.0325000000000002</v>
      </c>
      <c r="F70" s="192">
        <f>VLOOKUP(B70,Sheet1!OQ78:OV148,6,0)</f>
        <v>35.325600000000001</v>
      </c>
      <c r="G70" s="179"/>
    </row>
    <row r="71" spans="1:10" x14ac:dyDescent="0.25">
      <c r="A71" s="179">
        <v>69</v>
      </c>
      <c r="B71" s="179">
        <v>9539</v>
      </c>
      <c r="C71" s="179" t="s">
        <v>89</v>
      </c>
      <c r="D71" s="191">
        <f>VLOOKUP(B71,Sheet1!OQ79:OV149,5,0)</f>
        <v>0.64549583333333327</v>
      </c>
      <c r="E71" s="192">
        <f>VLOOKUP(B71,Sheet1!OQ79:OV149,3,0)</f>
        <v>2.0760000000000001</v>
      </c>
      <c r="F71" s="192">
        <f>VLOOKUP(B71,Sheet1!OQ79:OV149,6,0)</f>
        <v>35.929099999999998</v>
      </c>
      <c r="G71" s="179"/>
    </row>
    <row r="72" spans="1:10" x14ac:dyDescent="0.25">
      <c r="A72" s="179">
        <v>70</v>
      </c>
      <c r="B72" s="179">
        <v>9543</v>
      </c>
      <c r="C72" s="179" t="s">
        <v>90</v>
      </c>
      <c r="D72" s="191">
        <f>VLOOKUP(B72,Sheet1!OQ80:OV150,5,0)</f>
        <v>0.49584583333333332</v>
      </c>
      <c r="E72" s="192">
        <f>VLOOKUP(B72,Sheet1!OQ80:OV150,3,0)</f>
        <v>1.5947</v>
      </c>
      <c r="F72" s="192">
        <f>VLOOKUP(B72,Sheet1!OQ80:OV150,6,0)</f>
        <v>36.3324</v>
      </c>
      <c r="G72" s="179"/>
    </row>
    <row r="73" spans="1:10" x14ac:dyDescent="0.25">
      <c r="A73" s="179">
        <v>71</v>
      </c>
      <c r="B73" s="179">
        <v>6688</v>
      </c>
      <c r="C73" s="179" t="s">
        <v>126</v>
      </c>
      <c r="D73" s="191">
        <f>VLOOKUP(B73,Sheet1!OQ81:OV151,5,0)</f>
        <v>5.4337500000000004E-2</v>
      </c>
      <c r="E73" s="192">
        <f>VLOOKUP(B73,Sheet1!OQ81:OV151,3,0)</f>
        <v>0.17480000000000001</v>
      </c>
      <c r="F73" s="192">
        <f>VLOOKUP(B73,Sheet1!OQ81:OV151,6,0)</f>
        <v>37.933399999999999</v>
      </c>
      <c r="G73" s="179"/>
    </row>
    <row r="74" spans="1:10" x14ac:dyDescent="0.25">
      <c r="E74" s="200"/>
      <c r="F74" s="3"/>
    </row>
    <row r="75" spans="1:10" x14ac:dyDescent="0.25">
      <c r="E75" s="232"/>
      <c r="F75" s="232"/>
    </row>
    <row r="76" spans="1:10" x14ac:dyDescent="0.25">
      <c r="J76" s="18"/>
    </row>
    <row r="77" spans="1:10" x14ac:dyDescent="0.25">
      <c r="D77" s="112"/>
      <c r="J77" s="112"/>
    </row>
    <row r="78" spans="1:10" x14ac:dyDescent="0.25">
      <c r="D78" s="112"/>
      <c r="J78" s="112"/>
    </row>
    <row r="79" spans="1:10" x14ac:dyDescent="0.25">
      <c r="D79" s="112"/>
      <c r="J79" s="112"/>
    </row>
    <row r="80" spans="1:10" x14ac:dyDescent="0.25">
      <c r="D80" s="113"/>
      <c r="J80" s="112"/>
    </row>
    <row r="81" spans="4:12" x14ac:dyDescent="0.25">
      <c r="D81" s="112"/>
      <c r="J81" s="113"/>
    </row>
    <row r="82" spans="4:12" x14ac:dyDescent="0.25">
      <c r="D82" s="112"/>
      <c r="J82" s="112"/>
    </row>
    <row r="83" spans="4:12" x14ac:dyDescent="0.25">
      <c r="D83" s="113"/>
      <c r="J83" s="112"/>
      <c r="L83" s="111"/>
    </row>
    <row r="84" spans="4:12" x14ac:dyDescent="0.25">
      <c r="J84" s="113"/>
    </row>
  </sheetData>
  <mergeCells count="4">
    <mergeCell ref="A1:A2"/>
    <mergeCell ref="C1:C2"/>
    <mergeCell ref="D1:E1"/>
    <mergeCell ref="G1:G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91"/>
  <sheetViews>
    <sheetView topLeftCell="FJ1" zoomScaleNormal="100" zoomScaleSheetLayoutView="100" workbookViewId="0">
      <selection activeCell="FZ69" sqref="FZ69"/>
    </sheetView>
  </sheetViews>
  <sheetFormatPr defaultRowHeight="15" x14ac:dyDescent="0.25"/>
  <cols>
    <col min="5" max="5" width="11.7109375" customWidth="1"/>
    <col min="12" max="12" width="11.28515625" bestFit="1" customWidth="1"/>
    <col min="15" max="15" width="14" bestFit="1" customWidth="1"/>
    <col min="16" max="16" width="11.140625" bestFit="1" customWidth="1"/>
    <col min="17" max="17" width="9.42578125" bestFit="1" customWidth="1"/>
    <col min="18" max="18" width="10.42578125" bestFit="1" customWidth="1"/>
    <col min="19" max="19" width="14" bestFit="1" customWidth="1"/>
    <col min="22" max="22" width="14" bestFit="1" customWidth="1"/>
    <col min="23" max="23" width="11.140625" bestFit="1" customWidth="1"/>
    <col min="24" max="24" width="9.42578125" bestFit="1" customWidth="1"/>
    <col min="25" max="25" width="10.42578125" bestFit="1" customWidth="1"/>
    <col min="26" max="26" width="14" bestFit="1" customWidth="1"/>
    <col min="29" max="29" width="14" bestFit="1" customWidth="1"/>
    <col min="30" max="30" width="11.140625" bestFit="1" customWidth="1"/>
    <col min="31" max="31" width="9.42578125" bestFit="1" customWidth="1"/>
    <col min="32" max="32" width="10.42578125" bestFit="1" customWidth="1"/>
    <col min="33" max="33" width="14" bestFit="1" customWidth="1"/>
    <col min="36" max="36" width="14" bestFit="1" customWidth="1"/>
    <col min="37" max="37" width="11.140625" bestFit="1" customWidth="1"/>
    <col min="38" max="38" width="9.42578125" bestFit="1" customWidth="1"/>
    <col min="39" max="39" width="10.42578125" bestFit="1" customWidth="1"/>
    <col min="40" max="40" width="14" bestFit="1" customWidth="1"/>
    <col min="43" max="43" width="14" bestFit="1" customWidth="1"/>
    <col min="44" max="44" width="11.140625" bestFit="1" customWidth="1"/>
    <col min="45" max="45" width="9.42578125" bestFit="1" customWidth="1"/>
    <col min="46" max="46" width="10.42578125" bestFit="1" customWidth="1"/>
    <col min="47" max="47" width="14" bestFit="1" customWidth="1"/>
    <col min="50" max="50" width="10.7109375" bestFit="1" customWidth="1"/>
    <col min="51" max="51" width="8.7109375" bestFit="1" customWidth="1"/>
    <col min="52" max="52" width="8.140625" bestFit="1" customWidth="1"/>
    <col min="53" max="53" width="9" customWidth="1"/>
    <col min="54" max="54" width="11.28515625" bestFit="1" customWidth="1"/>
    <col min="61" max="61" width="11.28515625" bestFit="1" customWidth="1"/>
    <col min="64" max="64" width="9.140625" style="199" customWidth="1"/>
    <col min="65" max="67" width="9.140625" style="199"/>
    <col min="68" max="68" width="11.28515625" style="199" bestFit="1" customWidth="1"/>
    <col min="75" max="75" width="11.28515625" bestFit="1" customWidth="1"/>
    <col min="79" max="79" width="9.28515625" bestFit="1" customWidth="1"/>
    <col min="80" max="80" width="8.140625" bestFit="1" customWidth="1"/>
    <col min="82" max="82" width="11.28515625" bestFit="1" customWidth="1"/>
    <col min="85" max="85" width="9.140625" style="208"/>
    <col min="86" max="86" width="9" style="208" bestFit="1" customWidth="1"/>
    <col min="87" max="87" width="8.140625" style="208" bestFit="1" customWidth="1"/>
    <col min="88" max="88" width="9.140625" style="208"/>
    <col min="89" max="89" width="11.28515625" style="208" bestFit="1" customWidth="1"/>
    <col min="96" max="96" width="11.140625" bestFit="1" customWidth="1"/>
    <col min="103" max="103" width="11.140625" bestFit="1" customWidth="1"/>
    <col min="106" max="106" width="9.140625" style="223"/>
    <col min="107" max="107" width="12.5703125" style="223" bestFit="1" customWidth="1"/>
    <col min="108" max="108" width="9.140625" style="223"/>
    <col min="109" max="109" width="11.5703125" style="223" bestFit="1" customWidth="1"/>
    <col min="110" max="110" width="11.140625" style="223" bestFit="1" customWidth="1"/>
    <col min="113" max="113" width="9.140625" style="228"/>
    <col min="114" max="114" width="12.5703125" style="228" bestFit="1" customWidth="1"/>
    <col min="115" max="115" width="9.140625" style="228"/>
    <col min="116" max="116" width="11.5703125" style="228" bestFit="1" customWidth="1"/>
    <col min="117" max="117" width="11.140625" style="228" bestFit="1" customWidth="1"/>
    <col min="122" max="122" width="8" bestFit="1" customWidth="1"/>
    <col min="123" max="123" width="11.5703125" bestFit="1" customWidth="1"/>
    <col min="124" max="124" width="11.140625" bestFit="1" customWidth="1"/>
    <col min="131" max="131" width="11.140625" bestFit="1" customWidth="1"/>
    <col min="134" max="137" width="9.140625" style="231"/>
    <col min="138" max="138" width="11.140625" style="231" bestFit="1" customWidth="1"/>
    <col min="142" max="142" width="8.5703125" bestFit="1" customWidth="1"/>
    <col min="143" max="143" width="8" bestFit="1" customWidth="1"/>
    <col min="144" max="144" width="8.85546875" bestFit="1" customWidth="1"/>
    <col min="145" max="145" width="11.140625" bestFit="1" customWidth="1"/>
    <col min="148" max="148" width="9.140625" style="246"/>
    <col min="149" max="149" width="8.5703125" style="246" bestFit="1" customWidth="1"/>
    <col min="150" max="150" width="8" style="246" bestFit="1" customWidth="1"/>
    <col min="151" max="151" width="8.85546875" style="246" bestFit="1" customWidth="1"/>
    <col min="152" max="152" width="11.140625" style="246" bestFit="1" customWidth="1"/>
    <col min="155" max="155" width="9.140625" style="250"/>
    <col min="156" max="156" width="8.5703125" style="250" bestFit="1" customWidth="1"/>
    <col min="157" max="157" width="8" style="250" bestFit="1" customWidth="1"/>
    <col min="158" max="158" width="8.85546875" style="250" bestFit="1" customWidth="1"/>
    <col min="159" max="159" width="11.140625" style="250" bestFit="1" customWidth="1"/>
    <col min="163" max="163" width="8.5703125" bestFit="1" customWidth="1"/>
    <col min="164" max="164" width="8" bestFit="1" customWidth="1"/>
    <col min="165" max="165" width="8.85546875" bestFit="1" customWidth="1"/>
    <col min="166" max="166" width="11.140625" bestFit="1" customWidth="1"/>
    <col min="169" max="169" width="9.140625" style="250"/>
    <col min="170" max="170" width="8.5703125" style="250" bestFit="1" customWidth="1"/>
    <col min="171" max="171" width="8" style="250" bestFit="1" customWidth="1"/>
    <col min="172" max="172" width="8.85546875" style="250" bestFit="1" customWidth="1"/>
    <col min="173" max="173" width="11.140625" style="250" bestFit="1" customWidth="1"/>
    <col min="176" max="176" width="9.140625" style="250"/>
    <col min="177" max="177" width="8.5703125" style="250" bestFit="1" customWidth="1"/>
    <col min="178" max="178" width="8" style="250" bestFit="1" customWidth="1"/>
    <col min="179" max="179" width="8.85546875" style="250" bestFit="1" customWidth="1"/>
    <col min="180" max="180" width="11.140625" style="250" bestFit="1" customWidth="1"/>
  </cols>
  <sheetData>
    <row r="1" spans="1:180" x14ac:dyDescent="0.25">
      <c r="A1" s="279" t="s">
        <v>132</v>
      </c>
      <c r="B1" s="279"/>
      <c r="C1" s="279"/>
      <c r="D1" s="279"/>
      <c r="E1" s="279"/>
      <c r="H1" s="279" t="s">
        <v>132</v>
      </c>
      <c r="I1" s="279"/>
      <c r="J1" s="279"/>
      <c r="K1" s="279"/>
      <c r="L1" s="279"/>
      <c r="O1" s="279" t="s">
        <v>153</v>
      </c>
      <c r="P1" s="279"/>
      <c r="Q1" s="279"/>
      <c r="R1" s="279"/>
      <c r="S1" s="279"/>
      <c r="V1" s="279" t="s">
        <v>153</v>
      </c>
      <c r="W1" s="279"/>
      <c r="X1" s="279"/>
      <c r="Y1" s="279"/>
      <c r="Z1" s="279"/>
      <c r="AC1" s="279" t="s">
        <v>153</v>
      </c>
      <c r="AD1" s="279"/>
      <c r="AE1" s="279"/>
      <c r="AF1" s="279"/>
      <c r="AG1" s="279"/>
      <c r="AJ1" s="279" t="s">
        <v>153</v>
      </c>
      <c r="AK1" s="279"/>
      <c r="AL1" s="279"/>
      <c r="AM1" s="279"/>
      <c r="AN1" s="279"/>
      <c r="AQ1" s="279" t="s">
        <v>153</v>
      </c>
      <c r="AR1" s="279"/>
      <c r="AS1" s="279"/>
      <c r="AT1" s="279"/>
      <c r="AU1" s="279"/>
      <c r="AX1" s="279" t="s">
        <v>153</v>
      </c>
      <c r="AY1" s="279"/>
      <c r="AZ1" s="279"/>
      <c r="BA1" s="279"/>
      <c r="BB1" s="279"/>
      <c r="BE1" s="279" t="s">
        <v>153</v>
      </c>
      <c r="BF1" s="279"/>
      <c r="BG1" s="279"/>
      <c r="BH1" s="279"/>
      <c r="BI1" s="279"/>
      <c r="BL1" s="279" t="s">
        <v>153</v>
      </c>
      <c r="BM1" s="279"/>
      <c r="BN1" s="279"/>
      <c r="BO1" s="279"/>
      <c r="BP1" s="279"/>
      <c r="BS1" s="279" t="s">
        <v>153</v>
      </c>
      <c r="BT1" s="279"/>
      <c r="BU1" s="279"/>
      <c r="BV1" s="279"/>
      <c r="BW1" s="279"/>
      <c r="BZ1" s="279" t="s">
        <v>153</v>
      </c>
      <c r="CA1" s="279"/>
      <c r="CB1" s="279"/>
      <c r="CC1" s="279"/>
      <c r="CD1" s="279"/>
      <c r="CG1" s="279" t="s">
        <v>153</v>
      </c>
      <c r="CH1" s="279"/>
      <c r="CI1" s="279"/>
      <c r="CJ1" s="279"/>
      <c r="CK1" s="279"/>
      <c r="CN1" s="279" t="s">
        <v>153</v>
      </c>
      <c r="CO1" s="279"/>
      <c r="CP1" s="279"/>
      <c r="CQ1" s="279"/>
      <c r="CR1" s="279"/>
      <c r="CU1" s="279" t="s">
        <v>153</v>
      </c>
      <c r="CV1" s="279"/>
      <c r="CW1" s="279"/>
      <c r="CX1" s="279"/>
      <c r="CY1" s="279"/>
      <c r="DB1" s="279" t="s">
        <v>153</v>
      </c>
      <c r="DC1" s="279"/>
      <c r="DD1" s="279"/>
      <c r="DE1" s="279"/>
      <c r="DF1" s="279"/>
      <c r="DI1" s="279" t="s">
        <v>153</v>
      </c>
      <c r="DJ1" s="279"/>
      <c r="DK1" s="279"/>
      <c r="DL1" s="279"/>
      <c r="DM1" s="279"/>
      <c r="DN1" s="231"/>
      <c r="DO1" s="231"/>
      <c r="DP1" s="279" t="s">
        <v>153</v>
      </c>
      <c r="DQ1" s="279"/>
      <c r="DR1" s="279"/>
      <c r="DS1" s="279"/>
      <c r="DT1" s="279"/>
      <c r="DW1" s="279" t="s">
        <v>153</v>
      </c>
      <c r="DX1" s="279"/>
      <c r="DY1" s="279"/>
      <c r="DZ1" s="279"/>
      <c r="EA1" s="279"/>
      <c r="ED1" s="279" t="s">
        <v>153</v>
      </c>
      <c r="EE1" s="279"/>
      <c r="EF1" s="279"/>
      <c r="EG1" s="279"/>
      <c r="EH1" s="279"/>
      <c r="EK1" s="279" t="s">
        <v>153</v>
      </c>
      <c r="EL1" s="279"/>
      <c r="EM1" s="279"/>
      <c r="EN1" s="279"/>
      <c r="EO1" s="279"/>
      <c r="ER1" s="279" t="s">
        <v>153</v>
      </c>
      <c r="ES1" s="279"/>
      <c r="ET1" s="279"/>
      <c r="EU1" s="279"/>
      <c r="EV1" s="279"/>
      <c r="EY1" s="279" t="s">
        <v>153</v>
      </c>
      <c r="EZ1" s="279"/>
      <c r="FA1" s="279"/>
      <c r="FB1" s="279"/>
      <c r="FC1" s="279"/>
      <c r="FF1" s="279" t="s">
        <v>153</v>
      </c>
      <c r="FG1" s="279"/>
      <c r="FH1" s="279"/>
      <c r="FI1" s="279"/>
      <c r="FJ1" s="279"/>
      <c r="FM1" s="279" t="s">
        <v>153</v>
      </c>
      <c r="FN1" s="279"/>
      <c r="FO1" s="279"/>
      <c r="FP1" s="279"/>
      <c r="FQ1" s="279"/>
      <c r="FT1" s="279" t="s">
        <v>153</v>
      </c>
      <c r="FU1" s="279"/>
      <c r="FV1" s="279"/>
      <c r="FW1" s="279"/>
      <c r="FX1" s="279"/>
    </row>
    <row r="2" spans="1:180" x14ac:dyDescent="0.25">
      <c r="A2" s="279" t="s">
        <v>133</v>
      </c>
      <c r="B2" s="279"/>
      <c r="C2" s="279"/>
      <c r="D2" s="279"/>
      <c r="E2" s="279"/>
      <c r="H2" s="279" t="s">
        <v>133</v>
      </c>
      <c r="I2" s="279"/>
      <c r="J2" s="279"/>
      <c r="K2" s="279"/>
      <c r="L2" s="279"/>
      <c r="O2" s="279" t="s">
        <v>154</v>
      </c>
      <c r="P2" s="279"/>
      <c r="Q2" s="279"/>
      <c r="R2" s="279"/>
      <c r="S2" s="279"/>
      <c r="V2" s="279" t="s">
        <v>154</v>
      </c>
      <c r="W2" s="279"/>
      <c r="X2" s="279"/>
      <c r="Y2" s="279"/>
      <c r="Z2" s="279"/>
      <c r="AC2" s="279" t="s">
        <v>154</v>
      </c>
      <c r="AD2" s="279"/>
      <c r="AE2" s="279"/>
      <c r="AF2" s="279"/>
      <c r="AG2" s="279"/>
      <c r="AJ2" s="279" t="s">
        <v>154</v>
      </c>
      <c r="AK2" s="279"/>
      <c r="AL2" s="279"/>
      <c r="AM2" s="279"/>
      <c r="AN2" s="279"/>
      <c r="AQ2" s="279" t="s">
        <v>154</v>
      </c>
      <c r="AR2" s="279"/>
      <c r="AS2" s="279"/>
      <c r="AT2" s="279"/>
      <c r="AU2" s="279"/>
      <c r="AX2" s="279" t="s">
        <v>154</v>
      </c>
      <c r="AY2" s="279"/>
      <c r="AZ2" s="279"/>
      <c r="BA2" s="279"/>
      <c r="BB2" s="279"/>
      <c r="BE2" s="279" t="s">
        <v>154</v>
      </c>
      <c r="BF2" s="279"/>
      <c r="BG2" s="279"/>
      <c r="BH2" s="279"/>
      <c r="BI2" s="279"/>
      <c r="BL2" s="279" t="s">
        <v>154</v>
      </c>
      <c r="BM2" s="279"/>
      <c r="BN2" s="279"/>
      <c r="BO2" s="279"/>
      <c r="BP2" s="279"/>
      <c r="BS2" s="279" t="s">
        <v>154</v>
      </c>
      <c r="BT2" s="279"/>
      <c r="BU2" s="279"/>
      <c r="BV2" s="279"/>
      <c r="BW2" s="279"/>
      <c r="BZ2" s="279" t="s">
        <v>154</v>
      </c>
      <c r="CA2" s="279"/>
      <c r="CB2" s="279"/>
      <c r="CC2" s="279"/>
      <c r="CD2" s="279"/>
      <c r="CG2" s="279" t="s">
        <v>154</v>
      </c>
      <c r="CH2" s="279"/>
      <c r="CI2" s="279"/>
      <c r="CJ2" s="279"/>
      <c r="CK2" s="279"/>
      <c r="CN2" s="279" t="s">
        <v>154</v>
      </c>
      <c r="CO2" s="279"/>
      <c r="CP2" s="279"/>
      <c r="CQ2" s="279"/>
      <c r="CR2" s="279"/>
      <c r="CU2" s="279" t="s">
        <v>154</v>
      </c>
      <c r="CV2" s="279"/>
      <c r="CW2" s="279"/>
      <c r="CX2" s="279"/>
      <c r="CY2" s="279"/>
      <c r="DB2" s="279" t="s">
        <v>154</v>
      </c>
      <c r="DC2" s="279"/>
      <c r="DD2" s="279"/>
      <c r="DE2" s="279"/>
      <c r="DF2" s="279"/>
      <c r="DI2" s="279" t="s">
        <v>154</v>
      </c>
      <c r="DJ2" s="279"/>
      <c r="DK2" s="279"/>
      <c r="DL2" s="279"/>
      <c r="DM2" s="279"/>
      <c r="DN2" s="231"/>
      <c r="DO2" s="231"/>
      <c r="DP2" s="279" t="s">
        <v>154</v>
      </c>
      <c r="DQ2" s="279"/>
      <c r="DR2" s="279"/>
      <c r="DS2" s="279"/>
      <c r="DT2" s="279"/>
      <c r="DW2" s="279" t="s">
        <v>154</v>
      </c>
      <c r="DX2" s="279"/>
      <c r="DY2" s="279"/>
      <c r="DZ2" s="279"/>
      <c r="EA2" s="279"/>
      <c r="ED2" s="279" t="s">
        <v>154</v>
      </c>
      <c r="EE2" s="279"/>
      <c r="EF2" s="279"/>
      <c r="EG2" s="279"/>
      <c r="EH2" s="279"/>
      <c r="EK2" s="279" t="s">
        <v>154</v>
      </c>
      <c r="EL2" s="279"/>
      <c r="EM2" s="279"/>
      <c r="EN2" s="279"/>
      <c r="EO2" s="279"/>
      <c r="ER2" s="279" t="s">
        <v>154</v>
      </c>
      <c r="ES2" s="279"/>
      <c r="ET2" s="279"/>
      <c r="EU2" s="279"/>
      <c r="EV2" s="279"/>
      <c r="EY2" s="279" t="s">
        <v>154</v>
      </c>
      <c r="EZ2" s="279"/>
      <c r="FA2" s="279"/>
      <c r="FB2" s="279"/>
      <c r="FC2" s="279"/>
      <c r="FF2" s="279" t="s">
        <v>154</v>
      </c>
      <c r="FG2" s="279"/>
      <c r="FH2" s="279"/>
      <c r="FI2" s="279"/>
      <c r="FJ2" s="279"/>
      <c r="FM2" s="279" t="s">
        <v>154</v>
      </c>
      <c r="FN2" s="279"/>
      <c r="FO2" s="279"/>
      <c r="FP2" s="279"/>
      <c r="FQ2" s="279"/>
      <c r="FT2" s="279" t="s">
        <v>154</v>
      </c>
      <c r="FU2" s="279"/>
      <c r="FV2" s="279"/>
      <c r="FW2" s="279"/>
      <c r="FX2" s="279"/>
    </row>
    <row r="3" spans="1:180" x14ac:dyDescent="0.25">
      <c r="AX3" s="181"/>
      <c r="AY3" s="181"/>
      <c r="AZ3" s="181"/>
      <c r="BA3" s="181"/>
      <c r="BB3" s="181"/>
      <c r="BE3" s="183"/>
      <c r="BF3" s="183"/>
      <c r="BG3" s="183"/>
      <c r="BH3" s="183"/>
      <c r="BI3" s="183"/>
      <c r="BS3" s="202"/>
      <c r="BT3" s="202"/>
      <c r="BU3" s="202"/>
      <c r="BV3" s="202"/>
      <c r="BW3" s="202"/>
      <c r="BZ3" s="204"/>
      <c r="CA3" s="204"/>
      <c r="CB3" s="204"/>
      <c r="CC3" s="204"/>
      <c r="CD3" s="204"/>
      <c r="CN3" s="213"/>
      <c r="CO3" s="213"/>
      <c r="CP3" s="213"/>
      <c r="CQ3" s="213"/>
      <c r="CR3" s="213"/>
      <c r="CU3" s="219"/>
      <c r="CV3" s="219"/>
      <c r="CW3" s="219"/>
      <c r="CX3" s="219"/>
      <c r="CY3" s="219"/>
      <c r="DN3" s="231"/>
      <c r="DO3" s="231"/>
      <c r="DP3" s="231"/>
      <c r="DQ3" s="231"/>
      <c r="DR3" s="231"/>
      <c r="DS3" s="231"/>
      <c r="DT3" s="231"/>
      <c r="DW3" s="231"/>
      <c r="DX3" s="231"/>
      <c r="DY3" s="231"/>
      <c r="DZ3" s="231"/>
      <c r="EA3" s="231"/>
      <c r="EK3" s="231"/>
      <c r="EL3" s="231"/>
      <c r="EM3" s="231"/>
      <c r="EN3" s="231"/>
      <c r="EO3" s="231"/>
      <c r="FF3" s="250"/>
      <c r="FG3" s="250"/>
      <c r="FH3" s="250"/>
      <c r="FI3" s="250"/>
      <c r="FJ3" s="250"/>
    </row>
    <row r="4" spans="1:180" x14ac:dyDescent="0.25">
      <c r="A4" s="257" t="s">
        <v>149</v>
      </c>
      <c r="B4" s="257"/>
      <c r="C4" s="257"/>
      <c r="D4" s="257"/>
      <c r="E4" s="257"/>
      <c r="H4" s="257" t="s">
        <v>148</v>
      </c>
      <c r="I4" s="257"/>
      <c r="J4" s="257"/>
      <c r="K4" s="257"/>
      <c r="L4" s="257"/>
      <c r="O4" s="257" t="s">
        <v>155</v>
      </c>
      <c r="P4" s="257"/>
      <c r="Q4" s="257"/>
      <c r="R4" s="257"/>
      <c r="S4" s="257"/>
      <c r="V4" s="257" t="s">
        <v>161</v>
      </c>
      <c r="W4" s="257"/>
      <c r="X4" s="257"/>
      <c r="Y4" s="257"/>
      <c r="Z4" s="257"/>
      <c r="AC4" s="257" t="s">
        <v>165</v>
      </c>
      <c r="AD4" s="257"/>
      <c r="AE4" s="257"/>
      <c r="AF4" s="257"/>
      <c r="AG4" s="257"/>
      <c r="AJ4" s="287" t="s">
        <v>171</v>
      </c>
      <c r="AK4" s="287"/>
      <c r="AL4" s="287"/>
      <c r="AM4" s="287"/>
      <c r="AN4" s="287"/>
      <c r="AQ4" s="280" t="s">
        <v>175</v>
      </c>
      <c r="AR4" s="281"/>
      <c r="AS4" s="281"/>
      <c r="AT4" s="281"/>
      <c r="AU4" s="282"/>
      <c r="AX4" s="280" t="s">
        <v>193</v>
      </c>
      <c r="AY4" s="281"/>
      <c r="AZ4" s="281"/>
      <c r="BA4" s="281"/>
      <c r="BB4" s="282"/>
      <c r="BE4" s="280" t="s">
        <v>195</v>
      </c>
      <c r="BF4" s="281"/>
      <c r="BG4" s="281"/>
      <c r="BH4" s="281"/>
      <c r="BI4" s="282"/>
      <c r="BL4" s="280" t="s">
        <v>201</v>
      </c>
      <c r="BM4" s="281"/>
      <c r="BN4" s="281"/>
      <c r="BO4" s="281"/>
      <c r="BP4" s="282"/>
      <c r="BS4" s="280" t="s">
        <v>207</v>
      </c>
      <c r="BT4" s="281"/>
      <c r="BU4" s="281"/>
      <c r="BV4" s="281"/>
      <c r="BW4" s="282"/>
      <c r="BZ4" s="280" t="s">
        <v>212</v>
      </c>
      <c r="CA4" s="281"/>
      <c r="CB4" s="281"/>
      <c r="CC4" s="281"/>
      <c r="CD4" s="282"/>
      <c r="CG4" s="280" t="s">
        <v>217</v>
      </c>
      <c r="CH4" s="281"/>
      <c r="CI4" s="281"/>
      <c r="CJ4" s="281"/>
      <c r="CK4" s="282"/>
      <c r="CN4" s="280" t="s">
        <v>221</v>
      </c>
      <c r="CO4" s="281"/>
      <c r="CP4" s="281"/>
      <c r="CQ4" s="281"/>
      <c r="CR4" s="282"/>
      <c r="CU4" s="280" t="s">
        <v>226</v>
      </c>
      <c r="CV4" s="281"/>
      <c r="CW4" s="281"/>
      <c r="CX4" s="281"/>
      <c r="CY4" s="282"/>
      <c r="DB4" s="280" t="s">
        <v>231</v>
      </c>
      <c r="DC4" s="281"/>
      <c r="DD4" s="281"/>
      <c r="DE4" s="281"/>
      <c r="DF4" s="282"/>
      <c r="DI4" s="280" t="s">
        <v>234</v>
      </c>
      <c r="DJ4" s="281"/>
      <c r="DK4" s="281"/>
      <c r="DL4" s="281"/>
      <c r="DM4" s="282"/>
      <c r="DN4" s="231"/>
      <c r="DO4" s="231"/>
      <c r="DP4" s="280" t="s">
        <v>238</v>
      </c>
      <c r="DQ4" s="281"/>
      <c r="DR4" s="281"/>
      <c r="DS4" s="281"/>
      <c r="DT4" s="282"/>
      <c r="DW4" s="280" t="s">
        <v>244</v>
      </c>
      <c r="DX4" s="281"/>
      <c r="DY4" s="281"/>
      <c r="DZ4" s="281"/>
      <c r="EA4" s="282"/>
      <c r="ED4" s="280" t="s">
        <v>249</v>
      </c>
      <c r="EE4" s="281"/>
      <c r="EF4" s="281"/>
      <c r="EG4" s="281"/>
      <c r="EH4" s="282"/>
      <c r="EK4" s="280" t="s">
        <v>255</v>
      </c>
      <c r="EL4" s="281"/>
      <c r="EM4" s="281"/>
      <c r="EN4" s="281"/>
      <c r="EO4" s="282"/>
      <c r="ER4" s="280" t="s">
        <v>264</v>
      </c>
      <c r="ES4" s="281"/>
      <c r="ET4" s="281"/>
      <c r="EU4" s="281"/>
      <c r="EV4" s="282"/>
      <c r="EY4" s="280" t="s">
        <v>265</v>
      </c>
      <c r="EZ4" s="281"/>
      <c r="FA4" s="281"/>
      <c r="FB4" s="281"/>
      <c r="FC4" s="282"/>
      <c r="FF4" s="280" t="s">
        <v>268</v>
      </c>
      <c r="FG4" s="281"/>
      <c r="FH4" s="281"/>
      <c r="FI4" s="281"/>
      <c r="FJ4" s="282"/>
      <c r="FM4" s="280" t="s">
        <v>273</v>
      </c>
      <c r="FN4" s="281"/>
      <c r="FO4" s="281"/>
      <c r="FP4" s="281"/>
      <c r="FQ4" s="282"/>
      <c r="FT4" s="280" t="s">
        <v>286</v>
      </c>
      <c r="FU4" s="281"/>
      <c r="FV4" s="281"/>
      <c r="FW4" s="281"/>
      <c r="FX4" s="282"/>
    </row>
    <row r="5" spans="1:180" ht="15" customHeight="1" x14ac:dyDescent="0.25">
      <c r="A5" s="289" t="s">
        <v>134</v>
      </c>
      <c r="B5" s="257" t="s">
        <v>3</v>
      </c>
      <c r="C5" s="257" t="s">
        <v>4</v>
      </c>
      <c r="D5" s="257"/>
      <c r="E5" s="257"/>
      <c r="H5" s="289" t="s">
        <v>134</v>
      </c>
      <c r="I5" s="257" t="s">
        <v>3</v>
      </c>
      <c r="J5" s="257" t="s">
        <v>4</v>
      </c>
      <c r="K5" s="257"/>
      <c r="L5" s="257"/>
      <c r="O5" s="289" t="s">
        <v>134</v>
      </c>
      <c r="P5" s="257" t="s">
        <v>3</v>
      </c>
      <c r="Q5" s="257" t="s">
        <v>4</v>
      </c>
      <c r="R5" s="257"/>
      <c r="S5" s="257"/>
      <c r="V5" s="289" t="s">
        <v>134</v>
      </c>
      <c r="W5" s="257" t="s">
        <v>3</v>
      </c>
      <c r="X5" s="257" t="s">
        <v>4</v>
      </c>
      <c r="Y5" s="257"/>
      <c r="Z5" s="257"/>
      <c r="AC5" s="289" t="s">
        <v>134</v>
      </c>
      <c r="AD5" s="257" t="s">
        <v>3</v>
      </c>
      <c r="AE5" s="257" t="s">
        <v>4</v>
      </c>
      <c r="AF5" s="257"/>
      <c r="AG5" s="257"/>
      <c r="AJ5" s="288" t="s">
        <v>134</v>
      </c>
      <c r="AK5" s="287" t="s">
        <v>3</v>
      </c>
      <c r="AL5" s="287" t="s">
        <v>4</v>
      </c>
      <c r="AM5" s="287"/>
      <c r="AN5" s="287"/>
      <c r="AQ5" s="283" t="s">
        <v>134</v>
      </c>
      <c r="AR5" s="285" t="s">
        <v>3</v>
      </c>
      <c r="AS5" s="280" t="s">
        <v>4</v>
      </c>
      <c r="AT5" s="281"/>
      <c r="AU5" s="282"/>
      <c r="AX5" s="283" t="s">
        <v>134</v>
      </c>
      <c r="AY5" s="285" t="s">
        <v>3</v>
      </c>
      <c r="AZ5" s="280" t="s">
        <v>4</v>
      </c>
      <c r="BA5" s="281"/>
      <c r="BB5" s="282"/>
      <c r="BE5" s="283" t="s">
        <v>134</v>
      </c>
      <c r="BF5" s="285" t="s">
        <v>3</v>
      </c>
      <c r="BG5" s="280" t="s">
        <v>4</v>
      </c>
      <c r="BH5" s="281"/>
      <c r="BI5" s="282"/>
      <c r="BL5" s="283" t="s">
        <v>134</v>
      </c>
      <c r="BM5" s="285" t="s">
        <v>3</v>
      </c>
      <c r="BN5" s="280" t="s">
        <v>4</v>
      </c>
      <c r="BO5" s="281"/>
      <c r="BP5" s="282"/>
      <c r="BS5" s="283" t="s">
        <v>134</v>
      </c>
      <c r="BT5" s="285" t="s">
        <v>3</v>
      </c>
      <c r="BU5" s="280" t="s">
        <v>4</v>
      </c>
      <c r="BV5" s="281"/>
      <c r="BW5" s="282"/>
      <c r="BZ5" s="283" t="s">
        <v>134</v>
      </c>
      <c r="CA5" s="285" t="s">
        <v>3</v>
      </c>
      <c r="CB5" s="280" t="s">
        <v>4</v>
      </c>
      <c r="CC5" s="281"/>
      <c r="CD5" s="282"/>
      <c r="CG5" s="283" t="s">
        <v>134</v>
      </c>
      <c r="CH5" s="285" t="s">
        <v>3</v>
      </c>
      <c r="CI5" s="280" t="s">
        <v>4</v>
      </c>
      <c r="CJ5" s="281"/>
      <c r="CK5" s="282"/>
      <c r="CN5" s="283" t="s">
        <v>134</v>
      </c>
      <c r="CO5" s="285" t="s">
        <v>3</v>
      </c>
      <c r="CP5" s="280" t="s">
        <v>4</v>
      </c>
      <c r="CQ5" s="281"/>
      <c r="CR5" s="282"/>
      <c r="CU5" s="283" t="s">
        <v>134</v>
      </c>
      <c r="CV5" s="285" t="s">
        <v>3</v>
      </c>
      <c r="CW5" s="280" t="s">
        <v>4</v>
      </c>
      <c r="CX5" s="281"/>
      <c r="CY5" s="282"/>
      <c r="DB5" s="283" t="s">
        <v>134</v>
      </c>
      <c r="DC5" s="285" t="s">
        <v>3</v>
      </c>
      <c r="DD5" s="280" t="s">
        <v>4</v>
      </c>
      <c r="DE5" s="281"/>
      <c r="DF5" s="282"/>
      <c r="DI5" s="283" t="s">
        <v>134</v>
      </c>
      <c r="DJ5" s="285" t="s">
        <v>3</v>
      </c>
      <c r="DK5" s="280" t="s">
        <v>4</v>
      </c>
      <c r="DL5" s="281"/>
      <c r="DM5" s="282"/>
      <c r="DN5" s="231"/>
      <c r="DO5" s="231"/>
      <c r="DP5" s="283" t="s">
        <v>134</v>
      </c>
      <c r="DQ5" s="285" t="s">
        <v>3</v>
      </c>
      <c r="DR5" s="280" t="s">
        <v>4</v>
      </c>
      <c r="DS5" s="281"/>
      <c r="DT5" s="282"/>
      <c r="DW5" s="283" t="s">
        <v>134</v>
      </c>
      <c r="DX5" s="285" t="s">
        <v>3</v>
      </c>
      <c r="DY5" s="280" t="s">
        <v>4</v>
      </c>
      <c r="DZ5" s="281"/>
      <c r="EA5" s="282"/>
      <c r="ED5" s="283" t="s">
        <v>134</v>
      </c>
      <c r="EE5" s="285" t="s">
        <v>3</v>
      </c>
      <c r="EF5" s="280" t="s">
        <v>4</v>
      </c>
      <c r="EG5" s="281"/>
      <c r="EH5" s="282"/>
      <c r="EK5" s="283" t="s">
        <v>134</v>
      </c>
      <c r="EL5" s="285" t="s">
        <v>3</v>
      </c>
      <c r="EM5" s="280" t="s">
        <v>4</v>
      </c>
      <c r="EN5" s="281"/>
      <c r="EO5" s="282"/>
      <c r="ER5" s="283" t="s">
        <v>134</v>
      </c>
      <c r="ES5" s="285" t="s">
        <v>3</v>
      </c>
      <c r="ET5" s="280" t="s">
        <v>4</v>
      </c>
      <c r="EU5" s="281"/>
      <c r="EV5" s="282"/>
      <c r="EY5" s="283" t="s">
        <v>134</v>
      </c>
      <c r="EZ5" s="285" t="s">
        <v>3</v>
      </c>
      <c r="FA5" s="280" t="s">
        <v>4</v>
      </c>
      <c r="FB5" s="281"/>
      <c r="FC5" s="282"/>
      <c r="FF5" s="283" t="s">
        <v>134</v>
      </c>
      <c r="FG5" s="285" t="s">
        <v>3</v>
      </c>
      <c r="FH5" s="280" t="s">
        <v>4</v>
      </c>
      <c r="FI5" s="281"/>
      <c r="FJ5" s="282"/>
      <c r="FM5" s="283" t="s">
        <v>134</v>
      </c>
      <c r="FN5" s="285" t="s">
        <v>3</v>
      </c>
      <c r="FO5" s="280" t="s">
        <v>4</v>
      </c>
      <c r="FP5" s="281"/>
      <c r="FQ5" s="282"/>
      <c r="FT5" s="283" t="s">
        <v>134</v>
      </c>
      <c r="FU5" s="285" t="s">
        <v>3</v>
      </c>
      <c r="FV5" s="280" t="s">
        <v>4</v>
      </c>
      <c r="FW5" s="281"/>
      <c r="FX5" s="282"/>
    </row>
    <row r="6" spans="1:180" x14ac:dyDescent="0.25">
      <c r="A6" s="289"/>
      <c r="B6" s="257"/>
      <c r="C6" s="116" t="s">
        <v>135</v>
      </c>
      <c r="D6" s="116" t="s">
        <v>8</v>
      </c>
      <c r="E6" s="116" t="s">
        <v>136</v>
      </c>
      <c r="H6" s="289"/>
      <c r="I6" s="257"/>
      <c r="J6" s="144" t="s">
        <v>135</v>
      </c>
      <c r="K6" s="144" t="s">
        <v>8</v>
      </c>
      <c r="L6" s="144" t="s">
        <v>136</v>
      </c>
      <c r="O6" s="289"/>
      <c r="P6" s="257"/>
      <c r="Q6" s="149" t="s">
        <v>135</v>
      </c>
      <c r="R6" s="149" t="s">
        <v>8</v>
      </c>
      <c r="S6" s="149" t="s">
        <v>136</v>
      </c>
      <c r="V6" s="289"/>
      <c r="W6" s="257"/>
      <c r="X6" s="152" t="s">
        <v>135</v>
      </c>
      <c r="Y6" s="152" t="s">
        <v>8</v>
      </c>
      <c r="Z6" s="152" t="s">
        <v>136</v>
      </c>
      <c r="AC6" s="289"/>
      <c r="AD6" s="257"/>
      <c r="AE6" s="156" t="s">
        <v>135</v>
      </c>
      <c r="AF6" s="156" t="s">
        <v>8</v>
      </c>
      <c r="AG6" s="156" t="s">
        <v>136</v>
      </c>
      <c r="AJ6" s="288"/>
      <c r="AK6" s="287"/>
      <c r="AL6" s="175" t="s">
        <v>135</v>
      </c>
      <c r="AM6" s="175" t="s">
        <v>8</v>
      </c>
      <c r="AN6" s="175" t="s">
        <v>136</v>
      </c>
      <c r="AQ6" s="284"/>
      <c r="AR6" s="286"/>
      <c r="AS6" s="176" t="s">
        <v>135</v>
      </c>
      <c r="AT6" s="176" t="s">
        <v>8</v>
      </c>
      <c r="AU6" s="176" t="s">
        <v>136</v>
      </c>
      <c r="AX6" s="284"/>
      <c r="AY6" s="286"/>
      <c r="AZ6" s="176" t="s">
        <v>135</v>
      </c>
      <c r="BA6" s="176" t="s">
        <v>8</v>
      </c>
      <c r="BB6" s="176" t="s">
        <v>136</v>
      </c>
      <c r="BE6" s="284"/>
      <c r="BF6" s="286"/>
      <c r="BG6" s="176" t="s">
        <v>135</v>
      </c>
      <c r="BH6" s="176" t="s">
        <v>8</v>
      </c>
      <c r="BI6" s="176" t="s">
        <v>136</v>
      </c>
      <c r="BL6" s="284"/>
      <c r="BM6" s="286"/>
      <c r="BN6" s="176" t="s">
        <v>135</v>
      </c>
      <c r="BO6" s="176" t="s">
        <v>8</v>
      </c>
      <c r="BP6" s="176" t="s">
        <v>136</v>
      </c>
      <c r="BS6" s="284"/>
      <c r="BT6" s="286"/>
      <c r="BU6" s="176" t="s">
        <v>135</v>
      </c>
      <c r="BV6" s="176" t="s">
        <v>8</v>
      </c>
      <c r="BW6" s="176" t="s">
        <v>136</v>
      </c>
      <c r="BZ6" s="284"/>
      <c r="CA6" s="286"/>
      <c r="CB6" s="176" t="s">
        <v>135</v>
      </c>
      <c r="CC6" s="176" t="s">
        <v>8</v>
      </c>
      <c r="CD6" s="176" t="s">
        <v>136</v>
      </c>
      <c r="CG6" s="284"/>
      <c r="CH6" s="286"/>
      <c r="CI6" s="176" t="s">
        <v>135</v>
      </c>
      <c r="CJ6" s="176" t="s">
        <v>8</v>
      </c>
      <c r="CK6" s="176" t="s">
        <v>136</v>
      </c>
      <c r="CN6" s="284"/>
      <c r="CO6" s="286"/>
      <c r="CP6" s="176" t="s">
        <v>135</v>
      </c>
      <c r="CQ6" s="176" t="s">
        <v>8</v>
      </c>
      <c r="CR6" s="176" t="s">
        <v>136</v>
      </c>
      <c r="CU6" s="284"/>
      <c r="CV6" s="286"/>
      <c r="CW6" s="176" t="s">
        <v>135</v>
      </c>
      <c r="CX6" s="176" t="s">
        <v>8</v>
      </c>
      <c r="CY6" s="176" t="s">
        <v>136</v>
      </c>
      <c r="DB6" s="284"/>
      <c r="DC6" s="286"/>
      <c r="DD6" s="176" t="s">
        <v>135</v>
      </c>
      <c r="DE6" s="176" t="s">
        <v>8</v>
      </c>
      <c r="DF6" s="176" t="s">
        <v>136</v>
      </c>
      <c r="DI6" s="284"/>
      <c r="DJ6" s="286"/>
      <c r="DK6" s="176" t="s">
        <v>135</v>
      </c>
      <c r="DL6" s="176" t="s">
        <v>8</v>
      </c>
      <c r="DM6" s="176" t="s">
        <v>136</v>
      </c>
      <c r="DN6" s="231"/>
      <c r="DO6" s="231"/>
      <c r="DP6" s="284"/>
      <c r="DQ6" s="286"/>
      <c r="DR6" s="176" t="s">
        <v>135</v>
      </c>
      <c r="DS6" s="176" t="s">
        <v>8</v>
      </c>
      <c r="DT6" s="176" t="s">
        <v>136</v>
      </c>
      <c r="DW6" s="284"/>
      <c r="DX6" s="286"/>
      <c r="DY6" s="176" t="s">
        <v>135</v>
      </c>
      <c r="DZ6" s="176" t="s">
        <v>8</v>
      </c>
      <c r="EA6" s="176" t="s">
        <v>136</v>
      </c>
      <c r="ED6" s="284"/>
      <c r="EE6" s="286"/>
      <c r="EF6" s="176" t="s">
        <v>135</v>
      </c>
      <c r="EG6" s="176" t="s">
        <v>8</v>
      </c>
      <c r="EH6" s="176" t="s">
        <v>136</v>
      </c>
      <c r="EK6" s="284"/>
      <c r="EL6" s="286"/>
      <c r="EM6" s="176" t="s">
        <v>135</v>
      </c>
      <c r="EN6" s="176" t="s">
        <v>8</v>
      </c>
      <c r="EO6" s="176" t="s">
        <v>136</v>
      </c>
      <c r="ER6" s="284"/>
      <c r="ES6" s="286"/>
      <c r="ET6" s="176" t="s">
        <v>135</v>
      </c>
      <c r="EU6" s="176" t="s">
        <v>8</v>
      </c>
      <c r="EV6" s="176" t="s">
        <v>136</v>
      </c>
      <c r="EY6" s="284"/>
      <c r="EZ6" s="286"/>
      <c r="FA6" s="176" t="s">
        <v>135</v>
      </c>
      <c r="FB6" s="176" t="s">
        <v>8</v>
      </c>
      <c r="FC6" s="176" t="s">
        <v>136</v>
      </c>
      <c r="FF6" s="284"/>
      <c r="FG6" s="286"/>
      <c r="FH6" s="176" t="s">
        <v>135</v>
      </c>
      <c r="FI6" s="176" t="s">
        <v>8</v>
      </c>
      <c r="FJ6" s="176" t="s">
        <v>136</v>
      </c>
      <c r="FM6" s="284"/>
      <c r="FN6" s="286"/>
      <c r="FO6" s="176" t="s">
        <v>135</v>
      </c>
      <c r="FP6" s="176" t="s">
        <v>8</v>
      </c>
      <c r="FQ6" s="176" t="s">
        <v>136</v>
      </c>
      <c r="FT6" s="284"/>
      <c r="FU6" s="286"/>
      <c r="FV6" s="176" t="s">
        <v>135</v>
      </c>
      <c r="FW6" s="176" t="s">
        <v>8</v>
      </c>
      <c r="FX6" s="176" t="s">
        <v>136</v>
      </c>
    </row>
    <row r="7" spans="1:180" x14ac:dyDescent="0.25">
      <c r="A7" s="9">
        <v>6688</v>
      </c>
      <c r="B7" s="9">
        <v>0.41010000000000002</v>
      </c>
      <c r="C7" s="9">
        <v>5.5E-2</v>
      </c>
      <c r="D7" s="9">
        <v>2.0899999999999998E-2</v>
      </c>
      <c r="E7" s="9">
        <v>1.8200000000000001E-2</v>
      </c>
      <c r="H7" s="9">
        <v>6688</v>
      </c>
      <c r="I7" s="9">
        <v>0.65369999999999995</v>
      </c>
      <c r="J7" s="9">
        <v>8.7599999999999997E-2</v>
      </c>
      <c r="K7" s="9">
        <v>3.3399999999999999E-2</v>
      </c>
      <c r="L7" s="9">
        <v>2.8899999999999999E-2</v>
      </c>
      <c r="O7" s="154">
        <v>6688</v>
      </c>
      <c r="P7" s="154">
        <v>0.66579999999999995</v>
      </c>
      <c r="Q7" s="154">
        <v>8.9200000000000002E-2</v>
      </c>
      <c r="R7" s="154">
        <v>3.4000000000000002E-2</v>
      </c>
      <c r="S7" s="154">
        <v>2.9499999999999998E-2</v>
      </c>
      <c r="V7" s="151">
        <v>6688</v>
      </c>
      <c r="W7" s="151">
        <v>0.69569999999999999</v>
      </c>
      <c r="X7" s="151">
        <v>9.3200000000000005E-2</v>
      </c>
      <c r="Y7" s="151">
        <v>3.5499999999999997E-2</v>
      </c>
      <c r="Z7" s="151">
        <v>3.0800000000000001E-2</v>
      </c>
      <c r="AC7" s="155">
        <v>6688</v>
      </c>
      <c r="AD7" s="155">
        <v>0.7591</v>
      </c>
      <c r="AE7" s="155">
        <v>0.1017</v>
      </c>
      <c r="AF7" s="155">
        <v>3.8800000000000001E-2</v>
      </c>
      <c r="AG7" s="155">
        <v>3.3599999999999998E-2</v>
      </c>
      <c r="AJ7" s="160">
        <v>6688</v>
      </c>
      <c r="AK7" s="6">
        <v>0.83960000000000001</v>
      </c>
      <c r="AL7" s="6">
        <v>0.1125</v>
      </c>
      <c r="AM7" s="6">
        <v>4.2900000000000001E-2</v>
      </c>
      <c r="AN7" s="6">
        <v>3.7199999999999997E-2</v>
      </c>
      <c r="AQ7" s="129">
        <v>6688</v>
      </c>
      <c r="AR7" s="53">
        <v>0.87209999999999999</v>
      </c>
      <c r="AS7" s="53">
        <v>0.1169</v>
      </c>
      <c r="AT7" s="53">
        <v>4.4499999999999998E-2</v>
      </c>
      <c r="AU7" s="53">
        <v>3.8600000000000002E-2</v>
      </c>
      <c r="AX7" s="129">
        <v>6688</v>
      </c>
      <c r="AY7" s="53">
        <v>0.89329999999999998</v>
      </c>
      <c r="AZ7" s="53">
        <v>0.1197</v>
      </c>
      <c r="BA7" s="53">
        <v>4.5600000000000002E-2</v>
      </c>
      <c r="BB7" s="53">
        <v>3.95E-2</v>
      </c>
      <c r="BC7" s="3"/>
      <c r="BD7" s="182"/>
      <c r="BE7" s="129">
        <v>6688</v>
      </c>
      <c r="BF7" s="53">
        <v>0.90249999999999997</v>
      </c>
      <c r="BG7" s="53">
        <v>0.12089999999999999</v>
      </c>
      <c r="BH7" s="53">
        <v>4.6100000000000002E-2</v>
      </c>
      <c r="BI7" s="53">
        <v>0.04</v>
      </c>
      <c r="BL7" s="129">
        <v>6688</v>
      </c>
      <c r="BM7" s="53">
        <v>0.95069999999999999</v>
      </c>
      <c r="BN7" s="53">
        <v>0.12740000000000001</v>
      </c>
      <c r="BO7" s="53">
        <v>4.8500000000000001E-2</v>
      </c>
      <c r="BP7" s="53">
        <v>4.2099999999999999E-2</v>
      </c>
      <c r="BS7" s="129">
        <v>6688</v>
      </c>
      <c r="BT7" s="53">
        <v>1.0158</v>
      </c>
      <c r="BU7" s="53">
        <v>0.1361</v>
      </c>
      <c r="BV7" s="53">
        <v>5.1900000000000002E-2</v>
      </c>
      <c r="BW7" s="53">
        <v>4.4999999999999998E-2</v>
      </c>
      <c r="BZ7" s="129">
        <v>6688</v>
      </c>
      <c r="CA7" s="53">
        <v>1.0365</v>
      </c>
      <c r="CB7" s="53">
        <v>0.1389</v>
      </c>
      <c r="CC7" s="53">
        <v>5.2900000000000003E-2</v>
      </c>
      <c r="CD7" s="53">
        <v>4.5900000000000003E-2</v>
      </c>
      <c r="CG7" s="129">
        <v>6688</v>
      </c>
      <c r="CH7" s="53">
        <v>1.0530999999999999</v>
      </c>
      <c r="CI7" s="53">
        <v>0.1411</v>
      </c>
      <c r="CJ7" s="53">
        <v>5.3800000000000001E-2</v>
      </c>
      <c r="CK7" s="53">
        <v>4.6600000000000003E-2</v>
      </c>
      <c r="CN7" s="207">
        <v>6688</v>
      </c>
      <c r="CO7" s="53">
        <v>1.0921000000000001</v>
      </c>
      <c r="CP7" s="53">
        <v>0.14630000000000001</v>
      </c>
      <c r="CQ7" s="53">
        <v>5.5800000000000002E-2</v>
      </c>
      <c r="CR7" s="53">
        <v>4.8300000000000003E-2</v>
      </c>
      <c r="CU7" s="215">
        <v>6688</v>
      </c>
      <c r="CV7" s="53">
        <v>1.1051</v>
      </c>
      <c r="CW7" s="53">
        <v>0.14810000000000001</v>
      </c>
      <c r="CX7" s="53">
        <v>5.6399999999999999E-2</v>
      </c>
      <c r="CY7" s="53">
        <v>4.8899999999999999E-2</v>
      </c>
      <c r="DB7" s="217">
        <v>6688</v>
      </c>
      <c r="DC7" s="53">
        <v>1.1188</v>
      </c>
      <c r="DD7" s="53">
        <v>0.14990000000000001</v>
      </c>
      <c r="DE7" s="53">
        <v>5.7099999999999998E-2</v>
      </c>
      <c r="DF7" s="53">
        <v>4.9500000000000002E-2</v>
      </c>
      <c r="DI7" s="222">
        <v>6688</v>
      </c>
      <c r="DJ7" s="53">
        <v>1.1303000000000001</v>
      </c>
      <c r="DK7" s="53">
        <v>0.1515</v>
      </c>
      <c r="DL7" s="53">
        <v>5.7700000000000001E-2</v>
      </c>
      <c r="DM7" s="53">
        <v>0.05</v>
      </c>
      <c r="DN7" s="231"/>
      <c r="DO7" s="231"/>
      <c r="DP7" s="227">
        <v>6688</v>
      </c>
      <c r="DQ7" s="53">
        <v>1.1464000000000001</v>
      </c>
      <c r="DR7" s="53">
        <v>0.15359999999999999</v>
      </c>
      <c r="DS7" s="53">
        <v>5.8500000000000003E-2</v>
      </c>
      <c r="DT7" s="53">
        <v>5.0799999999999998E-2</v>
      </c>
      <c r="DW7" s="235">
        <v>6688</v>
      </c>
      <c r="DX7" s="53">
        <v>1.1645000000000001</v>
      </c>
      <c r="DY7" s="53">
        <v>0.156</v>
      </c>
      <c r="DZ7" s="53">
        <v>5.9499999999999997E-2</v>
      </c>
      <c r="EA7" s="53">
        <v>5.16E-2</v>
      </c>
      <c r="ED7" s="237">
        <v>6688</v>
      </c>
      <c r="EE7" s="53">
        <v>1.1822999999999999</v>
      </c>
      <c r="EF7" s="53">
        <v>0.15840000000000001</v>
      </c>
      <c r="EG7" s="53">
        <v>6.0400000000000002E-2</v>
      </c>
      <c r="EH7" s="53">
        <v>5.2299999999999999E-2</v>
      </c>
      <c r="EK7" s="239">
        <v>6688</v>
      </c>
      <c r="EL7" s="53">
        <v>1.2162999999999999</v>
      </c>
      <c r="EM7" s="53">
        <v>0.16300000000000001</v>
      </c>
      <c r="EN7" s="53">
        <v>6.2100000000000002E-2</v>
      </c>
      <c r="EO7" s="53">
        <v>5.3800000000000001E-2</v>
      </c>
      <c r="ER7" s="243">
        <v>6688</v>
      </c>
      <c r="ES7" s="53">
        <v>1.2509999999999999</v>
      </c>
      <c r="ET7" s="53">
        <v>0.1676</v>
      </c>
      <c r="EU7" s="53">
        <v>6.3899999999999998E-2</v>
      </c>
      <c r="EV7" s="53">
        <v>5.5399999999999998E-2</v>
      </c>
      <c r="EY7" s="245">
        <v>6688</v>
      </c>
      <c r="EZ7" s="53">
        <v>1.2612000000000001</v>
      </c>
      <c r="FA7" s="53">
        <v>0.16900000000000001</v>
      </c>
      <c r="FB7" s="53">
        <v>6.4399999999999999E-2</v>
      </c>
      <c r="FC7" s="53">
        <v>5.5800000000000002E-2</v>
      </c>
      <c r="FF7" s="249">
        <v>6688</v>
      </c>
      <c r="FG7" s="53">
        <v>1.2774000000000001</v>
      </c>
      <c r="FH7" s="53">
        <v>0.17119999999999999</v>
      </c>
      <c r="FI7" s="53">
        <v>6.5199999999999994E-2</v>
      </c>
      <c r="FJ7" s="53">
        <v>5.6599999999999998E-2</v>
      </c>
      <c r="FM7" s="252">
        <v>6688</v>
      </c>
      <c r="FN7" s="53">
        <v>1.2855000000000001</v>
      </c>
      <c r="FO7" s="53">
        <v>0.17230000000000001</v>
      </c>
      <c r="FP7" s="53">
        <v>6.5600000000000006E-2</v>
      </c>
      <c r="FQ7" s="53">
        <v>5.6899999999999999E-2</v>
      </c>
      <c r="FT7" s="254">
        <v>6688</v>
      </c>
      <c r="FU7" s="53">
        <f>VLOOKUP(FT7,Sheet4!A9:F85,3,0)</f>
        <v>1.3041</v>
      </c>
      <c r="FV7" s="53">
        <f>VLOOKUP(FT7,Sheet4!A9:F85,4,0)</f>
        <v>0.17480000000000001</v>
      </c>
      <c r="FW7" s="53">
        <f>VLOOKUP(FT7,Sheet4!A9:F85,5,0)</f>
        <v>6.6600000000000006E-2</v>
      </c>
      <c r="FX7" s="53">
        <f>VLOOKUP(FT7,Sheet4!A9:F85,6,0)</f>
        <v>5.7700000000000001E-2</v>
      </c>
    </row>
    <row r="8" spans="1:180" x14ac:dyDescent="0.25">
      <c r="A8" s="9">
        <v>6710</v>
      </c>
      <c r="B8" s="9">
        <v>0.38369999999999999</v>
      </c>
      <c r="C8" s="9">
        <v>5.1400000000000001E-2</v>
      </c>
      <c r="D8" s="9">
        <v>1.9599999999999999E-2</v>
      </c>
      <c r="E8" s="9">
        <v>1.7000000000000001E-2</v>
      </c>
      <c r="H8" s="9">
        <v>6710</v>
      </c>
      <c r="I8" s="9">
        <v>0.62729999999999997</v>
      </c>
      <c r="J8" s="9">
        <v>8.4099999999999994E-2</v>
      </c>
      <c r="K8" s="9">
        <v>3.2000000000000001E-2</v>
      </c>
      <c r="L8" s="9">
        <v>2.7799999999999998E-2</v>
      </c>
      <c r="O8" s="148">
        <v>6710</v>
      </c>
      <c r="P8" s="148">
        <v>0.63939999999999997</v>
      </c>
      <c r="Q8" s="148">
        <v>8.5699999999999998E-2</v>
      </c>
      <c r="R8" s="148">
        <v>3.2599999999999997E-2</v>
      </c>
      <c r="S8" s="148">
        <v>2.8299999999999999E-2</v>
      </c>
      <c r="V8" s="151">
        <v>6710</v>
      </c>
      <c r="W8" s="151">
        <v>0.66930000000000001</v>
      </c>
      <c r="X8" s="151">
        <v>8.9700000000000002E-2</v>
      </c>
      <c r="Y8" s="151">
        <v>3.4200000000000001E-2</v>
      </c>
      <c r="Z8" s="151">
        <v>2.9600000000000001E-2</v>
      </c>
      <c r="AC8" s="155">
        <v>6710</v>
      </c>
      <c r="AD8" s="155">
        <v>0.73270000000000002</v>
      </c>
      <c r="AE8" s="155">
        <v>9.8199999999999996E-2</v>
      </c>
      <c r="AF8" s="155">
        <v>3.7400000000000003E-2</v>
      </c>
      <c r="AG8" s="155">
        <v>3.2399999999999998E-2</v>
      </c>
      <c r="AJ8" s="168">
        <v>6710</v>
      </c>
      <c r="AK8" s="169">
        <v>0.81320000000000003</v>
      </c>
      <c r="AL8" s="169">
        <v>0.109</v>
      </c>
      <c r="AM8" s="169">
        <v>4.1500000000000002E-2</v>
      </c>
      <c r="AN8" s="169">
        <v>3.5999999999999997E-2</v>
      </c>
      <c r="AQ8" s="165">
        <v>6710</v>
      </c>
      <c r="AR8" s="167">
        <v>0.84570000000000001</v>
      </c>
      <c r="AS8" s="167">
        <v>0.1133</v>
      </c>
      <c r="AT8" s="167">
        <v>4.3200000000000002E-2</v>
      </c>
      <c r="AU8" s="167">
        <v>3.7400000000000003E-2</v>
      </c>
      <c r="AX8" s="165">
        <v>6710</v>
      </c>
      <c r="AY8" s="167">
        <v>0.8669</v>
      </c>
      <c r="AZ8" s="167">
        <v>0.1162</v>
      </c>
      <c r="BA8" s="167">
        <v>4.4299999999999999E-2</v>
      </c>
      <c r="BB8" s="167">
        <v>3.8399999999999997E-2</v>
      </c>
      <c r="BC8" s="3"/>
      <c r="BD8" s="182"/>
      <c r="BE8" s="165">
        <v>6710</v>
      </c>
      <c r="BF8" s="167">
        <v>0.87609999999999999</v>
      </c>
      <c r="BG8" s="167">
        <v>0.1174</v>
      </c>
      <c r="BH8" s="167">
        <v>4.4699999999999997E-2</v>
      </c>
      <c r="BI8" s="167">
        <v>3.8800000000000001E-2</v>
      </c>
      <c r="BL8" s="165">
        <v>6710</v>
      </c>
      <c r="BM8" s="167">
        <v>0.92430000000000001</v>
      </c>
      <c r="BN8" s="167">
        <v>0.1239</v>
      </c>
      <c r="BO8" s="167">
        <v>4.7199999999999999E-2</v>
      </c>
      <c r="BP8" s="167">
        <v>4.0899999999999999E-2</v>
      </c>
      <c r="BS8" s="165">
        <v>6710</v>
      </c>
      <c r="BT8" s="167">
        <v>0.98939999999999995</v>
      </c>
      <c r="BU8" s="167">
        <v>0.1326</v>
      </c>
      <c r="BV8" s="167">
        <v>5.0500000000000003E-2</v>
      </c>
      <c r="BW8" s="167">
        <v>4.3799999999999999E-2</v>
      </c>
      <c r="BZ8" s="165">
        <v>6710</v>
      </c>
      <c r="CA8" s="167">
        <v>1.0101</v>
      </c>
      <c r="CB8" s="167">
        <v>0.13539999999999999</v>
      </c>
      <c r="CC8" s="167">
        <v>5.16E-2</v>
      </c>
      <c r="CD8" s="167">
        <v>4.4699999999999997E-2</v>
      </c>
      <c r="CG8" s="165">
        <v>6710</v>
      </c>
      <c r="CH8" s="167">
        <v>1.0266999999999999</v>
      </c>
      <c r="CI8" s="167">
        <v>0.1376</v>
      </c>
      <c r="CJ8" s="167">
        <v>5.2400000000000002E-2</v>
      </c>
      <c r="CK8" s="167">
        <v>4.5499999999999999E-2</v>
      </c>
      <c r="CN8" s="168">
        <v>6710</v>
      </c>
      <c r="CO8" s="167">
        <v>1.0657000000000001</v>
      </c>
      <c r="CP8" s="167">
        <v>0.14280000000000001</v>
      </c>
      <c r="CQ8" s="167">
        <v>5.4399999999999997E-2</v>
      </c>
      <c r="CR8" s="167">
        <v>4.7199999999999999E-2</v>
      </c>
      <c r="CU8" s="168">
        <v>6710</v>
      </c>
      <c r="CV8" s="167">
        <v>1.0787</v>
      </c>
      <c r="CW8" s="167">
        <v>0.14449999999999999</v>
      </c>
      <c r="CX8" s="167">
        <v>5.5100000000000003E-2</v>
      </c>
      <c r="CY8" s="167">
        <v>4.7800000000000002E-2</v>
      </c>
      <c r="DB8" s="168">
        <v>6710</v>
      </c>
      <c r="DC8" s="167">
        <v>1.0924</v>
      </c>
      <c r="DD8" s="167">
        <v>0.1464</v>
      </c>
      <c r="DE8" s="167">
        <v>5.5800000000000002E-2</v>
      </c>
      <c r="DF8" s="167">
        <v>4.8399999999999999E-2</v>
      </c>
      <c r="DI8" s="168">
        <v>6710</v>
      </c>
      <c r="DJ8" s="167">
        <v>1.1039000000000001</v>
      </c>
      <c r="DK8" s="167">
        <v>0.1479</v>
      </c>
      <c r="DL8" s="167">
        <v>5.6399999999999999E-2</v>
      </c>
      <c r="DM8" s="167">
        <v>4.8899999999999999E-2</v>
      </c>
      <c r="DN8" s="231"/>
      <c r="DO8" s="231"/>
      <c r="DP8" s="168">
        <v>6710</v>
      </c>
      <c r="DQ8" s="167">
        <v>1.1200000000000001</v>
      </c>
      <c r="DR8" s="167">
        <v>0.15010000000000001</v>
      </c>
      <c r="DS8" s="167">
        <v>5.7200000000000001E-2</v>
      </c>
      <c r="DT8" s="167">
        <v>4.9599999999999998E-2</v>
      </c>
      <c r="DW8" s="168">
        <v>6710</v>
      </c>
      <c r="DX8" s="167">
        <v>1.1380999999999999</v>
      </c>
      <c r="DY8" s="167">
        <v>0.1525</v>
      </c>
      <c r="DZ8" s="167">
        <v>5.8099999999999999E-2</v>
      </c>
      <c r="EA8" s="167">
        <v>5.04E-2</v>
      </c>
      <c r="ED8" s="168">
        <v>6710</v>
      </c>
      <c r="EE8" s="167">
        <v>1.1558999999999999</v>
      </c>
      <c r="EF8" s="167">
        <v>0.15490000000000001</v>
      </c>
      <c r="EG8" s="167">
        <v>5.8999999999999997E-2</v>
      </c>
      <c r="EH8" s="167">
        <v>5.1200000000000002E-2</v>
      </c>
      <c r="EK8" s="168">
        <v>6710</v>
      </c>
      <c r="EL8" s="167">
        <v>1.1899</v>
      </c>
      <c r="EM8" s="167">
        <v>0.1595</v>
      </c>
      <c r="EN8" s="167">
        <v>6.08E-2</v>
      </c>
      <c r="EO8" s="167">
        <v>5.2699999999999997E-2</v>
      </c>
      <c r="ER8" s="168">
        <v>6710</v>
      </c>
      <c r="ES8" s="167">
        <v>1.2245999999999999</v>
      </c>
      <c r="ET8" s="167">
        <v>0.1641</v>
      </c>
      <c r="EU8" s="167">
        <v>6.25E-2</v>
      </c>
      <c r="EV8" s="167">
        <v>5.4199999999999998E-2</v>
      </c>
      <c r="EY8" s="168">
        <v>6710</v>
      </c>
      <c r="EZ8" s="167">
        <v>1.2347999999999999</v>
      </c>
      <c r="FA8" s="167">
        <v>0.16550000000000001</v>
      </c>
      <c r="FB8" s="167">
        <v>6.3E-2</v>
      </c>
      <c r="FC8" s="167">
        <v>5.4699999999999999E-2</v>
      </c>
      <c r="FF8" s="168">
        <v>6710</v>
      </c>
      <c r="FG8" s="167">
        <v>1.2509999999999999</v>
      </c>
      <c r="FH8" s="167">
        <v>0.1676</v>
      </c>
      <c r="FI8" s="167">
        <v>6.3899999999999998E-2</v>
      </c>
      <c r="FJ8" s="167">
        <v>5.5399999999999998E-2</v>
      </c>
      <c r="FM8" s="168">
        <v>6710</v>
      </c>
      <c r="FN8" s="167">
        <v>1.2591000000000001</v>
      </c>
      <c r="FO8" s="167">
        <v>0.16869999999999999</v>
      </c>
      <c r="FP8" s="167">
        <v>6.4299999999999996E-2</v>
      </c>
      <c r="FQ8" s="167">
        <v>5.57E-2</v>
      </c>
      <c r="FT8" s="168">
        <v>6710</v>
      </c>
      <c r="FU8" s="167">
        <f>VLOOKUP(FT8,Sheet4!A10:F86,3,0)</f>
        <v>1.2777000000000001</v>
      </c>
      <c r="FV8" s="167">
        <f>VLOOKUP(FT8,Sheet4!A10:F86,4,0)</f>
        <v>0.17119999999999999</v>
      </c>
      <c r="FW8" s="167">
        <f>VLOOKUP(FT8,Sheet4!A10:F86,5,0)</f>
        <v>6.5199999999999994E-2</v>
      </c>
      <c r="FX8" s="167">
        <f>VLOOKUP(FT8,Sheet4!A10:F86,6,0)</f>
        <v>5.6599999999999998E-2</v>
      </c>
    </row>
    <row r="9" spans="1:180" x14ac:dyDescent="0.25">
      <c r="A9" s="9">
        <v>6726</v>
      </c>
      <c r="B9" s="9">
        <v>7.7600000000000002E-2</v>
      </c>
      <c r="C9" s="9">
        <v>1.04E-2</v>
      </c>
      <c r="D9" s="9">
        <v>4.0000000000000001E-3</v>
      </c>
      <c r="E9" s="9">
        <v>3.3999999999999998E-3</v>
      </c>
      <c r="H9" s="9">
        <v>6726</v>
      </c>
      <c r="I9" s="9">
        <v>7.7600000000000002E-2</v>
      </c>
      <c r="J9" s="9">
        <v>1.04E-2</v>
      </c>
      <c r="K9" s="9">
        <v>4.0000000000000001E-3</v>
      </c>
      <c r="L9" s="9">
        <v>3.3999999999999998E-3</v>
      </c>
      <c r="O9" s="154">
        <v>6726</v>
      </c>
      <c r="P9" s="154">
        <v>7.7600000000000002E-2</v>
      </c>
      <c r="Q9" s="154">
        <v>1.04E-2</v>
      </c>
      <c r="R9" s="154">
        <v>4.0000000000000001E-3</v>
      </c>
      <c r="S9" s="154">
        <v>3.3999999999999998E-3</v>
      </c>
      <c r="V9" s="151">
        <v>6726</v>
      </c>
      <c r="W9" s="151">
        <v>7.7600000000000002E-2</v>
      </c>
      <c r="X9" s="151">
        <v>1.04E-2</v>
      </c>
      <c r="Y9" s="151">
        <v>4.0000000000000001E-3</v>
      </c>
      <c r="Z9" s="151">
        <v>3.3999999999999998E-3</v>
      </c>
      <c r="AC9" s="155">
        <v>6726</v>
      </c>
      <c r="AD9" s="155">
        <v>7.7600000000000002E-2</v>
      </c>
      <c r="AE9" s="155">
        <v>1.04E-2</v>
      </c>
      <c r="AF9" s="155">
        <v>4.0000000000000001E-3</v>
      </c>
      <c r="AG9" s="155">
        <v>3.3999999999999998E-3</v>
      </c>
      <c r="AJ9" s="160">
        <v>6726</v>
      </c>
      <c r="AK9" s="6">
        <v>7.7600000000000002E-2</v>
      </c>
      <c r="AL9" s="6">
        <v>1.04E-2</v>
      </c>
      <c r="AM9" s="6">
        <v>4.0000000000000001E-3</v>
      </c>
      <c r="AN9" s="6">
        <v>3.3999999999999998E-3</v>
      </c>
      <c r="AQ9" s="129">
        <v>6726</v>
      </c>
      <c r="AR9" s="53">
        <v>7.7600000000000002E-2</v>
      </c>
      <c r="AS9" s="53">
        <v>1.04E-2</v>
      </c>
      <c r="AT9" s="53">
        <v>4.0000000000000001E-3</v>
      </c>
      <c r="AU9" s="53">
        <v>3.3999999999999998E-3</v>
      </c>
      <c r="AX9" s="129">
        <v>6726</v>
      </c>
      <c r="AY9" s="53">
        <v>7.7600000000000002E-2</v>
      </c>
      <c r="AZ9" s="53">
        <v>1.04E-2</v>
      </c>
      <c r="BA9" s="53">
        <v>4.0000000000000001E-3</v>
      </c>
      <c r="BB9" s="53">
        <v>3.3999999999999998E-3</v>
      </c>
      <c r="BC9" s="3"/>
      <c r="BD9" s="182"/>
      <c r="BE9" s="129">
        <v>6726</v>
      </c>
      <c r="BF9" s="53">
        <v>7.7600000000000002E-2</v>
      </c>
      <c r="BG9" s="53">
        <v>1.04E-2</v>
      </c>
      <c r="BH9" s="53">
        <v>4.0000000000000001E-3</v>
      </c>
      <c r="BI9" s="53">
        <v>3.3999999999999998E-3</v>
      </c>
      <c r="BL9" s="129">
        <v>6726</v>
      </c>
      <c r="BM9" s="53">
        <v>7.7600000000000002E-2</v>
      </c>
      <c r="BN9" s="53">
        <v>1.04E-2</v>
      </c>
      <c r="BO9" s="53">
        <v>4.0000000000000001E-3</v>
      </c>
      <c r="BP9" s="53">
        <v>3.3999999999999998E-3</v>
      </c>
      <c r="BS9" s="129">
        <v>6726</v>
      </c>
      <c r="BT9" s="53">
        <v>7.7600000000000002E-2</v>
      </c>
      <c r="BU9" s="53">
        <v>1.04E-2</v>
      </c>
      <c r="BV9" s="53">
        <v>4.0000000000000001E-3</v>
      </c>
      <c r="BW9" s="53">
        <v>3.3999999999999998E-3</v>
      </c>
      <c r="BZ9" s="129">
        <v>6726</v>
      </c>
      <c r="CA9" s="53">
        <v>7.7600000000000002E-2</v>
      </c>
      <c r="CB9" s="53">
        <v>1.04E-2</v>
      </c>
      <c r="CC9" s="53">
        <v>4.0000000000000001E-3</v>
      </c>
      <c r="CD9" s="53">
        <v>3.3999999999999998E-3</v>
      </c>
      <c r="CG9" s="129">
        <v>6726</v>
      </c>
      <c r="CH9" s="53">
        <v>7.7600000000000002E-2</v>
      </c>
      <c r="CI9" s="53">
        <v>1.04E-2</v>
      </c>
      <c r="CJ9" s="53">
        <v>4.0000000000000001E-3</v>
      </c>
      <c r="CK9" s="53">
        <v>3.3999999999999998E-3</v>
      </c>
      <c r="CN9" s="207">
        <v>6726</v>
      </c>
      <c r="CO9" s="53">
        <v>7.7600000000000002E-2</v>
      </c>
      <c r="CP9" s="53">
        <v>1.04E-2</v>
      </c>
      <c r="CQ9" s="53">
        <v>4.0000000000000001E-3</v>
      </c>
      <c r="CR9" s="53">
        <v>3.3999999999999998E-3</v>
      </c>
      <c r="CU9" s="215">
        <v>6726</v>
      </c>
      <c r="CV9" s="53">
        <v>7.7600000000000002E-2</v>
      </c>
      <c r="CW9" s="53">
        <v>1.04E-2</v>
      </c>
      <c r="CX9" s="53">
        <v>4.0000000000000001E-3</v>
      </c>
      <c r="CY9" s="53">
        <v>3.3999999999999998E-3</v>
      </c>
      <c r="DB9" s="217">
        <v>6726</v>
      </c>
      <c r="DC9" s="53">
        <v>7.7600000000000002E-2</v>
      </c>
      <c r="DD9" s="53">
        <v>1.04E-2</v>
      </c>
      <c r="DE9" s="53">
        <v>4.0000000000000001E-3</v>
      </c>
      <c r="DF9" s="53">
        <v>3.3999999999999998E-3</v>
      </c>
      <c r="DI9" s="222">
        <v>6726</v>
      </c>
      <c r="DJ9" s="53">
        <v>7.7600000000000002E-2</v>
      </c>
      <c r="DK9" s="53">
        <v>1.04E-2</v>
      </c>
      <c r="DL9" s="53">
        <v>4.0000000000000001E-3</v>
      </c>
      <c r="DM9" s="53">
        <v>3.3999999999999998E-3</v>
      </c>
      <c r="DN9" s="231"/>
      <c r="DO9" s="231"/>
      <c r="DP9" s="227">
        <v>6726</v>
      </c>
      <c r="DQ9" s="53">
        <v>7.7600000000000002E-2</v>
      </c>
      <c r="DR9" s="53">
        <v>1.04E-2</v>
      </c>
      <c r="DS9" s="53">
        <v>4.0000000000000001E-3</v>
      </c>
      <c r="DT9" s="53">
        <v>3.3999999999999998E-3</v>
      </c>
      <c r="DW9" s="235">
        <v>6726</v>
      </c>
      <c r="DX9" s="53">
        <v>7.7600000000000002E-2</v>
      </c>
      <c r="DY9" s="53">
        <v>1.04E-2</v>
      </c>
      <c r="DZ9" s="53">
        <v>4.0000000000000001E-3</v>
      </c>
      <c r="EA9" s="53">
        <v>3.3999999999999998E-3</v>
      </c>
      <c r="ED9" s="237">
        <v>6726</v>
      </c>
      <c r="EE9" s="53">
        <v>7.7600000000000002E-2</v>
      </c>
      <c r="EF9" s="53">
        <v>1.04E-2</v>
      </c>
      <c r="EG9" s="53">
        <v>4.0000000000000001E-3</v>
      </c>
      <c r="EH9" s="53">
        <v>3.3999999999999998E-3</v>
      </c>
      <c r="EK9" s="239">
        <v>6726</v>
      </c>
      <c r="EL9" s="53">
        <v>7.7600000000000002E-2</v>
      </c>
      <c r="EM9" s="53">
        <v>1.04E-2</v>
      </c>
      <c r="EN9" s="53">
        <v>4.0000000000000001E-3</v>
      </c>
      <c r="EO9" s="53">
        <v>3.3999999999999998E-3</v>
      </c>
      <c r="ER9" s="243">
        <v>6726</v>
      </c>
      <c r="ES9" s="53">
        <v>7.7600000000000002E-2</v>
      </c>
      <c r="ET9" s="53">
        <v>1.04E-2</v>
      </c>
      <c r="EU9" s="53">
        <v>4.0000000000000001E-3</v>
      </c>
      <c r="EV9" s="53">
        <v>3.3999999999999998E-3</v>
      </c>
      <c r="EY9" s="245">
        <v>6726</v>
      </c>
      <c r="EZ9" s="53">
        <v>7.7600000000000002E-2</v>
      </c>
      <c r="FA9" s="53">
        <v>1.04E-2</v>
      </c>
      <c r="FB9" s="53">
        <v>4.0000000000000001E-3</v>
      </c>
      <c r="FC9" s="53">
        <v>3.3999999999999998E-3</v>
      </c>
      <c r="FF9" s="249">
        <v>6726</v>
      </c>
      <c r="FG9" s="53">
        <v>7.7600000000000002E-2</v>
      </c>
      <c r="FH9" s="53">
        <v>1.04E-2</v>
      </c>
      <c r="FI9" s="53">
        <v>4.0000000000000001E-3</v>
      </c>
      <c r="FJ9" s="53">
        <v>3.3999999999999998E-3</v>
      </c>
      <c r="FM9" s="252">
        <v>6726</v>
      </c>
      <c r="FN9" s="53">
        <v>7.7600000000000002E-2</v>
      </c>
      <c r="FO9" s="53">
        <v>1.04E-2</v>
      </c>
      <c r="FP9" s="53">
        <v>4.0000000000000001E-3</v>
      </c>
      <c r="FQ9" s="53">
        <v>3.3999999999999998E-3</v>
      </c>
      <c r="FT9" s="254">
        <v>6726</v>
      </c>
      <c r="FU9" s="53">
        <f>VLOOKUP(FT9,Sheet4!A11:F87,3,0)</f>
        <v>7.7600000000000002E-2</v>
      </c>
      <c r="FV9" s="53">
        <f>VLOOKUP(FT9,Sheet4!A11:F87,4,0)</f>
        <v>1.04E-2</v>
      </c>
      <c r="FW9" s="53">
        <f>VLOOKUP(FT9,Sheet4!A11:F87,5,0)</f>
        <v>4.0000000000000001E-3</v>
      </c>
      <c r="FX9" s="53">
        <f>VLOOKUP(FT9,Sheet4!A11:F87,6,0)</f>
        <v>3.3999999999999998E-3</v>
      </c>
    </row>
    <row r="10" spans="1:180" x14ac:dyDescent="0.25">
      <c r="A10" s="9">
        <v>6739</v>
      </c>
      <c r="B10" s="9">
        <v>2.1100000000000001E-2</v>
      </c>
      <c r="C10" s="9">
        <v>2.8E-3</v>
      </c>
      <c r="D10" s="9">
        <v>1.1000000000000001E-3</v>
      </c>
      <c r="E10" s="9">
        <v>8.9999999999999998E-4</v>
      </c>
      <c r="H10" s="9">
        <v>6739</v>
      </c>
      <c r="I10" s="9">
        <v>2.1100000000000001E-2</v>
      </c>
      <c r="J10" s="9">
        <v>2.8E-3</v>
      </c>
      <c r="K10" s="9">
        <v>1.1000000000000001E-3</v>
      </c>
      <c r="L10" s="9">
        <v>8.9999999999999998E-4</v>
      </c>
      <c r="O10" s="148">
        <v>6739</v>
      </c>
      <c r="P10" s="148">
        <v>2.1100000000000001E-2</v>
      </c>
      <c r="Q10" s="148">
        <v>2.8E-3</v>
      </c>
      <c r="R10" s="148">
        <v>1.1000000000000001E-3</v>
      </c>
      <c r="S10" s="148">
        <v>8.9999999999999998E-4</v>
      </c>
      <c r="V10" s="151">
        <v>6739</v>
      </c>
      <c r="W10" s="151">
        <v>2.1100000000000001E-2</v>
      </c>
      <c r="X10" s="151">
        <v>2.8E-3</v>
      </c>
      <c r="Y10" s="151">
        <v>1.1000000000000001E-3</v>
      </c>
      <c r="Z10" s="151">
        <v>8.9999999999999998E-4</v>
      </c>
      <c r="AC10" s="155">
        <v>6739</v>
      </c>
      <c r="AD10" s="155">
        <v>2.1100000000000001E-2</v>
      </c>
      <c r="AE10" s="155">
        <v>2.8E-3</v>
      </c>
      <c r="AF10" s="155">
        <v>1.1000000000000001E-3</v>
      </c>
      <c r="AG10" s="155">
        <v>8.9999999999999998E-4</v>
      </c>
      <c r="AJ10" s="168">
        <v>6739</v>
      </c>
      <c r="AK10" s="169">
        <v>2.1100000000000001E-2</v>
      </c>
      <c r="AL10" s="169">
        <v>2.8E-3</v>
      </c>
      <c r="AM10" s="169">
        <v>1.1000000000000001E-3</v>
      </c>
      <c r="AN10" s="169">
        <v>8.9999999999999998E-4</v>
      </c>
      <c r="AQ10" s="165">
        <v>6739</v>
      </c>
      <c r="AR10" s="167">
        <v>2.1100000000000001E-2</v>
      </c>
      <c r="AS10" s="167">
        <v>2.8E-3</v>
      </c>
      <c r="AT10" s="167">
        <v>1.1000000000000001E-3</v>
      </c>
      <c r="AU10" s="167">
        <v>8.9999999999999998E-4</v>
      </c>
      <c r="AX10" s="165">
        <v>6739</v>
      </c>
      <c r="AY10" s="167">
        <v>2.1100000000000001E-2</v>
      </c>
      <c r="AZ10" s="167">
        <v>2.8E-3</v>
      </c>
      <c r="BA10" s="167">
        <v>1.1000000000000001E-3</v>
      </c>
      <c r="BB10" s="167">
        <v>8.9999999999999998E-4</v>
      </c>
      <c r="BC10" s="3"/>
      <c r="BD10" s="182"/>
      <c r="BE10" s="165">
        <v>6739</v>
      </c>
      <c r="BF10" s="167">
        <v>2.1100000000000001E-2</v>
      </c>
      <c r="BG10" s="167">
        <v>2.8E-3</v>
      </c>
      <c r="BH10" s="167">
        <v>1.1000000000000001E-3</v>
      </c>
      <c r="BI10" s="167">
        <v>8.9999999999999998E-4</v>
      </c>
      <c r="BL10" s="165">
        <v>6739</v>
      </c>
      <c r="BM10" s="167">
        <v>2.1100000000000001E-2</v>
      </c>
      <c r="BN10" s="167">
        <v>2.8E-3</v>
      </c>
      <c r="BO10" s="167">
        <v>1.1000000000000001E-3</v>
      </c>
      <c r="BP10" s="167">
        <v>8.9999999999999998E-4</v>
      </c>
      <c r="BS10" s="165">
        <v>6739</v>
      </c>
      <c r="BT10" s="167">
        <v>2.1100000000000001E-2</v>
      </c>
      <c r="BU10" s="167">
        <v>2.8E-3</v>
      </c>
      <c r="BV10" s="167">
        <v>1.1000000000000001E-3</v>
      </c>
      <c r="BW10" s="167">
        <v>8.9999999999999998E-4</v>
      </c>
      <c r="BZ10" s="165">
        <v>6739</v>
      </c>
      <c r="CA10" s="167">
        <v>2.1100000000000001E-2</v>
      </c>
      <c r="CB10" s="167">
        <v>2.8E-3</v>
      </c>
      <c r="CC10" s="167">
        <v>1.1000000000000001E-3</v>
      </c>
      <c r="CD10" s="167">
        <v>8.9999999999999998E-4</v>
      </c>
      <c r="CG10" s="165">
        <v>6739</v>
      </c>
      <c r="CH10" s="167">
        <v>2.1100000000000001E-2</v>
      </c>
      <c r="CI10" s="167">
        <v>2.8E-3</v>
      </c>
      <c r="CJ10" s="167">
        <v>1.1000000000000001E-3</v>
      </c>
      <c r="CK10" s="167">
        <v>8.9999999999999998E-4</v>
      </c>
      <c r="CN10" s="168">
        <v>6739</v>
      </c>
      <c r="CO10" s="167">
        <v>2.1100000000000001E-2</v>
      </c>
      <c r="CP10" s="167">
        <v>2.8E-3</v>
      </c>
      <c r="CQ10" s="167">
        <v>1.1000000000000001E-3</v>
      </c>
      <c r="CR10" s="167">
        <v>8.9999999999999998E-4</v>
      </c>
      <c r="CU10" s="168">
        <v>6739</v>
      </c>
      <c r="CV10" s="167">
        <v>2.1100000000000001E-2</v>
      </c>
      <c r="CW10" s="167">
        <v>2.8E-3</v>
      </c>
      <c r="CX10" s="167">
        <v>1.1000000000000001E-3</v>
      </c>
      <c r="CY10" s="167">
        <v>8.9999999999999998E-4</v>
      </c>
      <c r="DB10" s="168">
        <v>6739</v>
      </c>
      <c r="DC10" s="167">
        <v>2.1100000000000001E-2</v>
      </c>
      <c r="DD10" s="167">
        <v>2.8E-3</v>
      </c>
      <c r="DE10" s="167">
        <v>1.1000000000000001E-3</v>
      </c>
      <c r="DF10" s="167">
        <v>8.9999999999999998E-4</v>
      </c>
      <c r="DI10" s="168">
        <v>6739</v>
      </c>
      <c r="DJ10" s="167">
        <v>2.1100000000000001E-2</v>
      </c>
      <c r="DK10" s="167">
        <v>2.8E-3</v>
      </c>
      <c r="DL10" s="167">
        <v>1.1000000000000001E-3</v>
      </c>
      <c r="DM10" s="167">
        <v>8.9999999999999998E-4</v>
      </c>
      <c r="DN10" s="231"/>
      <c r="DO10" s="231"/>
      <c r="DP10" s="168">
        <v>6739</v>
      </c>
      <c r="DQ10" s="167">
        <v>2.1100000000000001E-2</v>
      </c>
      <c r="DR10" s="167">
        <v>2.8E-3</v>
      </c>
      <c r="DS10" s="167">
        <v>1.1000000000000001E-3</v>
      </c>
      <c r="DT10" s="167">
        <v>8.9999999999999998E-4</v>
      </c>
      <c r="DW10" s="168">
        <v>6739</v>
      </c>
      <c r="DX10" s="167">
        <v>2.1100000000000001E-2</v>
      </c>
      <c r="DY10" s="167">
        <v>2.8E-3</v>
      </c>
      <c r="DZ10" s="167">
        <v>1.1000000000000001E-3</v>
      </c>
      <c r="EA10" s="167">
        <v>8.9999999999999998E-4</v>
      </c>
      <c r="ED10" s="168">
        <v>6739</v>
      </c>
      <c r="EE10" s="167">
        <v>2.1100000000000001E-2</v>
      </c>
      <c r="EF10" s="167">
        <v>2.8E-3</v>
      </c>
      <c r="EG10" s="167">
        <v>1.1000000000000001E-3</v>
      </c>
      <c r="EH10" s="167">
        <v>8.9999999999999998E-4</v>
      </c>
      <c r="EK10" s="168">
        <v>6739</v>
      </c>
      <c r="EL10" s="167">
        <v>2.1100000000000001E-2</v>
      </c>
      <c r="EM10" s="167">
        <v>2.8E-3</v>
      </c>
      <c r="EN10" s="167">
        <v>1.1000000000000001E-3</v>
      </c>
      <c r="EO10" s="167">
        <v>8.9999999999999998E-4</v>
      </c>
      <c r="ER10" s="168">
        <v>6739</v>
      </c>
      <c r="ES10" s="167">
        <v>2.1100000000000001E-2</v>
      </c>
      <c r="ET10" s="167">
        <v>2.8E-3</v>
      </c>
      <c r="EU10" s="167">
        <v>1.1000000000000001E-3</v>
      </c>
      <c r="EV10" s="167">
        <v>8.9999999999999998E-4</v>
      </c>
      <c r="EY10" s="168">
        <v>6739</v>
      </c>
      <c r="EZ10" s="167">
        <v>2.1100000000000001E-2</v>
      </c>
      <c r="FA10" s="167">
        <v>2.8E-3</v>
      </c>
      <c r="FB10" s="167">
        <v>1.1000000000000001E-3</v>
      </c>
      <c r="FC10" s="167">
        <v>8.9999999999999998E-4</v>
      </c>
      <c r="FF10" s="168">
        <v>6739</v>
      </c>
      <c r="FG10" s="167">
        <v>2.1100000000000001E-2</v>
      </c>
      <c r="FH10" s="167">
        <v>2.8E-3</v>
      </c>
      <c r="FI10" s="167">
        <v>1.1000000000000001E-3</v>
      </c>
      <c r="FJ10" s="167">
        <v>8.9999999999999998E-4</v>
      </c>
      <c r="FM10" s="168">
        <v>6739</v>
      </c>
      <c r="FN10" s="167">
        <v>2.1100000000000001E-2</v>
      </c>
      <c r="FO10" s="167">
        <v>2.8E-3</v>
      </c>
      <c r="FP10" s="167">
        <v>1.1000000000000001E-3</v>
      </c>
      <c r="FQ10" s="167">
        <v>8.9999999999999998E-4</v>
      </c>
      <c r="FT10" s="168">
        <v>6739</v>
      </c>
      <c r="FU10" s="167">
        <f>VLOOKUP(FT10,Sheet4!A12:F88,3,0)</f>
        <v>2.1100000000000001E-2</v>
      </c>
      <c r="FV10" s="167">
        <f>VLOOKUP(FT10,Sheet4!A12:F88,4,0)</f>
        <v>2.8E-3</v>
      </c>
      <c r="FW10" s="167">
        <f>VLOOKUP(FT10,Sheet4!A12:F88,5,0)</f>
        <v>1.1000000000000001E-3</v>
      </c>
      <c r="FX10" s="167">
        <f>VLOOKUP(FT10,Sheet4!A12:F88,6,0)</f>
        <v>8.9999999999999998E-4</v>
      </c>
    </row>
    <row r="11" spans="1:180" x14ac:dyDescent="0.25">
      <c r="A11" s="9">
        <v>9349</v>
      </c>
      <c r="B11" s="9">
        <v>14.459099999999999</v>
      </c>
      <c r="C11" s="9">
        <v>1.9376</v>
      </c>
      <c r="D11" s="9">
        <v>0.73819999999999997</v>
      </c>
      <c r="E11" s="9">
        <v>0.6401</v>
      </c>
      <c r="H11" s="9">
        <v>9349</v>
      </c>
      <c r="I11" s="9">
        <v>14.782999999999999</v>
      </c>
      <c r="J11" s="9">
        <v>1.9810000000000001</v>
      </c>
      <c r="K11" s="9">
        <v>0.75480000000000003</v>
      </c>
      <c r="L11" s="9">
        <v>0.65449999999999997</v>
      </c>
      <c r="O11" s="154">
        <v>9349</v>
      </c>
      <c r="P11" s="154">
        <v>14.799099999999999</v>
      </c>
      <c r="Q11" s="154">
        <v>1.9831000000000001</v>
      </c>
      <c r="R11" s="154">
        <v>0.75560000000000005</v>
      </c>
      <c r="S11" s="154">
        <v>0.6552</v>
      </c>
      <c r="V11" s="151">
        <v>9349</v>
      </c>
      <c r="W11" s="151">
        <v>14.838900000000001</v>
      </c>
      <c r="X11" s="151">
        <v>1.9884999999999999</v>
      </c>
      <c r="Y11" s="151">
        <v>0.75760000000000005</v>
      </c>
      <c r="Z11" s="151">
        <v>0.65690000000000004</v>
      </c>
      <c r="AC11" s="155">
        <v>9349</v>
      </c>
      <c r="AD11" s="155">
        <v>14.9232</v>
      </c>
      <c r="AE11" s="155">
        <v>1.9998</v>
      </c>
      <c r="AF11" s="155">
        <v>0.76190000000000002</v>
      </c>
      <c r="AG11" s="155">
        <v>0.66069999999999995</v>
      </c>
      <c r="AJ11" s="160">
        <v>9349</v>
      </c>
      <c r="AK11" s="6">
        <v>15.030200000000001</v>
      </c>
      <c r="AL11" s="6">
        <v>2.0141</v>
      </c>
      <c r="AM11" s="6">
        <v>0.76739999999999997</v>
      </c>
      <c r="AN11" s="6">
        <v>0.66539999999999999</v>
      </c>
      <c r="AQ11" s="129">
        <v>9349</v>
      </c>
      <c r="AR11" s="53">
        <v>15.073399999999999</v>
      </c>
      <c r="AS11" s="53">
        <v>2.0198999999999998</v>
      </c>
      <c r="AT11" s="53">
        <v>0.76959999999999995</v>
      </c>
      <c r="AU11" s="53">
        <v>0.6673</v>
      </c>
      <c r="AX11" s="129">
        <v>9349</v>
      </c>
      <c r="AY11" s="53">
        <v>15.1015</v>
      </c>
      <c r="AZ11" s="53">
        <v>2.0236999999999998</v>
      </c>
      <c r="BA11" s="53">
        <v>0.77100000000000002</v>
      </c>
      <c r="BB11" s="53">
        <v>0.66859999999999997</v>
      </c>
      <c r="BC11" s="3"/>
      <c r="BD11" s="3"/>
      <c r="BE11" s="129">
        <v>9349</v>
      </c>
      <c r="BF11" s="53">
        <v>15.1137</v>
      </c>
      <c r="BG11" s="53">
        <v>2.0253000000000001</v>
      </c>
      <c r="BH11" s="53">
        <v>0.77159999999999995</v>
      </c>
      <c r="BI11" s="53">
        <v>0.66910000000000003</v>
      </c>
      <c r="BL11" s="129">
        <v>9349</v>
      </c>
      <c r="BM11" s="53">
        <v>15.177899999999999</v>
      </c>
      <c r="BN11" s="53">
        <v>2.0339</v>
      </c>
      <c r="BO11" s="53">
        <v>0.77490000000000003</v>
      </c>
      <c r="BP11" s="53">
        <v>0.67200000000000004</v>
      </c>
      <c r="BS11" s="129">
        <v>9349</v>
      </c>
      <c r="BT11" s="53">
        <v>15.2645</v>
      </c>
      <c r="BU11" s="53">
        <v>2.0455000000000001</v>
      </c>
      <c r="BV11" s="53">
        <v>0.77929999999999999</v>
      </c>
      <c r="BW11" s="53">
        <v>0.67579999999999996</v>
      </c>
      <c r="BZ11" s="129">
        <v>9349</v>
      </c>
      <c r="CA11" s="53">
        <v>15.292</v>
      </c>
      <c r="CB11" s="53">
        <v>2.0491999999999999</v>
      </c>
      <c r="CC11" s="53">
        <v>0.78069999999999995</v>
      </c>
      <c r="CD11" s="53">
        <v>0.67700000000000005</v>
      </c>
      <c r="CG11" s="129">
        <v>9349</v>
      </c>
      <c r="CH11" s="53">
        <v>15.3141</v>
      </c>
      <c r="CI11" s="53">
        <v>2.0520999999999998</v>
      </c>
      <c r="CJ11" s="53">
        <v>0.78190000000000004</v>
      </c>
      <c r="CK11" s="53">
        <v>0.67800000000000005</v>
      </c>
      <c r="CN11" s="207">
        <v>9349</v>
      </c>
      <c r="CO11" s="53">
        <v>15.366</v>
      </c>
      <c r="CP11" s="53">
        <v>2.0590999999999999</v>
      </c>
      <c r="CQ11" s="53">
        <v>0.78449999999999998</v>
      </c>
      <c r="CR11" s="53">
        <v>0.68030000000000002</v>
      </c>
      <c r="CU11" s="215">
        <v>9349</v>
      </c>
      <c r="CV11" s="53">
        <v>15.3833</v>
      </c>
      <c r="CW11" s="53">
        <v>2.0613999999999999</v>
      </c>
      <c r="CX11" s="53">
        <v>0.78539999999999999</v>
      </c>
      <c r="CY11" s="53">
        <v>0.68110000000000004</v>
      </c>
      <c r="DB11" s="217">
        <v>9349</v>
      </c>
      <c r="DC11" s="53">
        <v>15.401499999999999</v>
      </c>
      <c r="DD11" s="53">
        <v>2.0638999999999998</v>
      </c>
      <c r="DE11" s="53">
        <v>0.7863</v>
      </c>
      <c r="DF11" s="53">
        <v>0.68189999999999995</v>
      </c>
      <c r="DI11" s="222">
        <v>9349</v>
      </c>
      <c r="DJ11" s="53">
        <v>15.4168</v>
      </c>
      <c r="DK11" s="53">
        <v>2.0659000000000001</v>
      </c>
      <c r="DL11" s="53">
        <v>0.78710000000000002</v>
      </c>
      <c r="DM11" s="53">
        <v>0.6825</v>
      </c>
      <c r="DN11" s="231"/>
      <c r="DO11" s="231"/>
      <c r="DP11" s="227">
        <v>9349</v>
      </c>
      <c r="DQ11" s="53">
        <v>15.4382</v>
      </c>
      <c r="DR11" s="53">
        <v>2.0688</v>
      </c>
      <c r="DS11" s="53">
        <v>0.78820000000000001</v>
      </c>
      <c r="DT11" s="53">
        <v>0.6835</v>
      </c>
      <c r="DW11" s="235">
        <v>9349</v>
      </c>
      <c r="DX11" s="53">
        <v>15.462199999999999</v>
      </c>
      <c r="DY11" s="53">
        <v>2.0720000000000001</v>
      </c>
      <c r="DZ11" s="53">
        <v>0.78939999999999999</v>
      </c>
      <c r="EA11" s="53">
        <v>0.6845</v>
      </c>
      <c r="ED11" s="237">
        <v>9349</v>
      </c>
      <c r="EE11" s="53">
        <v>15.485900000000001</v>
      </c>
      <c r="EF11" s="53">
        <v>2.0752000000000002</v>
      </c>
      <c r="EG11" s="53">
        <v>0.79059999999999997</v>
      </c>
      <c r="EH11" s="53">
        <v>0.68559999999999999</v>
      </c>
      <c r="EK11" s="239">
        <v>9349</v>
      </c>
      <c r="EL11" s="53">
        <v>15.5311</v>
      </c>
      <c r="EM11" s="53">
        <v>2.0811999999999999</v>
      </c>
      <c r="EN11" s="53">
        <v>0.79290000000000005</v>
      </c>
      <c r="EO11" s="53">
        <v>0.68759999999999999</v>
      </c>
      <c r="ER11" s="243">
        <v>9349</v>
      </c>
      <c r="ES11" s="53">
        <v>15.577299999999999</v>
      </c>
      <c r="ET11" s="53">
        <v>2.0874000000000001</v>
      </c>
      <c r="EU11" s="53">
        <v>0.79530000000000001</v>
      </c>
      <c r="EV11" s="53">
        <v>0.68959999999999999</v>
      </c>
      <c r="EY11" s="245">
        <v>9349</v>
      </c>
      <c r="EZ11" s="53">
        <v>15.5909</v>
      </c>
      <c r="FA11" s="53">
        <v>2.0891999999999999</v>
      </c>
      <c r="FB11" s="53">
        <v>0.79600000000000004</v>
      </c>
      <c r="FC11" s="53">
        <v>0.69020000000000004</v>
      </c>
      <c r="FF11" s="249">
        <v>9349</v>
      </c>
      <c r="FG11" s="53">
        <v>15.612500000000001</v>
      </c>
      <c r="FH11" s="53">
        <v>2.0920999999999998</v>
      </c>
      <c r="FI11" s="53">
        <v>0.79710000000000003</v>
      </c>
      <c r="FJ11" s="53">
        <v>0.69120000000000004</v>
      </c>
      <c r="FM11" s="252">
        <v>9349</v>
      </c>
      <c r="FN11" s="53">
        <v>15.6233</v>
      </c>
      <c r="FO11" s="53">
        <v>2.0935999999999999</v>
      </c>
      <c r="FP11" s="53">
        <v>0.79769999999999996</v>
      </c>
      <c r="FQ11" s="53">
        <v>0.69169999999999998</v>
      </c>
      <c r="FT11" s="254">
        <v>9349</v>
      </c>
      <c r="FU11" s="53">
        <f>VLOOKUP(FT11,Sheet4!A13:F89,3,0)</f>
        <v>15.648099999999999</v>
      </c>
      <c r="FV11" s="53">
        <f>VLOOKUP(FT11,Sheet4!A13:F89,4,0)</f>
        <v>2.0969000000000002</v>
      </c>
      <c r="FW11" s="53">
        <f>VLOOKUP(FT11,Sheet4!A13:F89,5,0)</f>
        <v>0.79890000000000005</v>
      </c>
      <c r="FX11" s="53">
        <f>VLOOKUP(FT11,Sheet4!A13:F89,6,0)</f>
        <v>0.69279999999999997</v>
      </c>
    </row>
    <row r="12" spans="1:180" x14ac:dyDescent="0.25">
      <c r="A12" s="9">
        <v>9350</v>
      </c>
      <c r="B12" s="9">
        <v>15.430899999999999</v>
      </c>
      <c r="C12" s="9">
        <v>2.0678000000000001</v>
      </c>
      <c r="D12" s="9">
        <v>0.78779999999999994</v>
      </c>
      <c r="E12" s="9">
        <v>0.68320000000000003</v>
      </c>
      <c r="H12" s="9">
        <v>9350</v>
      </c>
      <c r="I12" s="9">
        <v>15.754799999999999</v>
      </c>
      <c r="J12" s="9">
        <v>2.1112000000000002</v>
      </c>
      <c r="K12" s="9">
        <v>0.8044</v>
      </c>
      <c r="L12" s="9">
        <v>0.69750000000000001</v>
      </c>
      <c r="O12" s="148">
        <v>9350</v>
      </c>
      <c r="P12" s="148">
        <v>15.770899999999999</v>
      </c>
      <c r="Q12" s="148">
        <v>2.1133999999999999</v>
      </c>
      <c r="R12" s="148">
        <v>0.80520000000000003</v>
      </c>
      <c r="S12" s="148">
        <v>0.69820000000000004</v>
      </c>
      <c r="V12" s="151">
        <v>9350</v>
      </c>
      <c r="W12" s="151">
        <v>15.810700000000001</v>
      </c>
      <c r="X12" s="151">
        <v>2.1187</v>
      </c>
      <c r="Y12" s="151">
        <v>0.80720000000000003</v>
      </c>
      <c r="Z12" s="151">
        <v>0.7</v>
      </c>
      <c r="AC12" s="155">
        <v>9350</v>
      </c>
      <c r="AD12" s="155">
        <v>15.895</v>
      </c>
      <c r="AE12" s="155">
        <v>2.13</v>
      </c>
      <c r="AF12" s="155">
        <v>0.8115</v>
      </c>
      <c r="AG12" s="155">
        <v>0.70369999999999999</v>
      </c>
      <c r="AJ12" s="168">
        <v>9350</v>
      </c>
      <c r="AK12" s="169">
        <v>16.001999999999999</v>
      </c>
      <c r="AL12" s="169">
        <v>2.1442999999999999</v>
      </c>
      <c r="AM12" s="169">
        <v>0.81699999999999995</v>
      </c>
      <c r="AN12" s="169">
        <v>0.70840000000000003</v>
      </c>
      <c r="AQ12" s="165">
        <v>9350</v>
      </c>
      <c r="AR12" s="167">
        <v>16.045200000000001</v>
      </c>
      <c r="AS12" s="167">
        <v>2.1501000000000001</v>
      </c>
      <c r="AT12" s="167">
        <v>0.81920000000000004</v>
      </c>
      <c r="AU12" s="167">
        <v>0.71040000000000003</v>
      </c>
      <c r="AX12" s="165">
        <v>9350</v>
      </c>
      <c r="AY12" s="167">
        <v>16.0733</v>
      </c>
      <c r="AZ12" s="167">
        <v>2.1539000000000001</v>
      </c>
      <c r="BA12" s="167">
        <v>0.8206</v>
      </c>
      <c r="BB12" s="167">
        <v>0.71160000000000001</v>
      </c>
      <c r="BC12" s="3"/>
      <c r="BD12" s="182"/>
      <c r="BE12" s="165">
        <v>9350</v>
      </c>
      <c r="BF12" s="167">
        <v>16.0855</v>
      </c>
      <c r="BG12" s="167">
        <v>2.1555</v>
      </c>
      <c r="BH12" s="167">
        <v>0.82130000000000003</v>
      </c>
      <c r="BI12" s="167">
        <v>0.71209999999999996</v>
      </c>
      <c r="BL12" s="165">
        <v>9350</v>
      </c>
      <c r="BM12" s="167">
        <v>16.149699999999999</v>
      </c>
      <c r="BN12" s="167">
        <v>2.1640999999999999</v>
      </c>
      <c r="BO12" s="167">
        <v>0.82450000000000001</v>
      </c>
      <c r="BP12" s="167">
        <v>0.71499999999999997</v>
      </c>
      <c r="BS12" s="165">
        <v>9350</v>
      </c>
      <c r="BT12" s="167">
        <v>16.2363</v>
      </c>
      <c r="BU12" s="167">
        <v>2.1757</v>
      </c>
      <c r="BV12" s="167">
        <v>0.82899999999999996</v>
      </c>
      <c r="BW12" s="167">
        <v>0.71879999999999999</v>
      </c>
      <c r="BZ12" s="165">
        <v>9350</v>
      </c>
      <c r="CA12" s="167">
        <v>16.2638</v>
      </c>
      <c r="CB12" s="167">
        <v>2.1793999999999998</v>
      </c>
      <c r="CC12" s="167">
        <v>0.83040000000000003</v>
      </c>
      <c r="CD12" s="167">
        <v>0.72</v>
      </c>
      <c r="CG12" s="165">
        <v>9350</v>
      </c>
      <c r="CH12" s="167">
        <v>16.285900000000002</v>
      </c>
      <c r="CI12" s="167">
        <v>2.1823999999999999</v>
      </c>
      <c r="CJ12" s="167">
        <v>0.83150000000000002</v>
      </c>
      <c r="CK12" s="167">
        <v>0.72099999999999997</v>
      </c>
      <c r="CN12" s="168">
        <v>9350</v>
      </c>
      <c r="CO12" s="167">
        <v>16.337800000000001</v>
      </c>
      <c r="CP12" s="167">
        <v>2.1892999999999998</v>
      </c>
      <c r="CQ12" s="167">
        <v>0.83409999999999995</v>
      </c>
      <c r="CR12" s="167">
        <v>0.72330000000000005</v>
      </c>
      <c r="CU12" s="168">
        <v>9350</v>
      </c>
      <c r="CV12" s="167">
        <v>16.3551</v>
      </c>
      <c r="CW12" s="167">
        <v>2.1916000000000002</v>
      </c>
      <c r="CX12" s="167">
        <v>0.83499999999999996</v>
      </c>
      <c r="CY12" s="167">
        <v>0.72409999999999997</v>
      </c>
      <c r="DB12" s="168">
        <v>9350</v>
      </c>
      <c r="DC12" s="167">
        <v>16.3733</v>
      </c>
      <c r="DD12" s="167">
        <v>2.1940999999999997</v>
      </c>
      <c r="DE12" s="167">
        <v>0.83589999999999998</v>
      </c>
      <c r="DF12" s="167">
        <v>0.72489999999999999</v>
      </c>
      <c r="DI12" s="168">
        <v>9350</v>
      </c>
      <c r="DJ12" s="167">
        <v>16.3886</v>
      </c>
      <c r="DK12" s="167">
        <v>2.1960999999999999</v>
      </c>
      <c r="DL12" s="167">
        <v>0.8367</v>
      </c>
      <c r="DM12" s="167">
        <v>0.72560000000000002</v>
      </c>
      <c r="DN12" s="231"/>
      <c r="DO12" s="231"/>
      <c r="DP12" s="168">
        <v>9350</v>
      </c>
      <c r="DQ12" s="167">
        <v>16.41</v>
      </c>
      <c r="DR12" s="167">
        <v>2.1989999999999998</v>
      </c>
      <c r="DS12" s="167">
        <v>0.83779999999999999</v>
      </c>
      <c r="DT12" s="167">
        <v>0.72650000000000003</v>
      </c>
      <c r="DW12" s="168">
        <v>9350</v>
      </c>
      <c r="DX12" s="167">
        <v>16.434000000000001</v>
      </c>
      <c r="DY12" s="167">
        <v>2.2021999999999999</v>
      </c>
      <c r="DZ12" s="167">
        <v>0.83899999999999997</v>
      </c>
      <c r="EA12" s="167">
        <v>0.72760000000000002</v>
      </c>
      <c r="ED12" s="168">
        <v>9350</v>
      </c>
      <c r="EE12" s="167">
        <v>16.457699999999999</v>
      </c>
      <c r="EF12" s="167">
        <v>2.2054</v>
      </c>
      <c r="EG12" s="167">
        <v>0.84030000000000005</v>
      </c>
      <c r="EH12" s="167">
        <v>0.72860000000000003</v>
      </c>
      <c r="EK12" s="168">
        <v>9350</v>
      </c>
      <c r="EL12" s="167">
        <v>16.5029</v>
      </c>
      <c r="EM12" s="167">
        <v>2.2115</v>
      </c>
      <c r="EN12" s="167">
        <v>0.84260000000000002</v>
      </c>
      <c r="EO12" s="167">
        <v>0.73060000000000003</v>
      </c>
      <c r="ER12" s="168">
        <v>9350</v>
      </c>
      <c r="ES12" s="167">
        <v>16.549099999999999</v>
      </c>
      <c r="ET12" s="167">
        <v>2.2176</v>
      </c>
      <c r="EU12" s="167">
        <v>0.84489999999999998</v>
      </c>
      <c r="EV12" s="167">
        <v>0.73270000000000002</v>
      </c>
      <c r="EY12" s="168">
        <v>9350</v>
      </c>
      <c r="EZ12" s="167">
        <v>16.5627</v>
      </c>
      <c r="FA12" s="167">
        <v>2.2195</v>
      </c>
      <c r="FB12" s="167">
        <v>0.84560000000000002</v>
      </c>
      <c r="FC12" s="167">
        <v>0.73329999999999995</v>
      </c>
      <c r="FF12" s="168">
        <v>9350</v>
      </c>
      <c r="FG12" s="167">
        <v>16.584299999999999</v>
      </c>
      <c r="FH12" s="167">
        <v>2.2223999999999999</v>
      </c>
      <c r="FI12" s="167">
        <v>0.84670000000000001</v>
      </c>
      <c r="FJ12" s="167">
        <v>0.73419999999999996</v>
      </c>
      <c r="FM12" s="168">
        <v>9350</v>
      </c>
      <c r="FN12" s="167">
        <v>16.595099999999999</v>
      </c>
      <c r="FO12" s="167">
        <v>2.2238000000000002</v>
      </c>
      <c r="FP12" s="167">
        <v>0.84730000000000005</v>
      </c>
      <c r="FQ12" s="167">
        <v>0.73470000000000002</v>
      </c>
      <c r="FT12" s="168">
        <v>9350</v>
      </c>
      <c r="FU12" s="167">
        <f>VLOOKUP(FT12,Sheet4!A14:F90,3,0)</f>
        <v>16.619900000000001</v>
      </c>
      <c r="FV12" s="167">
        <f>VLOOKUP(FT12,Sheet4!A14:F90,4,0)</f>
        <v>2.2271000000000001</v>
      </c>
      <c r="FW12" s="167">
        <f>VLOOKUP(FT12,Sheet4!A14:F90,5,0)</f>
        <v>0.84850000000000003</v>
      </c>
      <c r="FX12" s="167">
        <f>VLOOKUP(FT12,Sheet4!A14:F90,6,0)</f>
        <v>0.73580000000000001</v>
      </c>
    </row>
    <row r="13" spans="1:180" x14ac:dyDescent="0.25">
      <c r="A13" s="9">
        <v>9351</v>
      </c>
      <c r="B13" s="9">
        <v>0.1328</v>
      </c>
      <c r="C13" s="9">
        <v>1.78E-2</v>
      </c>
      <c r="D13" s="9">
        <v>6.7999999999999996E-3</v>
      </c>
      <c r="E13" s="9">
        <v>5.8999999999999999E-3</v>
      </c>
      <c r="H13" s="9">
        <v>9351</v>
      </c>
      <c r="I13" s="9">
        <v>0.1328</v>
      </c>
      <c r="J13" s="9">
        <v>1.78E-2</v>
      </c>
      <c r="K13" s="9">
        <v>6.7999999999999996E-3</v>
      </c>
      <c r="L13" s="9">
        <v>5.8999999999999999E-3</v>
      </c>
      <c r="O13" s="154">
        <v>9351</v>
      </c>
      <c r="P13" s="154">
        <v>0.1328</v>
      </c>
      <c r="Q13" s="154">
        <v>1.78E-2</v>
      </c>
      <c r="R13" s="154">
        <v>6.7999999999999996E-3</v>
      </c>
      <c r="S13" s="154">
        <v>5.8999999999999999E-3</v>
      </c>
      <c r="V13" s="151">
        <v>9351</v>
      </c>
      <c r="W13" s="151">
        <v>0.1328</v>
      </c>
      <c r="X13" s="151">
        <v>1.78E-2</v>
      </c>
      <c r="Y13" s="151">
        <v>6.7999999999999996E-3</v>
      </c>
      <c r="Z13" s="151">
        <v>5.8999999999999999E-3</v>
      </c>
      <c r="AC13" s="155">
        <v>9351</v>
      </c>
      <c r="AD13" s="155">
        <v>0.1328</v>
      </c>
      <c r="AE13" s="155">
        <v>1.78E-2</v>
      </c>
      <c r="AF13" s="155">
        <v>6.7999999999999996E-3</v>
      </c>
      <c r="AG13" s="155">
        <v>5.8999999999999999E-3</v>
      </c>
      <c r="AJ13" s="160">
        <v>9351</v>
      </c>
      <c r="AK13" s="6">
        <v>0.1328</v>
      </c>
      <c r="AL13" s="6">
        <v>1.78E-2</v>
      </c>
      <c r="AM13" s="6">
        <v>6.7999999999999996E-3</v>
      </c>
      <c r="AN13" s="6">
        <v>5.8999999999999999E-3</v>
      </c>
      <c r="AQ13" s="129">
        <v>9351</v>
      </c>
      <c r="AR13" s="53">
        <v>0.1328</v>
      </c>
      <c r="AS13" s="53">
        <v>1.78E-2</v>
      </c>
      <c r="AT13" s="53">
        <v>6.7999999999999996E-3</v>
      </c>
      <c r="AU13" s="53">
        <v>5.8999999999999999E-3</v>
      </c>
      <c r="AX13" s="129">
        <v>9351</v>
      </c>
      <c r="AY13" s="53">
        <v>0.1328</v>
      </c>
      <c r="AZ13" s="53">
        <v>1.78E-2</v>
      </c>
      <c r="BA13" s="53">
        <v>6.7999999999999996E-3</v>
      </c>
      <c r="BB13" s="53">
        <v>5.8999999999999999E-3</v>
      </c>
      <c r="BC13" s="3"/>
      <c r="BD13" s="182"/>
      <c r="BE13" s="129">
        <v>9351</v>
      </c>
      <c r="BF13" s="53">
        <v>0.1328</v>
      </c>
      <c r="BG13" s="53">
        <v>1.78E-2</v>
      </c>
      <c r="BH13" s="53">
        <v>6.7999999999999996E-3</v>
      </c>
      <c r="BI13" s="53">
        <v>5.8999999999999999E-3</v>
      </c>
      <c r="BL13" s="129">
        <v>9351</v>
      </c>
      <c r="BM13" s="53">
        <v>0.1328</v>
      </c>
      <c r="BN13" s="53">
        <v>1.78E-2</v>
      </c>
      <c r="BO13" s="53">
        <v>6.7999999999999996E-3</v>
      </c>
      <c r="BP13" s="53">
        <v>5.8999999999999999E-3</v>
      </c>
      <c r="BS13" s="129">
        <v>9351</v>
      </c>
      <c r="BT13" s="53">
        <v>0.1328</v>
      </c>
      <c r="BU13" s="53">
        <v>1.78E-2</v>
      </c>
      <c r="BV13" s="53">
        <v>6.7999999999999996E-3</v>
      </c>
      <c r="BW13" s="53">
        <v>5.8999999999999999E-3</v>
      </c>
      <c r="BZ13" s="129">
        <v>9351</v>
      </c>
      <c r="CA13" s="53">
        <v>0.1328</v>
      </c>
      <c r="CB13" s="53">
        <v>1.78E-2</v>
      </c>
      <c r="CC13" s="53">
        <v>6.7999999999999996E-3</v>
      </c>
      <c r="CD13" s="53">
        <v>5.8999999999999999E-3</v>
      </c>
      <c r="CG13" s="129">
        <v>9351</v>
      </c>
      <c r="CH13" s="53">
        <v>0.1328</v>
      </c>
      <c r="CI13" s="53">
        <v>1.78E-2</v>
      </c>
      <c r="CJ13" s="53">
        <v>6.7999999999999996E-3</v>
      </c>
      <c r="CK13" s="53">
        <v>5.8999999999999999E-3</v>
      </c>
      <c r="CN13" s="207">
        <v>9351</v>
      </c>
      <c r="CO13" s="53">
        <v>0.1328</v>
      </c>
      <c r="CP13" s="53">
        <v>1.78E-2</v>
      </c>
      <c r="CQ13" s="53">
        <v>6.7999999999999996E-3</v>
      </c>
      <c r="CR13" s="53">
        <v>5.8999999999999999E-3</v>
      </c>
      <c r="CU13" s="215">
        <v>9351</v>
      </c>
      <c r="CV13" s="53">
        <v>0.1328</v>
      </c>
      <c r="CW13" s="53">
        <v>1.78E-2</v>
      </c>
      <c r="CX13" s="53">
        <v>6.7999999999999996E-3</v>
      </c>
      <c r="CY13" s="53">
        <v>5.8999999999999999E-3</v>
      </c>
      <c r="DB13" s="217">
        <v>9351</v>
      </c>
      <c r="DC13" s="53">
        <v>0.1328</v>
      </c>
      <c r="DD13" s="53">
        <v>1.78E-2</v>
      </c>
      <c r="DE13" s="53">
        <v>6.7999999999999996E-3</v>
      </c>
      <c r="DF13" s="53">
        <v>5.8999999999999999E-3</v>
      </c>
      <c r="DI13" s="222">
        <v>9351</v>
      </c>
      <c r="DJ13" s="53">
        <v>0.1328</v>
      </c>
      <c r="DK13" s="53">
        <v>1.78E-2</v>
      </c>
      <c r="DL13" s="53">
        <v>6.7999999999999996E-3</v>
      </c>
      <c r="DM13" s="53">
        <v>5.8999999999999999E-3</v>
      </c>
      <c r="DN13" s="231"/>
      <c r="DO13" s="231"/>
      <c r="DP13" s="227">
        <v>9351</v>
      </c>
      <c r="DQ13" s="53">
        <v>0.1328</v>
      </c>
      <c r="DR13" s="53">
        <v>1.78E-2</v>
      </c>
      <c r="DS13" s="53">
        <v>6.7999999999999996E-3</v>
      </c>
      <c r="DT13" s="53">
        <v>5.8999999999999999E-3</v>
      </c>
      <c r="DW13" s="235">
        <v>9351</v>
      </c>
      <c r="DX13" s="53">
        <v>0.1328</v>
      </c>
      <c r="DY13" s="53">
        <v>1.78E-2</v>
      </c>
      <c r="DZ13" s="53">
        <v>6.7999999999999996E-3</v>
      </c>
      <c r="EA13" s="53">
        <v>5.8999999999999999E-3</v>
      </c>
      <c r="ED13" s="237">
        <v>9351</v>
      </c>
      <c r="EE13" s="53">
        <v>0.1328</v>
      </c>
      <c r="EF13" s="53">
        <v>1.78E-2</v>
      </c>
      <c r="EG13" s="53">
        <v>6.7999999999999996E-3</v>
      </c>
      <c r="EH13" s="53">
        <v>5.8999999999999999E-3</v>
      </c>
      <c r="EK13" s="239">
        <v>9351</v>
      </c>
      <c r="EL13" s="53">
        <v>0.1328</v>
      </c>
      <c r="EM13" s="53">
        <v>1.78E-2</v>
      </c>
      <c r="EN13" s="53">
        <v>6.7999999999999996E-3</v>
      </c>
      <c r="EO13" s="53">
        <v>5.8999999999999999E-3</v>
      </c>
      <c r="ER13" s="243">
        <v>9351</v>
      </c>
      <c r="ES13" s="53">
        <v>0.1328</v>
      </c>
      <c r="ET13" s="53">
        <v>1.78E-2</v>
      </c>
      <c r="EU13" s="53">
        <v>6.7999999999999996E-3</v>
      </c>
      <c r="EV13" s="53">
        <v>5.8999999999999999E-3</v>
      </c>
      <c r="EY13" s="245">
        <v>9351</v>
      </c>
      <c r="EZ13" s="53">
        <v>0.1328</v>
      </c>
      <c r="FA13" s="53">
        <v>1.78E-2</v>
      </c>
      <c r="FB13" s="53">
        <v>6.7999999999999996E-3</v>
      </c>
      <c r="FC13" s="53">
        <v>5.8999999999999999E-3</v>
      </c>
      <c r="FF13" s="249">
        <v>9351</v>
      </c>
      <c r="FG13" s="53">
        <v>0.1328</v>
      </c>
      <c r="FH13" s="53">
        <v>1.78E-2</v>
      </c>
      <c r="FI13" s="53">
        <v>6.7999999999999996E-3</v>
      </c>
      <c r="FJ13" s="53">
        <v>5.8999999999999999E-3</v>
      </c>
      <c r="FM13" s="252">
        <v>9351</v>
      </c>
      <c r="FN13" s="53">
        <v>0.1328</v>
      </c>
      <c r="FO13" s="53">
        <v>1.78E-2</v>
      </c>
      <c r="FP13" s="53">
        <v>6.7999999999999996E-3</v>
      </c>
      <c r="FQ13" s="53">
        <v>5.8999999999999999E-3</v>
      </c>
      <c r="FT13" s="254">
        <v>9351</v>
      </c>
      <c r="FU13" s="53">
        <f>VLOOKUP(FT13,Sheet4!A15:F91,3,0)</f>
        <v>0.1328</v>
      </c>
      <c r="FV13" s="53">
        <f>VLOOKUP(FT13,Sheet4!A15:F91,4,0)</f>
        <v>1.78E-2</v>
      </c>
      <c r="FW13" s="53">
        <f>VLOOKUP(FT13,Sheet4!A15:F91,5,0)</f>
        <v>6.7999999999999996E-3</v>
      </c>
      <c r="FX13" s="53">
        <f>VLOOKUP(FT13,Sheet4!A15:F91,6,0)</f>
        <v>5.8999999999999999E-3</v>
      </c>
    </row>
    <row r="14" spans="1:180" x14ac:dyDescent="0.25">
      <c r="A14" s="9">
        <v>9352</v>
      </c>
      <c r="B14" s="9">
        <v>12.1546</v>
      </c>
      <c r="C14" s="9">
        <v>1.6288</v>
      </c>
      <c r="D14" s="9">
        <v>0.62060000000000004</v>
      </c>
      <c r="E14" s="9">
        <v>0.53810000000000002</v>
      </c>
      <c r="H14" s="9">
        <v>9352</v>
      </c>
      <c r="I14" s="9">
        <v>12.5669</v>
      </c>
      <c r="J14" s="9">
        <v>1.6839999999999999</v>
      </c>
      <c r="K14" s="9">
        <v>0.64159999999999995</v>
      </c>
      <c r="L14" s="9">
        <v>0.55640000000000001</v>
      </c>
      <c r="O14" s="148">
        <v>9352</v>
      </c>
      <c r="P14" s="148">
        <v>12.587400000000001</v>
      </c>
      <c r="Q14" s="148">
        <v>1.6868000000000001</v>
      </c>
      <c r="R14" s="148">
        <v>0.64270000000000005</v>
      </c>
      <c r="S14" s="148">
        <v>0.55730000000000002</v>
      </c>
      <c r="V14" s="151">
        <v>9352</v>
      </c>
      <c r="W14" s="151">
        <v>12.6381</v>
      </c>
      <c r="X14" s="151">
        <v>1.6936</v>
      </c>
      <c r="Y14" s="151">
        <v>0.6452</v>
      </c>
      <c r="Z14" s="151">
        <v>0.5595</v>
      </c>
      <c r="AC14" s="155">
        <v>9352</v>
      </c>
      <c r="AD14" s="155">
        <v>12.7454</v>
      </c>
      <c r="AE14" s="155">
        <v>1.7079</v>
      </c>
      <c r="AF14" s="155">
        <v>0.65069999999999995</v>
      </c>
      <c r="AG14" s="155">
        <v>0.56430000000000002</v>
      </c>
      <c r="AJ14" s="168">
        <v>9352</v>
      </c>
      <c r="AK14" s="169">
        <v>12.881600000000001</v>
      </c>
      <c r="AL14" s="169">
        <v>1.7262</v>
      </c>
      <c r="AM14" s="169">
        <v>0.65769999999999995</v>
      </c>
      <c r="AN14" s="169">
        <v>0.57030000000000003</v>
      </c>
      <c r="AQ14" s="165">
        <v>9352</v>
      </c>
      <c r="AR14" s="167">
        <v>12.9366</v>
      </c>
      <c r="AS14" s="167">
        <v>1.7336</v>
      </c>
      <c r="AT14" s="167">
        <v>0.66049999999999998</v>
      </c>
      <c r="AU14" s="167">
        <v>0.57269999999999999</v>
      </c>
      <c r="AX14" s="165">
        <v>9352</v>
      </c>
      <c r="AY14" s="167">
        <v>12.9724</v>
      </c>
      <c r="AZ14" s="167">
        <v>1.7383999999999999</v>
      </c>
      <c r="BA14" s="167">
        <v>0.6623</v>
      </c>
      <c r="BB14" s="167">
        <v>0.57430000000000003</v>
      </c>
      <c r="BC14" s="3"/>
      <c r="BD14" s="182"/>
      <c r="BE14" s="165">
        <v>9352</v>
      </c>
      <c r="BF14" s="167">
        <v>12.9879</v>
      </c>
      <c r="BG14" s="167">
        <v>1.7403999999999999</v>
      </c>
      <c r="BH14" s="167">
        <v>0.66310000000000002</v>
      </c>
      <c r="BI14" s="167">
        <v>0.57499999999999996</v>
      </c>
      <c r="BL14" s="165">
        <v>9352</v>
      </c>
      <c r="BM14" s="167">
        <v>13.0695</v>
      </c>
      <c r="BN14" s="167">
        <v>1.7514000000000001</v>
      </c>
      <c r="BO14" s="167">
        <v>0.6673</v>
      </c>
      <c r="BP14" s="167">
        <v>0.5786</v>
      </c>
      <c r="BS14" s="165">
        <v>9352</v>
      </c>
      <c r="BT14" s="167">
        <v>13.1797</v>
      </c>
      <c r="BU14" s="167">
        <v>1.7661</v>
      </c>
      <c r="BV14" s="167">
        <v>0.67290000000000005</v>
      </c>
      <c r="BW14" s="167">
        <v>0.58350000000000002</v>
      </c>
      <c r="BZ14" s="165">
        <v>9352</v>
      </c>
      <c r="CA14" s="167">
        <v>13.214700000000001</v>
      </c>
      <c r="CB14" s="167">
        <v>1.7707999999999999</v>
      </c>
      <c r="CC14" s="167">
        <v>0.67469999999999997</v>
      </c>
      <c r="CD14" s="167">
        <v>0.58499999999999996</v>
      </c>
      <c r="CG14" s="165">
        <v>9352</v>
      </c>
      <c r="CH14" s="167">
        <v>13.242900000000001</v>
      </c>
      <c r="CI14" s="167">
        <v>1.7746</v>
      </c>
      <c r="CJ14" s="167">
        <v>0.67610000000000003</v>
      </c>
      <c r="CK14" s="167">
        <v>0.58630000000000004</v>
      </c>
      <c r="CN14" s="168">
        <v>9352</v>
      </c>
      <c r="CO14" s="167">
        <v>13.3089</v>
      </c>
      <c r="CP14" s="167">
        <v>1.7834000000000001</v>
      </c>
      <c r="CQ14" s="167">
        <v>0.67949999999999999</v>
      </c>
      <c r="CR14" s="167">
        <v>0.58919999999999995</v>
      </c>
      <c r="CU14" s="168">
        <v>9352</v>
      </c>
      <c r="CV14" s="167">
        <v>13.3309</v>
      </c>
      <c r="CW14" s="167">
        <v>1.7864</v>
      </c>
      <c r="CX14" s="167">
        <v>0.68059999999999998</v>
      </c>
      <c r="CY14" s="167">
        <v>0.59019999999999995</v>
      </c>
      <c r="DB14" s="168">
        <v>9352</v>
      </c>
      <c r="DC14" s="167">
        <v>13.354099999999999</v>
      </c>
      <c r="DD14" s="167">
        <v>1.7894999999999999</v>
      </c>
      <c r="DE14" s="167">
        <v>0.68179999999999996</v>
      </c>
      <c r="DF14" s="167">
        <v>0.59119999999999995</v>
      </c>
      <c r="DI14" s="168">
        <v>9352</v>
      </c>
      <c r="DJ14" s="167">
        <v>13.3735</v>
      </c>
      <c r="DK14" s="167">
        <v>1.7921</v>
      </c>
      <c r="DL14" s="167">
        <v>0.68279999999999996</v>
      </c>
      <c r="DM14" s="167">
        <v>0.59209999999999996</v>
      </c>
      <c r="DN14" s="231"/>
      <c r="DO14" s="231"/>
      <c r="DP14" s="168">
        <v>9352</v>
      </c>
      <c r="DQ14" s="167">
        <v>13.400700000000001</v>
      </c>
      <c r="DR14" s="167">
        <v>1.7957000000000001</v>
      </c>
      <c r="DS14" s="167">
        <v>0.68420000000000003</v>
      </c>
      <c r="DT14" s="167">
        <v>0.59330000000000005</v>
      </c>
      <c r="DW14" s="168">
        <v>9352</v>
      </c>
      <c r="DX14" s="167">
        <v>13.4313</v>
      </c>
      <c r="DY14" s="167">
        <v>1.7998000000000001</v>
      </c>
      <c r="DZ14" s="167">
        <v>0.68569999999999998</v>
      </c>
      <c r="EA14" s="167">
        <v>0.59460000000000002</v>
      </c>
      <c r="ED14" s="168">
        <v>9352</v>
      </c>
      <c r="EE14" s="167">
        <v>13.461399999999999</v>
      </c>
      <c r="EF14" s="167">
        <v>1.8039000000000001</v>
      </c>
      <c r="EG14" s="167">
        <v>0.68730000000000002</v>
      </c>
      <c r="EH14" s="167">
        <v>0.59599999999999997</v>
      </c>
      <c r="EK14" s="168">
        <v>9352</v>
      </c>
      <c r="EL14" s="167">
        <v>13.5189</v>
      </c>
      <c r="EM14" s="167">
        <v>1.8116000000000001</v>
      </c>
      <c r="EN14" s="167">
        <v>0.69020000000000004</v>
      </c>
      <c r="EO14" s="167">
        <v>0.59850000000000003</v>
      </c>
      <c r="ER14" s="168">
        <v>9352</v>
      </c>
      <c r="ES14" s="167">
        <v>13.5777</v>
      </c>
      <c r="ET14" s="167">
        <v>1.8194999999999999</v>
      </c>
      <c r="EU14" s="167">
        <v>0.69320000000000004</v>
      </c>
      <c r="EV14" s="167">
        <v>0.60109999999999997</v>
      </c>
      <c r="EY14" s="168">
        <v>9352</v>
      </c>
      <c r="EZ14" s="167">
        <v>13.595000000000001</v>
      </c>
      <c r="FA14" s="167">
        <v>1.8218000000000001</v>
      </c>
      <c r="FB14" s="167">
        <v>0.69410000000000005</v>
      </c>
      <c r="FC14" s="167">
        <v>0.60189999999999999</v>
      </c>
      <c r="FF14" s="168">
        <v>9352</v>
      </c>
      <c r="FG14" s="167">
        <v>13.622400000000001</v>
      </c>
      <c r="FH14" s="167">
        <v>1.8254999999999999</v>
      </c>
      <c r="FI14" s="167">
        <v>0.69550000000000001</v>
      </c>
      <c r="FJ14" s="167">
        <v>0.60309999999999997</v>
      </c>
      <c r="FM14" s="168">
        <v>9352</v>
      </c>
      <c r="FN14" s="167">
        <v>13.636200000000001</v>
      </c>
      <c r="FO14" s="167">
        <v>1.8272999999999999</v>
      </c>
      <c r="FP14" s="167">
        <v>0.69620000000000004</v>
      </c>
      <c r="FQ14" s="167">
        <v>0.60370000000000001</v>
      </c>
      <c r="FT14" s="168">
        <v>9352</v>
      </c>
      <c r="FU14" s="167">
        <f>VLOOKUP(FT14,Sheet4!A16:F92,3,0)</f>
        <v>13.6678</v>
      </c>
      <c r="FV14" s="167">
        <f>VLOOKUP(FT14,Sheet4!A16:F92,4,0)</f>
        <v>1.8314999999999999</v>
      </c>
      <c r="FW14" s="167">
        <f>VLOOKUP(FT14,Sheet4!A16:F92,5,0)</f>
        <v>0.69779999999999998</v>
      </c>
      <c r="FX14" s="167">
        <f>VLOOKUP(FT14,Sheet4!A16:F92,6,0)</f>
        <v>0.60509999999999997</v>
      </c>
    </row>
    <row r="15" spans="1:180" x14ac:dyDescent="0.25">
      <c r="A15" s="9">
        <v>9353</v>
      </c>
      <c r="B15" s="9">
        <v>14.898099999999999</v>
      </c>
      <c r="C15" s="9">
        <v>1.9964</v>
      </c>
      <c r="D15" s="9">
        <v>0.76060000000000005</v>
      </c>
      <c r="E15" s="9">
        <v>0.65959999999999996</v>
      </c>
      <c r="H15" s="9">
        <v>9353</v>
      </c>
      <c r="I15" s="9">
        <v>15.222</v>
      </c>
      <c r="J15" s="9">
        <v>2.0398000000000001</v>
      </c>
      <c r="K15" s="9">
        <v>0.7772</v>
      </c>
      <c r="L15" s="9">
        <v>0.67390000000000005</v>
      </c>
      <c r="O15" s="154">
        <v>9353</v>
      </c>
      <c r="P15" s="154">
        <v>15.238099999999999</v>
      </c>
      <c r="Q15" s="154">
        <v>2.0419999999999998</v>
      </c>
      <c r="R15" s="154">
        <v>0.77800000000000002</v>
      </c>
      <c r="S15" s="154">
        <v>0.67459999999999998</v>
      </c>
      <c r="V15" s="151">
        <v>9353</v>
      </c>
      <c r="W15" s="151">
        <v>15.277900000000001</v>
      </c>
      <c r="X15" s="151">
        <v>2.0472999999999999</v>
      </c>
      <c r="Y15" s="151">
        <v>0.78</v>
      </c>
      <c r="Z15" s="151">
        <v>0.6764</v>
      </c>
      <c r="AC15" s="155">
        <v>9353</v>
      </c>
      <c r="AD15" s="155">
        <v>15.3622</v>
      </c>
      <c r="AE15" s="155">
        <v>2.0586000000000002</v>
      </c>
      <c r="AF15" s="155">
        <v>0.7843</v>
      </c>
      <c r="AG15" s="155">
        <v>0.68010000000000004</v>
      </c>
      <c r="AJ15" s="160">
        <v>9353</v>
      </c>
      <c r="AK15" s="6">
        <v>15.469200000000001</v>
      </c>
      <c r="AL15" s="6">
        <v>2.0729000000000002</v>
      </c>
      <c r="AM15" s="6">
        <v>0.78979999999999995</v>
      </c>
      <c r="AN15" s="6">
        <v>0.68489999999999995</v>
      </c>
      <c r="AQ15" s="129">
        <v>9353</v>
      </c>
      <c r="AR15" s="53">
        <v>15.5124</v>
      </c>
      <c r="AS15" s="53">
        <v>2.0787</v>
      </c>
      <c r="AT15" s="53">
        <v>0.79200000000000004</v>
      </c>
      <c r="AU15" s="53">
        <v>0.68679999999999997</v>
      </c>
      <c r="AX15" s="129">
        <v>9353</v>
      </c>
      <c r="AY15" s="53">
        <v>15.5405</v>
      </c>
      <c r="AZ15" s="53">
        <v>2.0825</v>
      </c>
      <c r="BA15" s="53">
        <v>0.79339999999999999</v>
      </c>
      <c r="BB15" s="53">
        <v>0.68799999999999994</v>
      </c>
      <c r="BC15" s="3"/>
      <c r="BD15" s="182"/>
      <c r="BE15" s="129">
        <v>9353</v>
      </c>
      <c r="BF15" s="53">
        <v>15.5527</v>
      </c>
      <c r="BG15" s="53">
        <v>2.0840999999999998</v>
      </c>
      <c r="BH15" s="53">
        <v>0.79410000000000003</v>
      </c>
      <c r="BI15" s="53">
        <v>0.68859999999999999</v>
      </c>
      <c r="BL15" s="129">
        <v>9353</v>
      </c>
      <c r="BM15" s="53">
        <v>15.616899999999999</v>
      </c>
      <c r="BN15" s="53">
        <v>2.0926999999999998</v>
      </c>
      <c r="BO15" s="53">
        <v>0.79730000000000001</v>
      </c>
      <c r="BP15" s="53">
        <v>0.69140000000000001</v>
      </c>
      <c r="BS15" s="129">
        <v>9353</v>
      </c>
      <c r="BT15" s="53">
        <v>15.7035</v>
      </c>
      <c r="BU15" s="53">
        <v>2.1042999999999998</v>
      </c>
      <c r="BV15" s="53">
        <v>0.80169999999999997</v>
      </c>
      <c r="BW15" s="53">
        <v>0.69520000000000004</v>
      </c>
      <c r="BY15" s="18"/>
      <c r="BZ15" s="129">
        <v>9353</v>
      </c>
      <c r="CA15" s="53">
        <v>15.731</v>
      </c>
      <c r="CB15" s="53">
        <v>2.1080000000000001</v>
      </c>
      <c r="CC15" s="53">
        <v>0.80320000000000003</v>
      </c>
      <c r="CD15" s="53">
        <v>0.69640000000000002</v>
      </c>
      <c r="CG15" s="129">
        <v>9353</v>
      </c>
      <c r="CH15" s="53">
        <v>15.7531</v>
      </c>
      <c r="CI15" s="53">
        <v>2.1110000000000002</v>
      </c>
      <c r="CJ15" s="53">
        <v>0.80430000000000001</v>
      </c>
      <c r="CK15" s="53">
        <v>0.69740000000000002</v>
      </c>
      <c r="CN15" s="207">
        <v>9353</v>
      </c>
      <c r="CO15" s="53">
        <v>15.805</v>
      </c>
      <c r="CP15" s="53">
        <v>2.1179000000000001</v>
      </c>
      <c r="CQ15" s="53">
        <v>0.80689999999999995</v>
      </c>
      <c r="CR15" s="53">
        <v>0.69969999999999999</v>
      </c>
      <c r="CU15" s="215">
        <v>9353</v>
      </c>
      <c r="CV15" s="53">
        <v>15.8223</v>
      </c>
      <c r="CW15" s="53">
        <v>2.1202000000000001</v>
      </c>
      <c r="CX15" s="53">
        <v>0.80779999999999996</v>
      </c>
      <c r="CY15" s="53">
        <v>0.70050000000000001</v>
      </c>
      <c r="DB15" s="217">
        <v>9353</v>
      </c>
      <c r="DC15" s="53">
        <v>15.8405</v>
      </c>
      <c r="DD15" s="53">
        <v>2.1227</v>
      </c>
      <c r="DE15" s="53">
        <v>0.80869999999999997</v>
      </c>
      <c r="DF15" s="53">
        <v>0.70130000000000003</v>
      </c>
      <c r="DI15" s="222">
        <v>9353</v>
      </c>
      <c r="DJ15" s="53">
        <v>15.8558</v>
      </c>
      <c r="DK15" s="53">
        <v>2.1246999999999998</v>
      </c>
      <c r="DL15" s="53">
        <v>0.8095</v>
      </c>
      <c r="DM15" s="53">
        <v>0.70199999999999996</v>
      </c>
      <c r="DN15" s="231"/>
      <c r="DO15" s="231"/>
      <c r="DP15" s="227">
        <v>9353</v>
      </c>
      <c r="DQ15" s="53">
        <v>15.8772</v>
      </c>
      <c r="DR15" s="53">
        <v>2.1276000000000002</v>
      </c>
      <c r="DS15" s="53">
        <v>0.81059999999999999</v>
      </c>
      <c r="DT15" s="53">
        <v>0.70289999999999997</v>
      </c>
      <c r="DW15" s="235">
        <v>9353</v>
      </c>
      <c r="DX15" s="53">
        <v>15.901199999999999</v>
      </c>
      <c r="DY15" s="53">
        <v>2.1307999999999998</v>
      </c>
      <c r="DZ15" s="53">
        <v>0.81179999999999997</v>
      </c>
      <c r="EA15" s="53">
        <v>0.70399999999999996</v>
      </c>
      <c r="ED15" s="237">
        <v>9353</v>
      </c>
      <c r="EE15" s="53">
        <v>15.924899999999999</v>
      </c>
      <c r="EF15" s="53">
        <v>2.1339999999999999</v>
      </c>
      <c r="EG15" s="53">
        <v>0.81310000000000004</v>
      </c>
      <c r="EH15" s="53">
        <v>0.70499999999999996</v>
      </c>
      <c r="EK15" s="239">
        <v>9353</v>
      </c>
      <c r="EL15" s="53">
        <v>15.9701</v>
      </c>
      <c r="EM15" s="53">
        <v>2.1400999999999999</v>
      </c>
      <c r="EN15" s="53">
        <v>0.81540000000000001</v>
      </c>
      <c r="EO15" s="53">
        <v>0.70699999999999996</v>
      </c>
      <c r="ER15" s="243">
        <v>9353</v>
      </c>
      <c r="ES15" s="53">
        <v>16.016300000000001</v>
      </c>
      <c r="ET15" s="53">
        <v>2.1461999999999999</v>
      </c>
      <c r="EU15" s="53">
        <v>0.81769999999999998</v>
      </c>
      <c r="EV15" s="53">
        <v>0.70909999999999995</v>
      </c>
      <c r="EY15" s="245">
        <v>9353</v>
      </c>
      <c r="EZ15" s="53">
        <v>16.029900000000001</v>
      </c>
      <c r="FA15" s="53">
        <v>2.1480999999999999</v>
      </c>
      <c r="FB15" s="53">
        <v>0.81840000000000002</v>
      </c>
      <c r="FC15" s="53">
        <v>0.7097</v>
      </c>
      <c r="FF15" s="249">
        <v>9353</v>
      </c>
      <c r="FG15" s="53">
        <v>16.051500000000001</v>
      </c>
      <c r="FH15" s="53">
        <v>2.1509999999999998</v>
      </c>
      <c r="FI15" s="53">
        <v>0.81950000000000001</v>
      </c>
      <c r="FJ15" s="53">
        <v>0.71060000000000001</v>
      </c>
      <c r="FM15" s="252">
        <v>9353</v>
      </c>
      <c r="FN15" s="53">
        <v>16.0623</v>
      </c>
      <c r="FO15" s="53">
        <v>2.1524000000000001</v>
      </c>
      <c r="FP15" s="53">
        <v>0.82010000000000005</v>
      </c>
      <c r="FQ15" s="53">
        <v>0.71109999999999995</v>
      </c>
      <c r="FT15" s="254">
        <v>9353</v>
      </c>
      <c r="FU15" s="53">
        <f>VLOOKUP(FT15,Sheet4!A17:F93,3,0)</f>
        <v>16.0871</v>
      </c>
      <c r="FV15" s="53">
        <f>VLOOKUP(FT15,Sheet4!A17:F93,4,0)</f>
        <v>2.1556999999999999</v>
      </c>
      <c r="FW15" s="53">
        <f>VLOOKUP(FT15,Sheet4!A17:F93,5,0)</f>
        <v>0.82130000000000003</v>
      </c>
      <c r="FX15" s="53">
        <f>VLOOKUP(FT15,Sheet4!A17:F93,6,0)</f>
        <v>0.71220000000000006</v>
      </c>
    </row>
    <row r="16" spans="1:180" x14ac:dyDescent="0.25">
      <c r="A16" s="9">
        <v>9354</v>
      </c>
      <c r="B16" s="9">
        <v>15.0014</v>
      </c>
      <c r="C16" s="9">
        <v>2.0102000000000002</v>
      </c>
      <c r="D16" s="9">
        <v>0.76590000000000003</v>
      </c>
      <c r="E16" s="9">
        <v>0.66410000000000002</v>
      </c>
      <c r="H16" s="9">
        <v>9354</v>
      </c>
      <c r="I16" s="9">
        <v>15.3253</v>
      </c>
      <c r="J16" s="9">
        <v>2.0535999999999999</v>
      </c>
      <c r="K16" s="9">
        <v>0.78239999999999998</v>
      </c>
      <c r="L16" s="9">
        <v>0.67849999999999999</v>
      </c>
      <c r="O16" s="148">
        <v>9354</v>
      </c>
      <c r="P16" s="148">
        <v>15.3414</v>
      </c>
      <c r="Q16" s="148">
        <v>2.0558000000000001</v>
      </c>
      <c r="R16" s="148">
        <v>0.7833</v>
      </c>
      <c r="S16" s="148">
        <v>0.67920000000000003</v>
      </c>
      <c r="V16" s="151">
        <v>9354</v>
      </c>
      <c r="W16" s="151">
        <v>15.3812</v>
      </c>
      <c r="X16" s="151">
        <v>2.0611000000000002</v>
      </c>
      <c r="Y16" s="151">
        <v>0.7853</v>
      </c>
      <c r="Z16" s="151">
        <v>0.68100000000000005</v>
      </c>
      <c r="AC16" s="155">
        <v>9354</v>
      </c>
      <c r="AD16" s="155">
        <v>15.4655</v>
      </c>
      <c r="AE16" s="155">
        <v>2.0724</v>
      </c>
      <c r="AF16" s="155">
        <v>0.78959999999999997</v>
      </c>
      <c r="AG16" s="155">
        <v>0.68469999999999998</v>
      </c>
      <c r="AJ16" s="168">
        <v>9354</v>
      </c>
      <c r="AK16" s="169">
        <v>15.5725</v>
      </c>
      <c r="AL16" s="169">
        <v>2.0868000000000002</v>
      </c>
      <c r="AM16" s="169">
        <v>0.79510000000000003</v>
      </c>
      <c r="AN16" s="169">
        <v>0.68940000000000001</v>
      </c>
      <c r="AQ16" s="165">
        <v>9354</v>
      </c>
      <c r="AR16" s="167">
        <v>15.6157</v>
      </c>
      <c r="AS16" s="167">
        <v>2.0926</v>
      </c>
      <c r="AT16" s="167">
        <v>0.79730000000000001</v>
      </c>
      <c r="AU16" s="167">
        <v>0.69130000000000003</v>
      </c>
      <c r="AX16" s="165">
        <v>9354</v>
      </c>
      <c r="AY16" s="167">
        <v>15.643800000000001</v>
      </c>
      <c r="AZ16" s="167">
        <v>2.0962999999999998</v>
      </c>
      <c r="BA16" s="167">
        <v>0.79869999999999997</v>
      </c>
      <c r="BB16" s="167">
        <v>0.69259999999999999</v>
      </c>
      <c r="BC16" s="3"/>
      <c r="BD16" s="182"/>
      <c r="BE16" s="165">
        <v>9354</v>
      </c>
      <c r="BF16" s="167">
        <v>15.656000000000001</v>
      </c>
      <c r="BG16" s="167">
        <v>2.0979999999999999</v>
      </c>
      <c r="BH16" s="167">
        <v>0.79930000000000001</v>
      </c>
      <c r="BI16" s="167">
        <v>0.69310000000000005</v>
      </c>
      <c r="BL16" s="165">
        <v>9354</v>
      </c>
      <c r="BM16" s="167">
        <v>15.7202</v>
      </c>
      <c r="BN16" s="167">
        <v>2.1065999999999998</v>
      </c>
      <c r="BO16" s="167">
        <v>0.80259999999999998</v>
      </c>
      <c r="BP16" s="167">
        <v>0.69599999999999995</v>
      </c>
      <c r="BS16" s="165">
        <v>9354</v>
      </c>
      <c r="BT16" s="167">
        <v>15.806800000000001</v>
      </c>
      <c r="BU16" s="167">
        <v>2.1181999999999999</v>
      </c>
      <c r="BV16" s="167">
        <v>0.80700000000000005</v>
      </c>
      <c r="BW16" s="167">
        <v>0.69979999999999998</v>
      </c>
      <c r="BY16" s="18"/>
      <c r="BZ16" s="165">
        <v>9354</v>
      </c>
      <c r="CA16" s="167">
        <v>15.834300000000001</v>
      </c>
      <c r="CB16" s="167">
        <v>2.1219000000000001</v>
      </c>
      <c r="CC16" s="167">
        <v>0.80840000000000001</v>
      </c>
      <c r="CD16" s="167">
        <v>0.70099999999999996</v>
      </c>
      <c r="CG16" s="165">
        <v>9354</v>
      </c>
      <c r="CH16" s="167">
        <v>15.856400000000001</v>
      </c>
      <c r="CI16" s="167">
        <v>2.1248</v>
      </c>
      <c r="CJ16" s="167">
        <v>0.80959999999999999</v>
      </c>
      <c r="CK16" s="167">
        <v>0.70199999999999996</v>
      </c>
      <c r="CN16" s="168">
        <v>9354</v>
      </c>
      <c r="CO16" s="167">
        <v>15.908300000000001</v>
      </c>
      <c r="CP16" s="167">
        <v>2.1318000000000001</v>
      </c>
      <c r="CQ16" s="167">
        <v>0.81220000000000003</v>
      </c>
      <c r="CR16" s="167">
        <v>0.70430000000000004</v>
      </c>
      <c r="CU16" s="168">
        <v>9354</v>
      </c>
      <c r="CV16" s="167">
        <v>15.925599999999999</v>
      </c>
      <c r="CW16" s="167">
        <v>2.1341000000000001</v>
      </c>
      <c r="CX16" s="167">
        <v>0.81310000000000004</v>
      </c>
      <c r="CY16" s="167">
        <v>0.70509999999999995</v>
      </c>
      <c r="DB16" s="168">
        <v>9354</v>
      </c>
      <c r="DC16" s="167">
        <v>15.9438</v>
      </c>
      <c r="DD16" s="167">
        <v>2.1364999999999998</v>
      </c>
      <c r="DE16" s="167">
        <v>0.81399999999999995</v>
      </c>
      <c r="DF16" s="167">
        <v>0.70589999999999997</v>
      </c>
      <c r="DI16" s="168">
        <v>9354</v>
      </c>
      <c r="DJ16" s="167">
        <v>15.959099999999999</v>
      </c>
      <c r="DK16" s="167">
        <v>2.1385999999999998</v>
      </c>
      <c r="DL16" s="167">
        <v>0.81479999999999997</v>
      </c>
      <c r="DM16" s="167">
        <v>0.70650000000000002</v>
      </c>
      <c r="DN16" s="231"/>
      <c r="DO16" s="231"/>
      <c r="DP16" s="168">
        <v>9354</v>
      </c>
      <c r="DQ16" s="167">
        <v>15.980499999999999</v>
      </c>
      <c r="DR16" s="167">
        <v>2.1414</v>
      </c>
      <c r="DS16" s="167">
        <v>0.81589999999999996</v>
      </c>
      <c r="DT16" s="167">
        <v>0.70750000000000002</v>
      </c>
      <c r="DW16" s="168">
        <v>9354</v>
      </c>
      <c r="DX16" s="167">
        <v>16.0045</v>
      </c>
      <c r="DY16" s="167">
        <v>2.1446999999999998</v>
      </c>
      <c r="DZ16" s="167">
        <v>0.81710000000000005</v>
      </c>
      <c r="EA16" s="167">
        <v>0.70860000000000001</v>
      </c>
      <c r="ED16" s="168">
        <v>9354</v>
      </c>
      <c r="EE16" s="167">
        <v>16.028199999999998</v>
      </c>
      <c r="EF16" s="167">
        <v>2.1478000000000002</v>
      </c>
      <c r="EG16" s="167">
        <v>0.81830000000000003</v>
      </c>
      <c r="EH16" s="167">
        <v>0.70960000000000001</v>
      </c>
      <c r="EK16" s="168">
        <v>9354</v>
      </c>
      <c r="EL16" s="167">
        <v>16.073399999999999</v>
      </c>
      <c r="EM16" s="167">
        <v>2.1539000000000001</v>
      </c>
      <c r="EN16" s="167">
        <v>0.8206</v>
      </c>
      <c r="EO16" s="167">
        <v>0.71160000000000001</v>
      </c>
      <c r="ER16" s="168">
        <v>9354</v>
      </c>
      <c r="ES16" s="167">
        <v>16.119599999999998</v>
      </c>
      <c r="ET16" s="167">
        <v>2.1600999999999999</v>
      </c>
      <c r="EU16" s="167">
        <v>0.82299999999999995</v>
      </c>
      <c r="EV16" s="167">
        <v>0.71360000000000001</v>
      </c>
      <c r="EY16" s="168">
        <v>9354</v>
      </c>
      <c r="EZ16" s="167">
        <v>16.133199999999999</v>
      </c>
      <c r="FA16" s="167">
        <v>2.1619000000000002</v>
      </c>
      <c r="FB16" s="167">
        <v>0.82369999999999999</v>
      </c>
      <c r="FC16" s="167">
        <v>0.71430000000000005</v>
      </c>
      <c r="FF16" s="168">
        <v>9354</v>
      </c>
      <c r="FG16" s="167">
        <v>16.154800000000002</v>
      </c>
      <c r="FH16" s="167">
        <v>2.1648000000000001</v>
      </c>
      <c r="FI16" s="167">
        <v>0.82479999999999998</v>
      </c>
      <c r="FJ16" s="167">
        <v>0.71519999999999995</v>
      </c>
      <c r="FM16" s="168">
        <v>9354</v>
      </c>
      <c r="FN16" s="167">
        <v>16.165600000000001</v>
      </c>
      <c r="FO16" s="167">
        <v>2.1663000000000001</v>
      </c>
      <c r="FP16" s="167">
        <v>0.82530000000000003</v>
      </c>
      <c r="FQ16" s="167">
        <v>0.7157</v>
      </c>
      <c r="FT16" s="168">
        <v>9354</v>
      </c>
      <c r="FU16" s="167">
        <f>VLOOKUP(FT16,Sheet4!A18:F94,3,0)</f>
        <v>16.1904</v>
      </c>
      <c r="FV16" s="167">
        <f>VLOOKUP(FT16,Sheet4!A18:F94,4,0)</f>
        <v>2.1696</v>
      </c>
      <c r="FW16" s="167">
        <f>VLOOKUP(FT16,Sheet4!A18:F94,5,0)</f>
        <v>0.8266</v>
      </c>
      <c r="FX16" s="167">
        <f>VLOOKUP(FT16,Sheet4!A18:F94,6,0)</f>
        <v>0.71679999999999999</v>
      </c>
    </row>
    <row r="17" spans="1:180" x14ac:dyDescent="0.25">
      <c r="A17" s="9">
        <v>9535</v>
      </c>
      <c r="B17" s="9">
        <v>14.228199999999999</v>
      </c>
      <c r="C17" s="9">
        <v>1.9066000000000001</v>
      </c>
      <c r="D17" s="9">
        <v>0.72640000000000005</v>
      </c>
      <c r="E17" s="9">
        <v>0.62990000000000002</v>
      </c>
      <c r="H17" s="9">
        <v>9535</v>
      </c>
      <c r="I17" s="9">
        <v>14.4718</v>
      </c>
      <c r="J17" s="9">
        <v>1.9393</v>
      </c>
      <c r="K17" s="9">
        <v>0.7389</v>
      </c>
      <c r="L17" s="9">
        <v>0.64070000000000005</v>
      </c>
      <c r="O17" s="154">
        <v>9535</v>
      </c>
      <c r="P17" s="154">
        <v>14.4839</v>
      </c>
      <c r="Q17" s="154">
        <v>1.9409000000000001</v>
      </c>
      <c r="R17" s="154">
        <v>0.73950000000000005</v>
      </c>
      <c r="S17" s="154">
        <v>0.64119999999999999</v>
      </c>
      <c r="V17" s="151">
        <v>9535</v>
      </c>
      <c r="W17" s="151">
        <v>14.5138</v>
      </c>
      <c r="X17" s="151">
        <v>1.9449000000000001</v>
      </c>
      <c r="Y17" s="151">
        <v>0.74099999999999999</v>
      </c>
      <c r="Z17" s="151">
        <v>0.64259999999999995</v>
      </c>
      <c r="AC17" s="155">
        <v>9535</v>
      </c>
      <c r="AD17" s="155">
        <v>14.577199999999999</v>
      </c>
      <c r="AE17" s="155">
        <v>1.9534</v>
      </c>
      <c r="AF17" s="155">
        <v>0.74419999999999997</v>
      </c>
      <c r="AG17" s="155">
        <v>0.64539999999999997</v>
      </c>
      <c r="AJ17" s="160">
        <v>9535</v>
      </c>
      <c r="AK17" s="6">
        <v>14.6577</v>
      </c>
      <c r="AL17" s="6">
        <v>1.9641999999999999</v>
      </c>
      <c r="AM17" s="6">
        <v>0.74839999999999995</v>
      </c>
      <c r="AN17" s="6">
        <v>0.64890000000000003</v>
      </c>
      <c r="AQ17" s="129">
        <v>9535</v>
      </c>
      <c r="AR17" s="53">
        <v>14.690200000000001</v>
      </c>
      <c r="AS17" s="53">
        <v>1.9684999999999999</v>
      </c>
      <c r="AT17" s="53">
        <v>0.75</v>
      </c>
      <c r="AU17" s="53">
        <v>0.65039999999999998</v>
      </c>
      <c r="AX17" s="129">
        <v>9535</v>
      </c>
      <c r="AY17" s="53">
        <v>14.711399999999999</v>
      </c>
      <c r="AZ17" s="53">
        <v>1.9714</v>
      </c>
      <c r="BA17" s="53">
        <v>0.75109999999999999</v>
      </c>
      <c r="BB17" s="53">
        <v>0.65129999999999999</v>
      </c>
      <c r="BC17" s="3"/>
      <c r="BD17" s="182"/>
      <c r="BE17" s="129">
        <v>9535</v>
      </c>
      <c r="BF17" s="53">
        <v>14.720599999999999</v>
      </c>
      <c r="BG17" s="53">
        <v>1.9725999999999999</v>
      </c>
      <c r="BH17" s="53">
        <v>0.75160000000000005</v>
      </c>
      <c r="BI17" s="53">
        <v>0.65169999999999995</v>
      </c>
      <c r="BL17" s="129">
        <v>9535</v>
      </c>
      <c r="BM17" s="53">
        <v>14.768800000000001</v>
      </c>
      <c r="BN17" s="53">
        <v>1.9791000000000001</v>
      </c>
      <c r="BO17" s="53">
        <v>0.754</v>
      </c>
      <c r="BP17" s="53">
        <v>0.65380000000000005</v>
      </c>
      <c r="BS17" s="129">
        <v>9535</v>
      </c>
      <c r="BT17" s="53">
        <v>14.8339</v>
      </c>
      <c r="BU17" s="53">
        <v>1.9878</v>
      </c>
      <c r="BV17" s="53">
        <v>0.75739999999999996</v>
      </c>
      <c r="BW17" s="53">
        <v>0.65669999999999995</v>
      </c>
      <c r="BY17" s="18"/>
      <c r="BZ17" s="129">
        <v>9535</v>
      </c>
      <c r="CA17" s="53">
        <v>14.8546</v>
      </c>
      <c r="CB17" s="53">
        <v>1.9905999999999999</v>
      </c>
      <c r="CC17" s="53">
        <v>0.75839999999999996</v>
      </c>
      <c r="CD17" s="53">
        <v>0.65759999999999996</v>
      </c>
      <c r="CG17" s="129">
        <v>9535</v>
      </c>
      <c r="CH17" s="53">
        <v>14.8712</v>
      </c>
      <c r="CI17" s="53">
        <v>1.9927999999999999</v>
      </c>
      <c r="CJ17" s="53">
        <v>0.75929999999999997</v>
      </c>
      <c r="CK17" s="53">
        <v>0.65839999999999999</v>
      </c>
      <c r="CN17" s="207">
        <v>9535</v>
      </c>
      <c r="CO17" s="53">
        <v>14.9102</v>
      </c>
      <c r="CP17" s="53">
        <v>1.998</v>
      </c>
      <c r="CQ17" s="53">
        <v>0.76119999999999999</v>
      </c>
      <c r="CR17" s="53">
        <v>0.66010000000000002</v>
      </c>
      <c r="CU17" s="215">
        <v>9535</v>
      </c>
      <c r="CV17" s="53">
        <v>14.9232</v>
      </c>
      <c r="CW17" s="53">
        <v>1.9998</v>
      </c>
      <c r="CX17" s="53">
        <v>0.76190000000000002</v>
      </c>
      <c r="CY17" s="53">
        <v>0.66069999999999995</v>
      </c>
      <c r="DB17" s="217">
        <v>9535</v>
      </c>
      <c r="DC17" s="53">
        <v>14.9369</v>
      </c>
      <c r="DD17" s="53">
        <v>2.0015999999999998</v>
      </c>
      <c r="DE17" s="53">
        <v>0.76259999999999994</v>
      </c>
      <c r="DF17" s="53">
        <v>0.6613</v>
      </c>
      <c r="DI17" s="222">
        <v>9535</v>
      </c>
      <c r="DJ17" s="53">
        <v>14.948399999999999</v>
      </c>
      <c r="DK17" s="53">
        <v>2.0030999999999999</v>
      </c>
      <c r="DL17" s="53">
        <v>0.76319999999999999</v>
      </c>
      <c r="DM17" s="53">
        <v>0.66180000000000005</v>
      </c>
      <c r="DN17" s="231"/>
      <c r="DO17" s="231"/>
      <c r="DP17" s="227">
        <v>9535</v>
      </c>
      <c r="DQ17" s="53">
        <v>14.964499999999999</v>
      </c>
      <c r="DR17" s="53">
        <v>2.0053000000000001</v>
      </c>
      <c r="DS17" s="53">
        <v>0.76400000000000001</v>
      </c>
      <c r="DT17" s="53">
        <v>0.66249999999999998</v>
      </c>
      <c r="DW17" s="235">
        <v>9535</v>
      </c>
      <c r="DX17" s="53">
        <v>14.9826</v>
      </c>
      <c r="DY17" s="53">
        <v>2.0076999999999998</v>
      </c>
      <c r="DZ17" s="53">
        <v>0.76490000000000002</v>
      </c>
      <c r="EA17" s="53">
        <v>0.6633</v>
      </c>
      <c r="ED17" s="237">
        <v>9535</v>
      </c>
      <c r="EE17" s="53">
        <v>15.000400000000001</v>
      </c>
      <c r="EF17" s="53">
        <v>2.0101</v>
      </c>
      <c r="EG17" s="53">
        <v>0.76590000000000003</v>
      </c>
      <c r="EH17" s="53">
        <v>0.66410000000000002</v>
      </c>
      <c r="EK17" s="239">
        <v>9535</v>
      </c>
      <c r="EL17" s="53">
        <v>15.0344</v>
      </c>
      <c r="EM17" s="53">
        <v>2.0146999999999999</v>
      </c>
      <c r="EN17" s="53">
        <v>0.76759999999999995</v>
      </c>
      <c r="EO17" s="53">
        <v>0.66559999999999997</v>
      </c>
      <c r="ER17" s="243">
        <v>9535</v>
      </c>
      <c r="ES17" s="53">
        <v>15.069100000000001</v>
      </c>
      <c r="ET17" s="53">
        <v>2.0192999999999999</v>
      </c>
      <c r="EU17" s="53">
        <v>0.76939999999999997</v>
      </c>
      <c r="EV17" s="53">
        <v>0.66710000000000003</v>
      </c>
      <c r="EY17" s="245">
        <v>9535</v>
      </c>
      <c r="EZ17" s="53">
        <v>15.0793</v>
      </c>
      <c r="FA17" s="53">
        <v>2.0207000000000002</v>
      </c>
      <c r="FB17" s="53">
        <v>0.76990000000000003</v>
      </c>
      <c r="FC17" s="53">
        <v>0.66759999999999997</v>
      </c>
      <c r="FF17" s="249">
        <v>9535</v>
      </c>
      <c r="FG17" s="53">
        <v>15.095499999999999</v>
      </c>
      <c r="FH17" s="53">
        <v>2.0228999999999999</v>
      </c>
      <c r="FI17" s="53">
        <v>0.77070000000000005</v>
      </c>
      <c r="FJ17" s="53">
        <v>0.66830000000000001</v>
      </c>
      <c r="FM17" s="252">
        <v>9535</v>
      </c>
      <c r="FN17" s="53">
        <v>15.1036</v>
      </c>
      <c r="FO17" s="53">
        <v>2.0238999999999998</v>
      </c>
      <c r="FP17" s="53">
        <v>0.77110000000000001</v>
      </c>
      <c r="FQ17" s="53">
        <v>0.66869999999999996</v>
      </c>
      <c r="FT17" s="254">
        <v>9535</v>
      </c>
      <c r="FU17" s="53">
        <f>VLOOKUP(FT17,Sheet4!A19:F95,3,0)</f>
        <v>15.122199999999999</v>
      </c>
      <c r="FV17" s="53">
        <f>VLOOKUP(FT17,Sheet4!A19:F95,4,0)</f>
        <v>2.0264000000000002</v>
      </c>
      <c r="FW17" s="53">
        <f>VLOOKUP(FT17,Sheet4!A19:F95,5,0)</f>
        <v>0.77210000000000001</v>
      </c>
      <c r="FX17" s="53">
        <f>VLOOKUP(FT17,Sheet4!A19:F95,6,0)</f>
        <v>0.66949999999999998</v>
      </c>
    </row>
    <row r="18" spans="1:180" x14ac:dyDescent="0.25">
      <c r="A18" s="9">
        <v>9536</v>
      </c>
      <c r="B18" s="9">
        <v>14.2738</v>
      </c>
      <c r="C18" s="9">
        <v>1.9127000000000001</v>
      </c>
      <c r="D18" s="9">
        <v>0.7288</v>
      </c>
      <c r="E18" s="9">
        <v>0.63190000000000002</v>
      </c>
      <c r="H18" s="9">
        <v>9536</v>
      </c>
      <c r="I18" s="9">
        <v>14.5174</v>
      </c>
      <c r="J18" s="9">
        <v>1.9454</v>
      </c>
      <c r="K18" s="9">
        <v>0.74119999999999997</v>
      </c>
      <c r="L18" s="9">
        <v>0.64270000000000005</v>
      </c>
      <c r="O18" s="148">
        <v>9536</v>
      </c>
      <c r="P18" s="148">
        <v>14.529500000000001</v>
      </c>
      <c r="Q18" s="148">
        <v>1.9470000000000001</v>
      </c>
      <c r="R18" s="148">
        <v>0.74180000000000001</v>
      </c>
      <c r="S18" s="148">
        <v>0.64329999999999998</v>
      </c>
      <c r="V18" s="151">
        <v>9536</v>
      </c>
      <c r="W18" s="151">
        <v>14.5594</v>
      </c>
      <c r="X18" s="151">
        <v>1.9510000000000001</v>
      </c>
      <c r="Y18" s="151">
        <v>0.74329999999999996</v>
      </c>
      <c r="Z18" s="151">
        <v>0.64459999999999995</v>
      </c>
      <c r="AC18" s="155">
        <v>9536</v>
      </c>
      <c r="AD18" s="155">
        <v>14.6228</v>
      </c>
      <c r="AE18" s="155">
        <v>1.9595</v>
      </c>
      <c r="AF18" s="155">
        <v>0.74660000000000004</v>
      </c>
      <c r="AG18" s="155">
        <v>0.64739999999999998</v>
      </c>
      <c r="AJ18" s="168">
        <v>9536</v>
      </c>
      <c r="AK18" s="169">
        <v>14.7033</v>
      </c>
      <c r="AL18" s="169">
        <v>1.9702999999999999</v>
      </c>
      <c r="AM18" s="169">
        <v>0.75070000000000003</v>
      </c>
      <c r="AN18" s="169">
        <v>0.65090000000000003</v>
      </c>
      <c r="AQ18" s="165">
        <v>9536</v>
      </c>
      <c r="AR18" s="167">
        <v>14.735799999999999</v>
      </c>
      <c r="AS18" s="167">
        <v>1.9746999999999999</v>
      </c>
      <c r="AT18" s="167">
        <v>0.75229999999999997</v>
      </c>
      <c r="AU18" s="167">
        <v>0.65239999999999998</v>
      </c>
      <c r="AX18" s="165">
        <v>9536</v>
      </c>
      <c r="AY18" s="167">
        <v>14.757</v>
      </c>
      <c r="AZ18" s="167">
        <v>1.9775</v>
      </c>
      <c r="BA18" s="167">
        <v>0.75339999999999996</v>
      </c>
      <c r="BB18" s="167">
        <v>0.65329999999999999</v>
      </c>
      <c r="BC18" s="3"/>
      <c r="BD18" s="182"/>
      <c r="BE18" s="165">
        <v>9536</v>
      </c>
      <c r="BF18" s="167">
        <v>14.7662</v>
      </c>
      <c r="BG18" s="167">
        <v>1.9786999999999999</v>
      </c>
      <c r="BH18" s="167">
        <v>0.75390000000000001</v>
      </c>
      <c r="BI18" s="167">
        <v>0.65369999999999995</v>
      </c>
      <c r="BL18" s="165">
        <v>9536</v>
      </c>
      <c r="BM18" s="167">
        <v>14.814399999999999</v>
      </c>
      <c r="BN18" s="167">
        <v>1.9852000000000001</v>
      </c>
      <c r="BO18" s="167">
        <v>0.75639999999999996</v>
      </c>
      <c r="BP18" s="167">
        <v>0.65590000000000004</v>
      </c>
      <c r="BS18" s="165">
        <v>9536</v>
      </c>
      <c r="BT18" s="167">
        <v>14.8795</v>
      </c>
      <c r="BU18" s="167">
        <v>1.9939</v>
      </c>
      <c r="BV18" s="167">
        <v>0.75970000000000004</v>
      </c>
      <c r="BW18" s="167">
        <v>0.65869999999999995</v>
      </c>
      <c r="BY18" s="17"/>
      <c r="BZ18" s="165">
        <v>9536</v>
      </c>
      <c r="CA18" s="167">
        <v>14.9002</v>
      </c>
      <c r="CB18" s="167">
        <v>1.9966999999999999</v>
      </c>
      <c r="CC18" s="167">
        <v>0.76070000000000004</v>
      </c>
      <c r="CD18" s="167">
        <v>0.65969999999999995</v>
      </c>
      <c r="CG18" s="165">
        <v>9536</v>
      </c>
      <c r="CH18" s="167">
        <v>14.9168</v>
      </c>
      <c r="CI18" s="167">
        <v>1.9988999999999999</v>
      </c>
      <c r="CJ18" s="167">
        <v>0.76160000000000005</v>
      </c>
      <c r="CK18" s="167">
        <v>0.66039999999999999</v>
      </c>
      <c r="CN18" s="168">
        <v>9536</v>
      </c>
      <c r="CO18" s="167">
        <v>14.9558</v>
      </c>
      <c r="CP18" s="167">
        <v>2.0041000000000002</v>
      </c>
      <c r="CQ18" s="167">
        <v>0.76359999999999995</v>
      </c>
      <c r="CR18" s="167">
        <v>0.66210000000000002</v>
      </c>
      <c r="CU18" s="168">
        <v>9536</v>
      </c>
      <c r="CV18" s="167">
        <v>14.9688</v>
      </c>
      <c r="CW18" s="167">
        <v>2.0059</v>
      </c>
      <c r="CX18" s="167">
        <v>0.76419999999999999</v>
      </c>
      <c r="CY18" s="167">
        <v>0.66269999999999996</v>
      </c>
      <c r="DB18" s="168">
        <v>9536</v>
      </c>
      <c r="DC18" s="167">
        <v>14.982499999999998</v>
      </c>
      <c r="DD18" s="167">
        <v>2.0077000000000003</v>
      </c>
      <c r="DE18" s="167">
        <v>0.76490000000000002</v>
      </c>
      <c r="DF18" s="167">
        <v>0.6633</v>
      </c>
      <c r="DI18" s="168">
        <v>9536</v>
      </c>
      <c r="DJ18" s="167">
        <v>14.994</v>
      </c>
      <c r="DK18" s="167">
        <v>2.0093000000000001</v>
      </c>
      <c r="DL18" s="167">
        <v>0.76549999999999996</v>
      </c>
      <c r="DM18" s="167">
        <v>0.66379999999999995</v>
      </c>
      <c r="DN18" s="231"/>
      <c r="DO18" s="231"/>
      <c r="DP18" s="168">
        <v>9536</v>
      </c>
      <c r="DQ18" s="167">
        <v>15.0101</v>
      </c>
      <c r="DR18" s="167">
        <v>2.0114000000000001</v>
      </c>
      <c r="DS18" s="167">
        <v>0.76629999999999998</v>
      </c>
      <c r="DT18" s="167">
        <v>0.66449999999999998</v>
      </c>
      <c r="DW18" s="168">
        <v>9536</v>
      </c>
      <c r="DX18" s="167">
        <v>15.0282</v>
      </c>
      <c r="DY18" s="167">
        <v>2.0137999999999998</v>
      </c>
      <c r="DZ18" s="167">
        <v>0.76729999999999998</v>
      </c>
      <c r="EA18" s="167">
        <v>0.6653</v>
      </c>
      <c r="ED18" s="168">
        <v>9536</v>
      </c>
      <c r="EE18" s="167">
        <v>15.045999999999999</v>
      </c>
      <c r="EF18" s="167">
        <v>2.0162</v>
      </c>
      <c r="EG18" s="167">
        <v>0.76819999999999999</v>
      </c>
      <c r="EH18" s="167">
        <v>0.66610000000000003</v>
      </c>
      <c r="EK18" s="168">
        <v>9536</v>
      </c>
      <c r="EL18" s="167">
        <v>15.08</v>
      </c>
      <c r="EM18" s="167">
        <v>2.0207999999999999</v>
      </c>
      <c r="EN18" s="167">
        <v>0.76990000000000003</v>
      </c>
      <c r="EO18" s="167">
        <v>0.66759999999999997</v>
      </c>
      <c r="ER18" s="168">
        <v>9536</v>
      </c>
      <c r="ES18" s="167">
        <v>15.114699999999999</v>
      </c>
      <c r="ET18" s="167">
        <v>2.0253999999999999</v>
      </c>
      <c r="EU18" s="167">
        <v>0.77170000000000005</v>
      </c>
      <c r="EV18" s="167">
        <v>0.66920000000000002</v>
      </c>
      <c r="EY18" s="168">
        <v>9536</v>
      </c>
      <c r="EZ18" s="167">
        <v>15.1249</v>
      </c>
      <c r="FA18" s="167">
        <v>2.0268000000000002</v>
      </c>
      <c r="FB18" s="167">
        <v>0.7722</v>
      </c>
      <c r="FC18" s="167">
        <v>0.66959999999999997</v>
      </c>
      <c r="FF18" s="168">
        <v>9536</v>
      </c>
      <c r="FG18" s="167">
        <v>15.1411</v>
      </c>
      <c r="FH18" s="167">
        <v>2.0289999999999999</v>
      </c>
      <c r="FI18" s="167">
        <v>0.77300000000000002</v>
      </c>
      <c r="FJ18" s="167">
        <v>0.67030000000000001</v>
      </c>
      <c r="FM18" s="168">
        <v>9536</v>
      </c>
      <c r="FN18" s="167">
        <v>15.1492</v>
      </c>
      <c r="FO18" s="167">
        <v>2.0301</v>
      </c>
      <c r="FP18" s="167">
        <v>0.77339999999999998</v>
      </c>
      <c r="FQ18" s="167">
        <v>0.67069999999999996</v>
      </c>
      <c r="FT18" s="168">
        <v>9536</v>
      </c>
      <c r="FU18" s="167">
        <f>VLOOKUP(FT18,Sheet4!A20:F96,3,0)</f>
        <v>15.1678</v>
      </c>
      <c r="FV18" s="167">
        <f>VLOOKUP(FT18,Sheet4!A20:F96,4,0)</f>
        <v>2.0325000000000002</v>
      </c>
      <c r="FW18" s="167">
        <f>VLOOKUP(FT18,Sheet4!A20:F96,5,0)</f>
        <v>0.77439999999999998</v>
      </c>
      <c r="FX18" s="167">
        <f>VLOOKUP(FT18,Sheet4!A20:F96,6,0)</f>
        <v>0.67149999999999999</v>
      </c>
    </row>
    <row r="19" spans="1:180" x14ac:dyDescent="0.25">
      <c r="A19" s="9">
        <v>9537</v>
      </c>
      <c r="B19" s="9">
        <v>14.2738</v>
      </c>
      <c r="C19" s="9">
        <v>1.9127000000000001</v>
      </c>
      <c r="D19" s="9">
        <v>0.7288</v>
      </c>
      <c r="E19" s="9">
        <v>0.63190000000000002</v>
      </c>
      <c r="H19" s="9">
        <v>9537</v>
      </c>
      <c r="I19" s="9">
        <v>14.5174</v>
      </c>
      <c r="J19" s="9">
        <v>1.9454</v>
      </c>
      <c r="K19" s="9">
        <v>0.74119999999999997</v>
      </c>
      <c r="L19" s="9">
        <v>0.64270000000000005</v>
      </c>
      <c r="O19" s="154">
        <v>9537</v>
      </c>
      <c r="P19" s="154">
        <v>14.529500000000001</v>
      </c>
      <c r="Q19" s="154">
        <v>1.9470000000000001</v>
      </c>
      <c r="R19" s="154">
        <v>0.74180000000000001</v>
      </c>
      <c r="S19" s="154">
        <v>0.64329999999999998</v>
      </c>
      <c r="V19" s="151">
        <v>9537</v>
      </c>
      <c r="W19" s="151">
        <v>14.5594</v>
      </c>
      <c r="X19" s="151">
        <v>1.9510000000000001</v>
      </c>
      <c r="Y19" s="151">
        <v>0.74329999999999996</v>
      </c>
      <c r="Z19" s="151">
        <v>0.64459999999999995</v>
      </c>
      <c r="AC19" s="155">
        <v>9537</v>
      </c>
      <c r="AD19" s="155">
        <v>14.6228</v>
      </c>
      <c r="AE19" s="155">
        <v>1.9595</v>
      </c>
      <c r="AF19" s="155">
        <v>0.74660000000000004</v>
      </c>
      <c r="AG19" s="155">
        <v>0.64739999999999998</v>
      </c>
      <c r="AJ19" s="160">
        <v>9537</v>
      </c>
      <c r="AK19" s="6">
        <v>14.7033</v>
      </c>
      <c r="AL19" s="6">
        <v>1.9702999999999999</v>
      </c>
      <c r="AM19" s="6">
        <v>0.75070000000000003</v>
      </c>
      <c r="AN19" s="6">
        <v>0.65090000000000003</v>
      </c>
      <c r="AQ19" s="129">
        <v>9537</v>
      </c>
      <c r="AR19" s="53">
        <v>14.735799999999999</v>
      </c>
      <c r="AS19" s="53">
        <v>1.9746999999999999</v>
      </c>
      <c r="AT19" s="53">
        <v>0.75229999999999997</v>
      </c>
      <c r="AU19" s="53">
        <v>0.65239999999999998</v>
      </c>
      <c r="AX19" s="129">
        <v>9537</v>
      </c>
      <c r="AY19" s="53">
        <v>14.757</v>
      </c>
      <c r="AZ19" s="53">
        <v>1.9775</v>
      </c>
      <c r="BA19" s="53">
        <v>0.75339999999999996</v>
      </c>
      <c r="BB19" s="53">
        <v>0.65329999999999999</v>
      </c>
      <c r="BC19" s="3"/>
      <c r="BD19" s="182"/>
      <c r="BE19" s="129">
        <v>9537</v>
      </c>
      <c r="BF19" s="53">
        <v>14.7662</v>
      </c>
      <c r="BG19" s="53">
        <v>1.9786999999999999</v>
      </c>
      <c r="BH19" s="53">
        <v>0.75390000000000001</v>
      </c>
      <c r="BI19" s="53">
        <v>0.65369999999999995</v>
      </c>
      <c r="BL19" s="129">
        <v>9537</v>
      </c>
      <c r="BM19" s="53">
        <v>14.814399999999999</v>
      </c>
      <c r="BN19" s="53">
        <v>1.9852000000000001</v>
      </c>
      <c r="BO19" s="53">
        <v>0.75639999999999996</v>
      </c>
      <c r="BP19" s="53">
        <v>0.65590000000000004</v>
      </c>
      <c r="BS19" s="129">
        <v>9537</v>
      </c>
      <c r="BT19" s="53">
        <v>14.8795</v>
      </c>
      <c r="BU19" s="53">
        <v>1.9939</v>
      </c>
      <c r="BV19" s="53">
        <v>0.75970000000000004</v>
      </c>
      <c r="BW19" s="53">
        <v>0.65869999999999995</v>
      </c>
      <c r="BY19" s="18"/>
      <c r="BZ19" s="129">
        <v>9537</v>
      </c>
      <c r="CA19" s="53">
        <v>14.9002</v>
      </c>
      <c r="CB19" s="53">
        <v>1.9966999999999999</v>
      </c>
      <c r="CC19" s="53">
        <v>0.76070000000000004</v>
      </c>
      <c r="CD19" s="53">
        <v>0.65969999999999995</v>
      </c>
      <c r="CG19" s="129">
        <v>9537</v>
      </c>
      <c r="CH19" s="53">
        <v>14.9168</v>
      </c>
      <c r="CI19" s="53">
        <v>1.9988999999999999</v>
      </c>
      <c r="CJ19" s="53">
        <v>0.76160000000000005</v>
      </c>
      <c r="CK19" s="53">
        <v>0.66039999999999999</v>
      </c>
      <c r="CN19" s="207">
        <v>9537</v>
      </c>
      <c r="CO19" s="53">
        <v>14.9558</v>
      </c>
      <c r="CP19" s="53">
        <v>2.0041000000000002</v>
      </c>
      <c r="CQ19" s="53">
        <v>0.76359999999999995</v>
      </c>
      <c r="CR19" s="53">
        <v>0.66210000000000002</v>
      </c>
      <c r="CU19" s="215">
        <v>9537</v>
      </c>
      <c r="CV19" s="53">
        <v>14.9688</v>
      </c>
      <c r="CW19" s="53">
        <v>2.0059</v>
      </c>
      <c r="CX19" s="53">
        <v>0.76419999999999999</v>
      </c>
      <c r="CY19" s="53">
        <v>0.66269999999999996</v>
      </c>
      <c r="DB19" s="217">
        <v>9537</v>
      </c>
      <c r="DC19" s="53">
        <v>14.982499999999998</v>
      </c>
      <c r="DD19" s="53">
        <v>2.0077000000000003</v>
      </c>
      <c r="DE19" s="53">
        <v>0.76490000000000002</v>
      </c>
      <c r="DF19" s="53">
        <v>0.6633</v>
      </c>
      <c r="DI19" s="222">
        <v>9537</v>
      </c>
      <c r="DJ19" s="53">
        <v>14.994</v>
      </c>
      <c r="DK19" s="53">
        <v>2.0093000000000001</v>
      </c>
      <c r="DL19" s="53">
        <v>0.76549999999999996</v>
      </c>
      <c r="DM19" s="53">
        <v>0.66379999999999995</v>
      </c>
      <c r="DN19" s="231"/>
      <c r="DO19" s="231"/>
      <c r="DP19" s="227">
        <v>9537</v>
      </c>
      <c r="DQ19" s="53">
        <v>15.0101</v>
      </c>
      <c r="DR19" s="53">
        <v>2.0114000000000001</v>
      </c>
      <c r="DS19" s="53">
        <v>0.76629999999999998</v>
      </c>
      <c r="DT19" s="53">
        <v>0.66449999999999998</v>
      </c>
      <c r="DW19" s="235">
        <v>9537</v>
      </c>
      <c r="DX19" s="53">
        <v>15.0282</v>
      </c>
      <c r="DY19" s="53">
        <v>2.0137999999999998</v>
      </c>
      <c r="DZ19" s="53">
        <v>0.76729999999999998</v>
      </c>
      <c r="EA19" s="53">
        <v>0.6653</v>
      </c>
      <c r="ED19" s="237">
        <v>9537</v>
      </c>
      <c r="EE19" s="53">
        <v>15.045999999999999</v>
      </c>
      <c r="EF19" s="53">
        <v>2.0162</v>
      </c>
      <c r="EG19" s="53">
        <v>0.76819999999999999</v>
      </c>
      <c r="EH19" s="53">
        <v>0.66610000000000003</v>
      </c>
      <c r="EK19" s="239">
        <v>9537</v>
      </c>
      <c r="EL19" s="53">
        <v>15.08</v>
      </c>
      <c r="EM19" s="53">
        <v>2.0207999999999999</v>
      </c>
      <c r="EN19" s="53">
        <v>0.76990000000000003</v>
      </c>
      <c r="EO19" s="53">
        <v>0.66759999999999997</v>
      </c>
      <c r="ER19" s="243">
        <v>9537</v>
      </c>
      <c r="ES19" s="53">
        <v>15.114699999999999</v>
      </c>
      <c r="ET19" s="53">
        <v>2.0253999999999999</v>
      </c>
      <c r="EU19" s="53">
        <v>0.77170000000000005</v>
      </c>
      <c r="EV19" s="53">
        <v>0.66920000000000002</v>
      </c>
      <c r="EY19" s="245">
        <v>9537</v>
      </c>
      <c r="EZ19" s="53">
        <v>15.1249</v>
      </c>
      <c r="FA19" s="53">
        <v>2.0268000000000002</v>
      </c>
      <c r="FB19" s="53">
        <v>0.7722</v>
      </c>
      <c r="FC19" s="53">
        <v>0.66959999999999997</v>
      </c>
      <c r="FF19" s="249">
        <v>9537</v>
      </c>
      <c r="FG19" s="53">
        <v>15.1411</v>
      </c>
      <c r="FH19" s="53">
        <v>2.0289999999999999</v>
      </c>
      <c r="FI19" s="53">
        <v>0.77300000000000002</v>
      </c>
      <c r="FJ19" s="53">
        <v>0.67030000000000001</v>
      </c>
      <c r="FM19" s="252">
        <v>9537</v>
      </c>
      <c r="FN19" s="53">
        <v>15.1492</v>
      </c>
      <c r="FO19" s="53">
        <v>2.0301</v>
      </c>
      <c r="FP19" s="53">
        <v>0.77339999999999998</v>
      </c>
      <c r="FQ19" s="53">
        <v>0.67069999999999996</v>
      </c>
      <c r="FT19" s="254">
        <v>9537</v>
      </c>
      <c r="FU19" s="53">
        <f>VLOOKUP(FT19,Sheet4!A21:F97,3,0)</f>
        <v>15.1678</v>
      </c>
      <c r="FV19" s="53">
        <f>VLOOKUP(FT19,Sheet4!A21:F97,4,0)</f>
        <v>2.0325000000000002</v>
      </c>
      <c r="FW19" s="53">
        <f>VLOOKUP(FT19,Sheet4!A21:F97,5,0)</f>
        <v>0.77439999999999998</v>
      </c>
      <c r="FX19" s="53">
        <f>VLOOKUP(FT19,Sheet4!A21:F97,6,0)</f>
        <v>0.67149999999999999</v>
      </c>
    </row>
    <row r="20" spans="1:180" x14ac:dyDescent="0.25">
      <c r="A20" s="9">
        <v>9538</v>
      </c>
      <c r="B20" s="9">
        <v>14.2738</v>
      </c>
      <c r="C20" s="9">
        <v>1.9127000000000001</v>
      </c>
      <c r="D20" s="9">
        <v>0.7288</v>
      </c>
      <c r="E20" s="9">
        <v>0.63190000000000002</v>
      </c>
      <c r="H20" s="9">
        <v>9538</v>
      </c>
      <c r="I20" s="9">
        <v>14.5174</v>
      </c>
      <c r="J20" s="9">
        <v>1.9454</v>
      </c>
      <c r="K20" s="9">
        <v>0.74119999999999997</v>
      </c>
      <c r="L20" s="9">
        <v>0.64270000000000005</v>
      </c>
      <c r="O20" s="148">
        <v>9538</v>
      </c>
      <c r="P20" s="148">
        <v>14.529500000000001</v>
      </c>
      <c r="Q20" s="148">
        <v>1.9470000000000001</v>
      </c>
      <c r="R20" s="148">
        <v>0.74180000000000001</v>
      </c>
      <c r="S20" s="148">
        <v>0.64329999999999998</v>
      </c>
      <c r="V20" s="151">
        <v>9538</v>
      </c>
      <c r="W20" s="151">
        <v>14.5594</v>
      </c>
      <c r="X20" s="151">
        <v>1.9510000000000001</v>
      </c>
      <c r="Y20" s="151">
        <v>0.74329999999999996</v>
      </c>
      <c r="Z20" s="151">
        <v>0.64459999999999995</v>
      </c>
      <c r="AC20" s="155">
        <v>9538</v>
      </c>
      <c r="AD20" s="155">
        <v>14.6228</v>
      </c>
      <c r="AE20" s="155">
        <v>1.9595</v>
      </c>
      <c r="AF20" s="155">
        <v>0.74660000000000004</v>
      </c>
      <c r="AG20" s="155">
        <v>0.64739999999999998</v>
      </c>
      <c r="AJ20" s="168">
        <v>9538</v>
      </c>
      <c r="AK20" s="169">
        <v>14.7033</v>
      </c>
      <c r="AL20" s="169">
        <v>1.9702999999999999</v>
      </c>
      <c r="AM20" s="169">
        <v>0.75070000000000003</v>
      </c>
      <c r="AN20" s="169">
        <v>0.65090000000000003</v>
      </c>
      <c r="AQ20" s="165">
        <v>9538</v>
      </c>
      <c r="AR20" s="167">
        <v>14.735799999999999</v>
      </c>
      <c r="AS20" s="167">
        <v>1.9746999999999999</v>
      </c>
      <c r="AT20" s="167">
        <v>0.75229999999999997</v>
      </c>
      <c r="AU20" s="167">
        <v>0.65239999999999998</v>
      </c>
      <c r="AX20" s="165">
        <v>9538</v>
      </c>
      <c r="AY20" s="167">
        <v>14.757</v>
      </c>
      <c r="AZ20" s="167">
        <v>1.9775</v>
      </c>
      <c r="BA20" s="167">
        <v>0.75339999999999996</v>
      </c>
      <c r="BB20" s="167">
        <v>0.65329999999999999</v>
      </c>
      <c r="BC20" s="3"/>
      <c r="BD20" s="182"/>
      <c r="BE20" s="165">
        <v>9538</v>
      </c>
      <c r="BF20" s="167">
        <v>14.7662</v>
      </c>
      <c r="BG20" s="167">
        <v>1.9786999999999999</v>
      </c>
      <c r="BH20" s="167">
        <v>0.75390000000000001</v>
      </c>
      <c r="BI20" s="167">
        <v>0.65369999999999995</v>
      </c>
      <c r="BL20" s="165">
        <v>9538</v>
      </c>
      <c r="BM20" s="167">
        <v>14.814399999999999</v>
      </c>
      <c r="BN20" s="167">
        <v>1.9852000000000001</v>
      </c>
      <c r="BO20" s="167">
        <v>0.75639999999999996</v>
      </c>
      <c r="BP20" s="167">
        <v>0.65590000000000004</v>
      </c>
      <c r="BS20" s="165">
        <v>9538</v>
      </c>
      <c r="BT20" s="167">
        <v>14.8795</v>
      </c>
      <c r="BU20" s="167">
        <v>1.9939</v>
      </c>
      <c r="BV20" s="167">
        <v>0.75970000000000004</v>
      </c>
      <c r="BW20" s="167">
        <v>0.65869999999999995</v>
      </c>
      <c r="BY20" s="18"/>
      <c r="BZ20" s="165">
        <v>9538</v>
      </c>
      <c r="CA20" s="167">
        <v>14.9002</v>
      </c>
      <c r="CB20" s="167">
        <v>1.9966999999999999</v>
      </c>
      <c r="CC20" s="167">
        <v>0.76070000000000004</v>
      </c>
      <c r="CD20" s="167">
        <v>0.65969999999999995</v>
      </c>
      <c r="CG20" s="165">
        <v>9538</v>
      </c>
      <c r="CH20" s="167">
        <v>14.9168</v>
      </c>
      <c r="CI20" s="167">
        <v>1.9988999999999999</v>
      </c>
      <c r="CJ20" s="167">
        <v>0.76160000000000005</v>
      </c>
      <c r="CK20" s="167">
        <v>0.66039999999999999</v>
      </c>
      <c r="CN20" s="168">
        <v>9538</v>
      </c>
      <c r="CO20" s="167">
        <v>14.9558</v>
      </c>
      <c r="CP20" s="167">
        <v>2.0041000000000002</v>
      </c>
      <c r="CQ20" s="167">
        <v>0.76359999999999995</v>
      </c>
      <c r="CR20" s="167">
        <v>0.66210000000000002</v>
      </c>
      <c r="CU20" s="168">
        <v>9538</v>
      </c>
      <c r="CV20" s="167">
        <v>14.9688</v>
      </c>
      <c r="CW20" s="167">
        <v>2.0059</v>
      </c>
      <c r="CX20" s="167">
        <v>0.76419999999999999</v>
      </c>
      <c r="CY20" s="167">
        <v>0.66269999999999996</v>
      </c>
      <c r="DB20" s="168">
        <v>9538</v>
      </c>
      <c r="DC20" s="167">
        <v>14.982499999999998</v>
      </c>
      <c r="DD20" s="167">
        <v>2.0077000000000003</v>
      </c>
      <c r="DE20" s="167">
        <v>0.76490000000000002</v>
      </c>
      <c r="DF20" s="167">
        <v>0.6633</v>
      </c>
      <c r="DI20" s="168">
        <v>9538</v>
      </c>
      <c r="DJ20" s="167">
        <v>14.994</v>
      </c>
      <c r="DK20" s="167">
        <v>2.0093000000000001</v>
      </c>
      <c r="DL20" s="167">
        <v>0.76549999999999996</v>
      </c>
      <c r="DM20" s="167">
        <v>0.66379999999999995</v>
      </c>
      <c r="DN20" s="231"/>
      <c r="DO20" s="231"/>
      <c r="DP20" s="168">
        <v>9538</v>
      </c>
      <c r="DQ20" s="167">
        <v>15.0101</v>
      </c>
      <c r="DR20" s="167">
        <v>2.0114000000000001</v>
      </c>
      <c r="DS20" s="167">
        <v>0.76629999999999998</v>
      </c>
      <c r="DT20" s="167">
        <v>0.66449999999999998</v>
      </c>
      <c r="DW20" s="168">
        <v>9538</v>
      </c>
      <c r="DX20" s="167">
        <v>15.0282</v>
      </c>
      <c r="DY20" s="167">
        <v>2.0137999999999998</v>
      </c>
      <c r="DZ20" s="167">
        <v>0.76729999999999998</v>
      </c>
      <c r="EA20" s="167">
        <v>0.6653</v>
      </c>
      <c r="ED20" s="168">
        <v>9538</v>
      </c>
      <c r="EE20" s="167">
        <v>15.045999999999999</v>
      </c>
      <c r="EF20" s="167">
        <v>2.0162</v>
      </c>
      <c r="EG20" s="167">
        <v>0.76819999999999999</v>
      </c>
      <c r="EH20" s="167">
        <v>0.66610000000000003</v>
      </c>
      <c r="EK20" s="168">
        <v>9538</v>
      </c>
      <c r="EL20" s="167">
        <v>15.08</v>
      </c>
      <c r="EM20" s="167">
        <v>2.0207999999999999</v>
      </c>
      <c r="EN20" s="167">
        <v>0.76990000000000003</v>
      </c>
      <c r="EO20" s="167">
        <v>0.66759999999999997</v>
      </c>
      <c r="ER20" s="168">
        <v>9538</v>
      </c>
      <c r="ES20" s="167">
        <v>15.114699999999999</v>
      </c>
      <c r="ET20" s="167">
        <v>2.0253999999999999</v>
      </c>
      <c r="EU20" s="167">
        <v>0.77170000000000005</v>
      </c>
      <c r="EV20" s="167">
        <v>0.66920000000000002</v>
      </c>
      <c r="EY20" s="168">
        <v>9538</v>
      </c>
      <c r="EZ20" s="167">
        <v>15.1249</v>
      </c>
      <c r="FA20" s="167">
        <v>2.0268000000000002</v>
      </c>
      <c r="FB20" s="167">
        <v>0.7722</v>
      </c>
      <c r="FC20" s="167">
        <v>0.66959999999999997</v>
      </c>
      <c r="FF20" s="168">
        <v>9538</v>
      </c>
      <c r="FG20" s="167">
        <v>15.1411</v>
      </c>
      <c r="FH20" s="167">
        <v>2.0289999999999999</v>
      </c>
      <c r="FI20" s="167">
        <v>0.77300000000000002</v>
      </c>
      <c r="FJ20" s="167">
        <v>0.67030000000000001</v>
      </c>
      <c r="FM20" s="168">
        <v>9538</v>
      </c>
      <c r="FN20" s="167">
        <v>15.1492</v>
      </c>
      <c r="FO20" s="167">
        <v>2.0301</v>
      </c>
      <c r="FP20" s="167">
        <v>0.77339999999999998</v>
      </c>
      <c r="FQ20" s="167">
        <v>0.67069999999999996</v>
      </c>
      <c r="FT20" s="168">
        <v>9538</v>
      </c>
      <c r="FU20" s="167">
        <f>VLOOKUP(FT20,Sheet4!A22:F98,3,0)</f>
        <v>15.1678</v>
      </c>
      <c r="FV20" s="167">
        <f>VLOOKUP(FT20,Sheet4!A22:F98,4,0)</f>
        <v>2.0325000000000002</v>
      </c>
      <c r="FW20" s="167">
        <f>VLOOKUP(FT20,Sheet4!A22:F98,5,0)</f>
        <v>0.77439999999999998</v>
      </c>
      <c r="FX20" s="167">
        <f>VLOOKUP(FT20,Sheet4!A22:F98,6,0)</f>
        <v>0.67149999999999999</v>
      </c>
    </row>
    <row r="21" spans="1:180" x14ac:dyDescent="0.25">
      <c r="A21" s="9">
        <v>9539</v>
      </c>
      <c r="B21" s="9">
        <v>14.597899999999999</v>
      </c>
      <c r="C21" s="9">
        <v>1.9561999999999999</v>
      </c>
      <c r="D21" s="9">
        <v>0.74529999999999996</v>
      </c>
      <c r="E21" s="9">
        <v>0.64629999999999999</v>
      </c>
      <c r="H21" s="9">
        <v>9539</v>
      </c>
      <c r="I21" s="9">
        <v>14.8415</v>
      </c>
      <c r="J21" s="9">
        <v>1.9887999999999999</v>
      </c>
      <c r="K21" s="9">
        <v>0.75770000000000004</v>
      </c>
      <c r="L21" s="9">
        <v>0.65710000000000002</v>
      </c>
      <c r="O21" s="154">
        <v>9539</v>
      </c>
      <c r="P21" s="154">
        <v>14.8536</v>
      </c>
      <c r="Q21" s="154">
        <v>1.9903999999999999</v>
      </c>
      <c r="R21" s="154">
        <v>0.75839999999999996</v>
      </c>
      <c r="S21" s="154">
        <v>0.65759999999999996</v>
      </c>
      <c r="V21" s="151">
        <v>9539</v>
      </c>
      <c r="W21" s="151">
        <v>14.8835</v>
      </c>
      <c r="X21" s="151">
        <v>1.9944</v>
      </c>
      <c r="Y21" s="151">
        <v>0.75990000000000002</v>
      </c>
      <c r="Z21" s="151">
        <v>0.65890000000000004</v>
      </c>
      <c r="AC21" s="155">
        <v>9539</v>
      </c>
      <c r="AD21" s="155">
        <v>14.946899999999999</v>
      </c>
      <c r="AE21" s="155">
        <v>2.0028999999999999</v>
      </c>
      <c r="AF21" s="155">
        <v>0.7631</v>
      </c>
      <c r="AG21" s="155">
        <v>0.66169999999999995</v>
      </c>
      <c r="AJ21" s="160">
        <v>9539</v>
      </c>
      <c r="AK21" s="6">
        <v>15.0274</v>
      </c>
      <c r="AL21" s="6">
        <v>2.0137</v>
      </c>
      <c r="AM21" s="6">
        <v>0.76719999999999999</v>
      </c>
      <c r="AN21" s="6">
        <v>0.6653</v>
      </c>
      <c r="AQ21" s="129">
        <v>9539</v>
      </c>
      <c r="AR21" s="53">
        <v>15.059900000000001</v>
      </c>
      <c r="AS21" s="53">
        <v>2.0181</v>
      </c>
      <c r="AT21" s="53">
        <v>0.76890000000000003</v>
      </c>
      <c r="AU21" s="53">
        <v>0.66669999999999996</v>
      </c>
      <c r="AX21" s="129">
        <v>9539</v>
      </c>
      <c r="AY21" s="53">
        <v>15.081099999999999</v>
      </c>
      <c r="AZ21" s="53">
        <v>2.0209000000000001</v>
      </c>
      <c r="BA21" s="53">
        <v>0.77</v>
      </c>
      <c r="BB21" s="53">
        <v>0.66769999999999996</v>
      </c>
      <c r="BC21" s="3"/>
      <c r="BD21" s="182"/>
      <c r="BE21" s="129">
        <v>9539</v>
      </c>
      <c r="BF21" s="53">
        <v>15.090299999999999</v>
      </c>
      <c r="BG21" s="53">
        <v>2.0222000000000002</v>
      </c>
      <c r="BH21" s="53">
        <v>0.77039999999999997</v>
      </c>
      <c r="BI21" s="53">
        <v>0.66810000000000003</v>
      </c>
      <c r="BL21" s="129">
        <v>9539</v>
      </c>
      <c r="BM21" s="53">
        <v>15.138500000000001</v>
      </c>
      <c r="BN21" s="53">
        <v>2.0286</v>
      </c>
      <c r="BO21" s="53">
        <v>0.77290000000000003</v>
      </c>
      <c r="BP21" s="53">
        <v>0.67020000000000002</v>
      </c>
      <c r="BS21" s="129">
        <v>9539</v>
      </c>
      <c r="BT21" s="53">
        <v>15.2036</v>
      </c>
      <c r="BU21" s="53">
        <v>2.0373000000000001</v>
      </c>
      <c r="BV21" s="53">
        <v>0.7762</v>
      </c>
      <c r="BW21" s="53">
        <v>0.67310000000000003</v>
      </c>
      <c r="BY21" s="18"/>
      <c r="BZ21" s="129">
        <v>9539</v>
      </c>
      <c r="CA21" s="53">
        <v>15.224299999999999</v>
      </c>
      <c r="CB21" s="53">
        <v>2.0400999999999998</v>
      </c>
      <c r="CC21" s="53">
        <v>0.77729999999999999</v>
      </c>
      <c r="CD21" s="53">
        <v>0.67400000000000004</v>
      </c>
      <c r="CG21" s="129">
        <v>9539</v>
      </c>
      <c r="CH21" s="53">
        <v>15.2409</v>
      </c>
      <c r="CI21" s="53">
        <v>2.0423</v>
      </c>
      <c r="CJ21" s="53">
        <v>0.77810000000000001</v>
      </c>
      <c r="CK21" s="53">
        <v>0.67469999999999997</v>
      </c>
      <c r="CN21" s="207">
        <v>9539</v>
      </c>
      <c r="CO21" s="53">
        <v>15.2799</v>
      </c>
      <c r="CP21" s="53">
        <v>2.0476000000000001</v>
      </c>
      <c r="CQ21" s="53">
        <v>0.78010000000000002</v>
      </c>
      <c r="CR21" s="53">
        <v>0.67649999999999999</v>
      </c>
      <c r="CU21" s="215">
        <v>9539</v>
      </c>
      <c r="CV21" s="53">
        <v>15.292899999999999</v>
      </c>
      <c r="CW21" s="53">
        <v>2.0493000000000001</v>
      </c>
      <c r="CX21" s="53">
        <v>0.78080000000000005</v>
      </c>
      <c r="CY21" s="53">
        <v>0.67700000000000005</v>
      </c>
      <c r="DB21" s="217">
        <v>9539</v>
      </c>
      <c r="DC21" s="53">
        <v>15.3066</v>
      </c>
      <c r="DD21" s="53">
        <v>2.0510999999999999</v>
      </c>
      <c r="DE21" s="53">
        <v>0.78149999999999997</v>
      </c>
      <c r="DF21" s="53">
        <v>0.67769999999999997</v>
      </c>
      <c r="DI21" s="222">
        <v>9539</v>
      </c>
      <c r="DJ21" s="53">
        <v>15.318099999999999</v>
      </c>
      <c r="DK21" s="53">
        <v>2.0527000000000002</v>
      </c>
      <c r="DL21" s="53">
        <v>0.78210000000000002</v>
      </c>
      <c r="DM21" s="53">
        <v>0.67820000000000003</v>
      </c>
      <c r="DN21" s="231"/>
      <c r="DO21" s="231"/>
      <c r="DP21" s="227">
        <v>9539</v>
      </c>
      <c r="DQ21" s="53">
        <v>15.334199999999999</v>
      </c>
      <c r="DR21" s="53">
        <v>2.0548000000000002</v>
      </c>
      <c r="DS21" s="53">
        <v>0.78290000000000004</v>
      </c>
      <c r="DT21" s="53">
        <v>0.67889999999999995</v>
      </c>
      <c r="DW21" s="235">
        <v>9539</v>
      </c>
      <c r="DX21" s="53">
        <v>15.3523</v>
      </c>
      <c r="DY21" s="53">
        <v>2.0573000000000001</v>
      </c>
      <c r="DZ21" s="53">
        <v>0.78380000000000005</v>
      </c>
      <c r="EA21" s="53">
        <v>0.67969999999999997</v>
      </c>
      <c r="ED21" s="237">
        <v>9539</v>
      </c>
      <c r="EE21" s="53">
        <v>15.370100000000001</v>
      </c>
      <c r="EF21" s="53">
        <v>2.0596999999999999</v>
      </c>
      <c r="EG21" s="53">
        <v>0.78469999999999995</v>
      </c>
      <c r="EH21" s="53">
        <v>0.68049999999999999</v>
      </c>
      <c r="EK21" s="239">
        <v>9539</v>
      </c>
      <c r="EL21" s="53">
        <v>15.4041</v>
      </c>
      <c r="EM21" s="53">
        <v>2.0642</v>
      </c>
      <c r="EN21" s="53">
        <v>0.78649999999999998</v>
      </c>
      <c r="EO21" s="53">
        <v>0.68200000000000005</v>
      </c>
      <c r="ER21" s="243">
        <v>9539</v>
      </c>
      <c r="ES21" s="53">
        <v>15.438800000000001</v>
      </c>
      <c r="ET21" s="53">
        <v>2.0689000000000002</v>
      </c>
      <c r="EU21" s="53">
        <v>0.78820000000000001</v>
      </c>
      <c r="EV21" s="53">
        <v>0.6835</v>
      </c>
      <c r="EY21" s="245">
        <v>9539</v>
      </c>
      <c r="EZ21" s="53">
        <v>15.449</v>
      </c>
      <c r="FA21" s="53">
        <v>2.0701999999999998</v>
      </c>
      <c r="FB21" s="53">
        <v>0.78879999999999995</v>
      </c>
      <c r="FC21" s="53">
        <v>0.68400000000000005</v>
      </c>
      <c r="FF21" s="249">
        <v>9539</v>
      </c>
      <c r="FG21" s="53">
        <v>15.465199999999999</v>
      </c>
      <c r="FH21" s="53">
        <v>2.0724</v>
      </c>
      <c r="FI21" s="53">
        <v>0.78959999999999997</v>
      </c>
      <c r="FJ21" s="53">
        <v>0.68469999999999998</v>
      </c>
      <c r="FM21" s="252">
        <v>9539</v>
      </c>
      <c r="FN21" s="53">
        <v>15.4733</v>
      </c>
      <c r="FO21" s="53">
        <v>2.0735000000000001</v>
      </c>
      <c r="FP21" s="53">
        <v>0.79</v>
      </c>
      <c r="FQ21" s="53">
        <v>0.68500000000000005</v>
      </c>
      <c r="FT21" s="254">
        <v>9539</v>
      </c>
      <c r="FU21" s="53">
        <f>VLOOKUP(FT21,Sheet4!A23:F99,3,0)</f>
        <v>15.491899999999999</v>
      </c>
      <c r="FV21" s="53">
        <f>VLOOKUP(FT21,Sheet4!A23:F99,4,0)</f>
        <v>2.0760000000000001</v>
      </c>
      <c r="FW21" s="53">
        <f>VLOOKUP(FT21,Sheet4!A23:F99,5,0)</f>
        <v>0.79090000000000005</v>
      </c>
      <c r="FX21" s="53">
        <f>VLOOKUP(FT21,Sheet4!A23:F99,6,0)</f>
        <v>0.68589999999999995</v>
      </c>
    </row>
    <row r="22" spans="1:180" x14ac:dyDescent="0.25">
      <c r="A22" s="9">
        <v>9540</v>
      </c>
      <c r="B22" s="9">
        <v>14.1334</v>
      </c>
      <c r="C22" s="9">
        <v>1.8938999999999999</v>
      </c>
      <c r="D22" s="9">
        <v>0.72160000000000002</v>
      </c>
      <c r="E22" s="9">
        <v>0.62570000000000003</v>
      </c>
      <c r="H22" s="9">
        <v>9540</v>
      </c>
      <c r="I22" s="9">
        <v>14.377000000000001</v>
      </c>
      <c r="J22" s="9">
        <v>1.9266000000000001</v>
      </c>
      <c r="K22" s="9">
        <v>0.73399999999999999</v>
      </c>
      <c r="L22" s="9">
        <v>0.63649999999999995</v>
      </c>
      <c r="O22" s="148">
        <v>9540</v>
      </c>
      <c r="P22" s="148">
        <v>14.389099999999999</v>
      </c>
      <c r="Q22" s="148">
        <v>1.9281999999999999</v>
      </c>
      <c r="R22" s="148">
        <v>0.73460000000000003</v>
      </c>
      <c r="S22" s="148">
        <v>0.63700000000000001</v>
      </c>
      <c r="V22" s="151">
        <v>9540</v>
      </c>
      <c r="W22" s="151">
        <v>14.419</v>
      </c>
      <c r="X22" s="151">
        <v>1.9321999999999999</v>
      </c>
      <c r="Y22" s="151">
        <v>0.73619999999999997</v>
      </c>
      <c r="Z22" s="151">
        <v>0.63839999999999997</v>
      </c>
      <c r="AC22" s="155">
        <v>9540</v>
      </c>
      <c r="AD22" s="155">
        <v>14.4824</v>
      </c>
      <c r="AE22" s="155">
        <v>1.9407000000000001</v>
      </c>
      <c r="AF22" s="155">
        <v>0.73939999999999995</v>
      </c>
      <c r="AG22" s="155">
        <v>0.64119999999999999</v>
      </c>
      <c r="AJ22" s="168">
        <v>9540</v>
      </c>
      <c r="AK22" s="169">
        <v>14.562900000000001</v>
      </c>
      <c r="AL22" s="169">
        <v>1.9515</v>
      </c>
      <c r="AM22" s="169">
        <v>0.74350000000000005</v>
      </c>
      <c r="AN22" s="169">
        <v>0.64470000000000005</v>
      </c>
      <c r="AQ22" s="165">
        <v>9540</v>
      </c>
      <c r="AR22" s="167">
        <v>14.5954</v>
      </c>
      <c r="AS22" s="167">
        <v>1.9558</v>
      </c>
      <c r="AT22" s="167">
        <v>0.74519999999999997</v>
      </c>
      <c r="AU22" s="167">
        <v>0.6462</v>
      </c>
      <c r="AX22" s="165">
        <v>9540</v>
      </c>
      <c r="AY22" s="167">
        <v>14.6166</v>
      </c>
      <c r="AZ22" s="167">
        <v>1.9587000000000001</v>
      </c>
      <c r="BA22" s="167">
        <v>0.74629999999999996</v>
      </c>
      <c r="BB22" s="167">
        <v>0.64710000000000001</v>
      </c>
      <c r="BC22" s="3"/>
      <c r="BD22" s="182"/>
      <c r="BE22" s="165">
        <v>9540</v>
      </c>
      <c r="BF22" s="167">
        <v>14.6258</v>
      </c>
      <c r="BG22" s="167">
        <v>1.9599</v>
      </c>
      <c r="BH22" s="167">
        <v>0.74670000000000003</v>
      </c>
      <c r="BI22" s="167">
        <v>0.64749999999999996</v>
      </c>
      <c r="BL22" s="165">
        <v>9540</v>
      </c>
      <c r="BM22" s="167">
        <v>14.673999999999999</v>
      </c>
      <c r="BN22" s="167">
        <v>1.9663999999999999</v>
      </c>
      <c r="BO22" s="167">
        <v>0.74919999999999998</v>
      </c>
      <c r="BP22" s="167">
        <v>0.64959999999999996</v>
      </c>
      <c r="BS22" s="165">
        <v>9540</v>
      </c>
      <c r="BT22" s="167">
        <v>14.739100000000001</v>
      </c>
      <c r="BU22" s="167">
        <v>1.9751000000000001</v>
      </c>
      <c r="BV22" s="167">
        <v>0.75249999999999995</v>
      </c>
      <c r="BW22" s="167">
        <v>0.65249999999999997</v>
      </c>
      <c r="BY22" s="18"/>
      <c r="BZ22" s="165">
        <v>9540</v>
      </c>
      <c r="CA22" s="167">
        <v>14.7598</v>
      </c>
      <c r="CB22" s="167">
        <v>1.9779</v>
      </c>
      <c r="CC22" s="167">
        <v>0.75360000000000005</v>
      </c>
      <c r="CD22" s="167">
        <v>0.65339999999999998</v>
      </c>
      <c r="CG22" s="165">
        <v>9540</v>
      </c>
      <c r="CH22" s="167">
        <v>14.776400000000001</v>
      </c>
      <c r="CI22" s="167">
        <v>1.9801</v>
      </c>
      <c r="CJ22" s="167">
        <v>0.75439999999999996</v>
      </c>
      <c r="CK22" s="167">
        <v>0.6542</v>
      </c>
      <c r="CN22" s="168">
        <v>9540</v>
      </c>
      <c r="CO22" s="167">
        <v>14.8154</v>
      </c>
      <c r="CP22" s="167">
        <v>1.9853000000000001</v>
      </c>
      <c r="CQ22" s="167">
        <v>0.75639999999999996</v>
      </c>
      <c r="CR22" s="167">
        <v>0.65590000000000004</v>
      </c>
      <c r="CU22" s="168">
        <v>9540</v>
      </c>
      <c r="CV22" s="167">
        <v>14.8284</v>
      </c>
      <c r="CW22" s="167">
        <v>1.9871000000000001</v>
      </c>
      <c r="CX22" s="167">
        <v>0.7571</v>
      </c>
      <c r="CY22" s="167">
        <v>0.65649999999999997</v>
      </c>
      <c r="DB22" s="168">
        <v>9540</v>
      </c>
      <c r="DC22" s="167">
        <v>14.842099999999999</v>
      </c>
      <c r="DD22" s="167">
        <v>1.9888999999999999</v>
      </c>
      <c r="DE22" s="167">
        <v>0.75780000000000003</v>
      </c>
      <c r="DF22" s="167">
        <v>0.65710000000000002</v>
      </c>
      <c r="DI22" s="168">
        <v>9540</v>
      </c>
      <c r="DJ22" s="167">
        <v>14.8536</v>
      </c>
      <c r="DK22" s="167">
        <v>1.9903999999999999</v>
      </c>
      <c r="DL22" s="167">
        <v>0.75839999999999996</v>
      </c>
      <c r="DM22" s="167">
        <v>0.65759999999999996</v>
      </c>
      <c r="DN22" s="231"/>
      <c r="DO22" s="231"/>
      <c r="DP22" s="168">
        <v>9540</v>
      </c>
      <c r="DQ22" s="167">
        <v>14.8697</v>
      </c>
      <c r="DR22" s="167">
        <v>1.9925999999999999</v>
      </c>
      <c r="DS22" s="167">
        <v>0.75919999999999999</v>
      </c>
      <c r="DT22" s="167">
        <v>0.6583</v>
      </c>
      <c r="DW22" s="168">
        <v>9540</v>
      </c>
      <c r="DX22" s="167">
        <v>14.8878</v>
      </c>
      <c r="DY22" s="167">
        <v>1.9950000000000001</v>
      </c>
      <c r="DZ22" s="167">
        <v>0.7601</v>
      </c>
      <c r="EA22" s="167">
        <v>0.65910000000000002</v>
      </c>
      <c r="ED22" s="168">
        <v>9540</v>
      </c>
      <c r="EE22" s="167">
        <v>14.9056</v>
      </c>
      <c r="EF22" s="167">
        <v>1.9974000000000001</v>
      </c>
      <c r="EG22" s="167">
        <v>0.76100000000000001</v>
      </c>
      <c r="EH22" s="167">
        <v>0.65990000000000004</v>
      </c>
      <c r="EK22" s="168">
        <v>9540</v>
      </c>
      <c r="EL22" s="167">
        <v>14.9396</v>
      </c>
      <c r="EM22" s="167">
        <v>2.0019999999999998</v>
      </c>
      <c r="EN22" s="167">
        <v>0.76270000000000004</v>
      </c>
      <c r="EO22" s="167">
        <v>0.66139999999999999</v>
      </c>
      <c r="ER22" s="168">
        <v>9540</v>
      </c>
      <c r="ES22" s="167">
        <v>14.974299999999999</v>
      </c>
      <c r="ET22" s="167">
        <v>2.0066000000000002</v>
      </c>
      <c r="EU22" s="167">
        <v>0.76449999999999996</v>
      </c>
      <c r="EV22" s="167">
        <v>0.66290000000000004</v>
      </c>
      <c r="EY22" s="168">
        <v>9540</v>
      </c>
      <c r="EZ22" s="167">
        <v>14.984500000000001</v>
      </c>
      <c r="FA22" s="167">
        <v>2.008</v>
      </c>
      <c r="FB22" s="167">
        <v>0.76500000000000001</v>
      </c>
      <c r="FC22" s="167">
        <v>0.66339999999999999</v>
      </c>
      <c r="FF22" s="168">
        <v>9540</v>
      </c>
      <c r="FG22" s="167">
        <v>15.0007</v>
      </c>
      <c r="FH22" s="167">
        <v>2.0102000000000002</v>
      </c>
      <c r="FI22" s="167">
        <v>0.76590000000000003</v>
      </c>
      <c r="FJ22" s="167">
        <v>0.66410000000000002</v>
      </c>
      <c r="FM22" s="168">
        <v>9540</v>
      </c>
      <c r="FN22" s="167">
        <v>15.008800000000001</v>
      </c>
      <c r="FO22" s="167">
        <v>2.0112000000000001</v>
      </c>
      <c r="FP22" s="167">
        <v>0.76629999999999998</v>
      </c>
      <c r="FQ22" s="167">
        <v>0.66449999999999998</v>
      </c>
      <c r="FT22" s="168">
        <v>9540</v>
      </c>
      <c r="FU22" s="167">
        <f>VLOOKUP(FT22,Sheet4!A24:F100,3,0)</f>
        <v>15.0274</v>
      </c>
      <c r="FV22" s="167">
        <f>VLOOKUP(FT22,Sheet4!A24:F100,4,0)</f>
        <v>2.0137</v>
      </c>
      <c r="FW22" s="167">
        <f>VLOOKUP(FT22,Sheet4!A24:F100,5,0)</f>
        <v>0.76719999999999999</v>
      </c>
      <c r="FX22" s="167">
        <f>VLOOKUP(FT22,Sheet4!A24:F100,6,0)</f>
        <v>0.6653</v>
      </c>
    </row>
    <row r="23" spans="1:180" x14ac:dyDescent="0.25">
      <c r="A23" s="9">
        <v>9541</v>
      </c>
      <c r="B23" s="9">
        <v>14.2738</v>
      </c>
      <c r="C23" s="9">
        <v>1.9127000000000001</v>
      </c>
      <c r="D23" s="9">
        <v>0.7288</v>
      </c>
      <c r="E23" s="9">
        <v>0.63190000000000002</v>
      </c>
      <c r="H23" s="9">
        <v>9541</v>
      </c>
      <c r="I23" s="9">
        <v>14.5174</v>
      </c>
      <c r="J23" s="9">
        <v>1.9454</v>
      </c>
      <c r="K23" s="9">
        <v>0.74119999999999997</v>
      </c>
      <c r="L23" s="9">
        <v>0.64270000000000005</v>
      </c>
      <c r="O23" s="154">
        <v>9541</v>
      </c>
      <c r="P23" s="154">
        <v>14.529500000000001</v>
      </c>
      <c r="Q23" s="154">
        <v>1.9470000000000001</v>
      </c>
      <c r="R23" s="154">
        <v>0.74180000000000001</v>
      </c>
      <c r="S23" s="154">
        <v>0.64329999999999998</v>
      </c>
      <c r="V23" s="151">
        <v>9541</v>
      </c>
      <c r="W23" s="151">
        <v>14.5594</v>
      </c>
      <c r="X23" s="151">
        <v>1.9510000000000001</v>
      </c>
      <c r="Y23" s="151">
        <v>0.74329999999999996</v>
      </c>
      <c r="Z23" s="151">
        <v>0.64459999999999995</v>
      </c>
      <c r="AC23" s="155">
        <v>9541</v>
      </c>
      <c r="AD23" s="155">
        <v>14.6228</v>
      </c>
      <c r="AE23" s="155">
        <v>1.9595</v>
      </c>
      <c r="AF23" s="155">
        <v>0.74660000000000004</v>
      </c>
      <c r="AG23" s="155">
        <v>0.64739999999999998</v>
      </c>
      <c r="AJ23" s="160">
        <v>9541</v>
      </c>
      <c r="AK23" s="6">
        <v>14.7033</v>
      </c>
      <c r="AL23" s="6">
        <v>1.9702999999999999</v>
      </c>
      <c r="AM23" s="6">
        <v>0.75070000000000003</v>
      </c>
      <c r="AN23" s="6">
        <v>0.65090000000000003</v>
      </c>
      <c r="AQ23" s="129">
        <v>9541</v>
      </c>
      <c r="AR23" s="53">
        <v>14.735799999999999</v>
      </c>
      <c r="AS23" s="53">
        <v>1.9746999999999999</v>
      </c>
      <c r="AT23" s="53">
        <v>0.75229999999999997</v>
      </c>
      <c r="AU23" s="53">
        <v>0.65239999999999998</v>
      </c>
      <c r="AX23" s="129">
        <v>9541</v>
      </c>
      <c r="AY23" s="53">
        <v>14.757</v>
      </c>
      <c r="AZ23" s="53">
        <v>1.9775</v>
      </c>
      <c r="BA23" s="53">
        <v>0.75339999999999996</v>
      </c>
      <c r="BB23" s="53">
        <v>0.65329999999999999</v>
      </c>
      <c r="BC23" s="3"/>
      <c r="BD23" s="182"/>
      <c r="BE23" s="129">
        <v>9541</v>
      </c>
      <c r="BF23" s="53">
        <v>14.7662</v>
      </c>
      <c r="BG23" s="53">
        <v>1.9786999999999999</v>
      </c>
      <c r="BH23" s="53">
        <v>0.75390000000000001</v>
      </c>
      <c r="BI23" s="53">
        <v>0.65369999999999995</v>
      </c>
      <c r="BL23" s="129">
        <v>9541</v>
      </c>
      <c r="BM23" s="53">
        <v>14.814399999999999</v>
      </c>
      <c r="BN23" s="53">
        <v>1.9852000000000001</v>
      </c>
      <c r="BO23" s="53">
        <v>0.75639999999999996</v>
      </c>
      <c r="BP23" s="53">
        <v>0.65590000000000004</v>
      </c>
      <c r="BS23" s="129">
        <v>9541</v>
      </c>
      <c r="BT23" s="53">
        <v>14.8795</v>
      </c>
      <c r="BU23" s="53">
        <v>1.9939</v>
      </c>
      <c r="BV23" s="53">
        <v>0.75970000000000004</v>
      </c>
      <c r="BW23" s="53">
        <v>0.65869999999999995</v>
      </c>
      <c r="BZ23" s="129">
        <v>9541</v>
      </c>
      <c r="CA23" s="53">
        <v>14.9002</v>
      </c>
      <c r="CB23" s="53">
        <v>1.9966999999999999</v>
      </c>
      <c r="CC23" s="53">
        <v>0.76070000000000004</v>
      </c>
      <c r="CD23" s="53">
        <v>0.65969999999999995</v>
      </c>
      <c r="CG23" s="129">
        <v>9541</v>
      </c>
      <c r="CH23" s="53">
        <v>14.9168</v>
      </c>
      <c r="CI23" s="53">
        <v>1.9988999999999999</v>
      </c>
      <c r="CJ23" s="53">
        <v>0.76160000000000005</v>
      </c>
      <c r="CK23" s="53">
        <v>0.66039999999999999</v>
      </c>
      <c r="CN23" s="207">
        <v>9541</v>
      </c>
      <c r="CO23" s="53">
        <v>14.9558</v>
      </c>
      <c r="CP23" s="53">
        <v>2.0041000000000002</v>
      </c>
      <c r="CQ23" s="53">
        <v>0.76359999999999995</v>
      </c>
      <c r="CR23" s="53">
        <v>0.66210000000000002</v>
      </c>
      <c r="CU23" s="215">
        <v>9541</v>
      </c>
      <c r="CV23" s="53">
        <v>14.9688</v>
      </c>
      <c r="CW23" s="53">
        <v>2.0059</v>
      </c>
      <c r="CX23" s="53">
        <v>0.76419999999999999</v>
      </c>
      <c r="CY23" s="53">
        <v>0.66269999999999996</v>
      </c>
      <c r="DB23" s="217">
        <v>9541</v>
      </c>
      <c r="DC23" s="53">
        <v>14.982499999999998</v>
      </c>
      <c r="DD23" s="53">
        <v>2.0077000000000003</v>
      </c>
      <c r="DE23" s="53">
        <v>0.76490000000000002</v>
      </c>
      <c r="DF23" s="53">
        <v>0.6633</v>
      </c>
      <c r="DI23" s="222">
        <v>9541</v>
      </c>
      <c r="DJ23" s="53">
        <v>14.994</v>
      </c>
      <c r="DK23" s="53">
        <v>2.0093000000000001</v>
      </c>
      <c r="DL23" s="53">
        <v>0.76549999999999996</v>
      </c>
      <c r="DM23" s="53">
        <v>0.66379999999999995</v>
      </c>
      <c r="DN23" s="231"/>
      <c r="DO23" s="231"/>
      <c r="DP23" s="227">
        <v>9541</v>
      </c>
      <c r="DQ23" s="53">
        <v>15.0101</v>
      </c>
      <c r="DR23" s="53">
        <v>2.0114000000000001</v>
      </c>
      <c r="DS23" s="53">
        <v>0.76629999999999998</v>
      </c>
      <c r="DT23" s="53">
        <v>0.66449999999999998</v>
      </c>
      <c r="DW23" s="235">
        <v>9541</v>
      </c>
      <c r="DX23" s="53">
        <v>15.0282</v>
      </c>
      <c r="DY23" s="53">
        <v>2.0137999999999998</v>
      </c>
      <c r="DZ23" s="53">
        <v>0.76729999999999998</v>
      </c>
      <c r="EA23" s="53">
        <v>0.6653</v>
      </c>
      <c r="EC23" s="231"/>
      <c r="ED23" s="237">
        <v>9541</v>
      </c>
      <c r="EE23" s="53">
        <v>15.045999999999999</v>
      </c>
      <c r="EF23" s="53">
        <v>2.0162</v>
      </c>
      <c r="EG23" s="53">
        <v>0.76819999999999999</v>
      </c>
      <c r="EH23" s="53">
        <v>0.66610000000000003</v>
      </c>
      <c r="EK23" s="239">
        <v>9541</v>
      </c>
      <c r="EL23" s="53">
        <v>15.08</v>
      </c>
      <c r="EM23" s="53">
        <v>2.0207999999999999</v>
      </c>
      <c r="EN23" s="53">
        <v>0.76990000000000003</v>
      </c>
      <c r="EO23" s="53">
        <v>0.66759999999999997</v>
      </c>
      <c r="ER23" s="243">
        <v>9541</v>
      </c>
      <c r="ES23" s="53">
        <v>15.114699999999999</v>
      </c>
      <c r="ET23" s="53">
        <v>2.0253999999999999</v>
      </c>
      <c r="EU23" s="53">
        <v>0.77170000000000005</v>
      </c>
      <c r="EV23" s="53">
        <v>0.66920000000000002</v>
      </c>
      <c r="EY23" s="245">
        <v>9541</v>
      </c>
      <c r="EZ23" s="53">
        <v>15.1249</v>
      </c>
      <c r="FA23" s="53">
        <v>2.0268000000000002</v>
      </c>
      <c r="FB23" s="53">
        <v>0.7722</v>
      </c>
      <c r="FC23" s="53">
        <v>0.66959999999999997</v>
      </c>
      <c r="FF23" s="249">
        <v>9541</v>
      </c>
      <c r="FG23" s="53">
        <v>15.1411</v>
      </c>
      <c r="FH23" s="53">
        <v>2.0289999999999999</v>
      </c>
      <c r="FI23" s="53">
        <v>0.77300000000000002</v>
      </c>
      <c r="FJ23" s="53">
        <v>0.67030000000000001</v>
      </c>
      <c r="FM23" s="252">
        <v>9541</v>
      </c>
      <c r="FN23" s="53">
        <v>15.1492</v>
      </c>
      <c r="FO23" s="53">
        <v>2.0301</v>
      </c>
      <c r="FP23" s="53">
        <v>0.77339999999999998</v>
      </c>
      <c r="FQ23" s="53">
        <v>0.67069999999999996</v>
      </c>
      <c r="FT23" s="254">
        <v>9541</v>
      </c>
      <c r="FU23" s="53">
        <f>VLOOKUP(FT23,Sheet4!A25:F101,3,0)</f>
        <v>15.1678</v>
      </c>
      <c r="FV23" s="53">
        <f>VLOOKUP(FT23,Sheet4!A25:F101,4,0)</f>
        <v>2.0325000000000002</v>
      </c>
      <c r="FW23" s="53">
        <f>VLOOKUP(FT23,Sheet4!A25:F101,5,0)</f>
        <v>0.77439999999999998</v>
      </c>
      <c r="FX23" s="53">
        <f>VLOOKUP(FT23,Sheet4!A25:F101,6,0)</f>
        <v>0.67149999999999999</v>
      </c>
    </row>
    <row r="24" spans="1:180" x14ac:dyDescent="0.25">
      <c r="A24" s="9">
        <v>9542</v>
      </c>
      <c r="B24" s="9">
        <v>14.2424</v>
      </c>
      <c r="C24" s="9">
        <v>1.9085000000000001</v>
      </c>
      <c r="D24" s="9">
        <v>0.72719999999999996</v>
      </c>
      <c r="E24" s="9">
        <v>0.63049999999999995</v>
      </c>
      <c r="H24" s="9">
        <v>9542</v>
      </c>
      <c r="I24" s="9">
        <v>14.486000000000001</v>
      </c>
      <c r="J24" s="9">
        <v>1.9412</v>
      </c>
      <c r="K24" s="9">
        <v>0.73960000000000004</v>
      </c>
      <c r="L24" s="9">
        <v>0.64129999999999998</v>
      </c>
      <c r="O24" s="148">
        <v>9542</v>
      </c>
      <c r="P24" s="148">
        <v>14.498100000000001</v>
      </c>
      <c r="Q24" s="148">
        <v>1.9428000000000001</v>
      </c>
      <c r="R24" s="148">
        <v>0.74019999999999997</v>
      </c>
      <c r="S24" s="148">
        <v>0.64190000000000003</v>
      </c>
      <c r="V24" s="151">
        <v>9542</v>
      </c>
      <c r="W24" s="151">
        <v>14.528</v>
      </c>
      <c r="X24" s="151">
        <v>1.9468000000000001</v>
      </c>
      <c r="Y24" s="151">
        <v>0.74170000000000003</v>
      </c>
      <c r="Z24" s="151">
        <v>0.64319999999999999</v>
      </c>
      <c r="AC24" s="155">
        <v>9542</v>
      </c>
      <c r="AD24" s="155">
        <v>14.5914</v>
      </c>
      <c r="AE24" s="155">
        <v>1.9553</v>
      </c>
      <c r="AF24" s="155">
        <v>0.745</v>
      </c>
      <c r="AG24" s="155">
        <v>0.64600000000000002</v>
      </c>
      <c r="AJ24" s="168">
        <v>9542</v>
      </c>
      <c r="AK24" s="169">
        <v>14.671900000000001</v>
      </c>
      <c r="AL24" s="169">
        <v>1.9661</v>
      </c>
      <c r="AM24" s="169">
        <v>0.74909999999999999</v>
      </c>
      <c r="AN24" s="169">
        <v>0.64959999999999996</v>
      </c>
      <c r="AQ24" s="165">
        <v>9542</v>
      </c>
      <c r="AR24" s="167">
        <v>14.7044</v>
      </c>
      <c r="AS24" s="167">
        <v>1.9703999999999999</v>
      </c>
      <c r="AT24" s="167">
        <v>0.75070000000000003</v>
      </c>
      <c r="AU24" s="167">
        <v>0.65100000000000002</v>
      </c>
      <c r="AX24" s="165">
        <v>9542</v>
      </c>
      <c r="AY24" s="167">
        <v>14.7256</v>
      </c>
      <c r="AZ24" s="167">
        <v>1.9733000000000001</v>
      </c>
      <c r="BA24" s="167">
        <v>0.75180000000000002</v>
      </c>
      <c r="BB24" s="167">
        <v>0.65190000000000003</v>
      </c>
      <c r="BC24" s="3"/>
      <c r="BD24" s="182"/>
      <c r="BE24" s="165">
        <v>9542</v>
      </c>
      <c r="BF24" s="167">
        <v>14.7348</v>
      </c>
      <c r="BG24" s="167">
        <v>1.9744999999999999</v>
      </c>
      <c r="BH24" s="167">
        <v>0.75229999999999997</v>
      </c>
      <c r="BI24" s="167">
        <v>0.65229999999999999</v>
      </c>
      <c r="BL24" s="165">
        <v>9542</v>
      </c>
      <c r="BM24" s="167">
        <v>14.782999999999999</v>
      </c>
      <c r="BN24" s="167">
        <v>1.9810000000000001</v>
      </c>
      <c r="BO24" s="167">
        <v>0.75480000000000003</v>
      </c>
      <c r="BP24" s="167">
        <v>0.65449999999999997</v>
      </c>
      <c r="BS24" s="165">
        <v>9542</v>
      </c>
      <c r="BT24" s="167">
        <v>14.848100000000001</v>
      </c>
      <c r="BU24" s="167">
        <v>1.9897</v>
      </c>
      <c r="BV24" s="167">
        <v>0.7581</v>
      </c>
      <c r="BW24" s="167">
        <v>0.65739999999999998</v>
      </c>
      <c r="BZ24" s="165">
        <v>9542</v>
      </c>
      <c r="CA24" s="167">
        <v>14.8688</v>
      </c>
      <c r="CB24" s="167">
        <v>1.9924999999999999</v>
      </c>
      <c r="CC24" s="167">
        <v>0.7591</v>
      </c>
      <c r="CD24" s="167">
        <v>0.6583</v>
      </c>
      <c r="CG24" s="165">
        <v>9542</v>
      </c>
      <c r="CH24" s="167">
        <v>14.885400000000001</v>
      </c>
      <c r="CI24" s="167">
        <v>1.9946999999999999</v>
      </c>
      <c r="CJ24" s="167">
        <v>0.76</v>
      </c>
      <c r="CK24" s="167">
        <v>0.65900000000000003</v>
      </c>
      <c r="CN24" s="168">
        <v>9542</v>
      </c>
      <c r="CO24" s="167">
        <v>14.9244</v>
      </c>
      <c r="CP24" s="167">
        <v>1.9999</v>
      </c>
      <c r="CQ24" s="167">
        <v>0.76200000000000001</v>
      </c>
      <c r="CR24" s="167">
        <v>0.66069999999999995</v>
      </c>
      <c r="CU24" s="168">
        <v>9542</v>
      </c>
      <c r="CV24" s="167">
        <v>14.9374</v>
      </c>
      <c r="CW24" s="167">
        <v>2.0017</v>
      </c>
      <c r="CX24" s="167">
        <v>0.76259999999999994</v>
      </c>
      <c r="CY24" s="167">
        <v>0.6613</v>
      </c>
      <c r="DB24" s="168">
        <v>9542</v>
      </c>
      <c r="DC24" s="167">
        <v>14.9511</v>
      </c>
      <c r="DD24" s="167">
        <v>2.0034999999999998</v>
      </c>
      <c r="DE24" s="167">
        <v>0.76329999999999998</v>
      </c>
      <c r="DF24" s="167">
        <v>0.66190000000000004</v>
      </c>
      <c r="DI24" s="168">
        <v>9542</v>
      </c>
      <c r="DJ24" s="167">
        <v>14.9626</v>
      </c>
      <c r="DK24" s="167">
        <v>2.0049999999999999</v>
      </c>
      <c r="DL24" s="167">
        <v>0.76390000000000002</v>
      </c>
      <c r="DM24" s="167">
        <v>0.66239999999999999</v>
      </c>
      <c r="DN24" s="231"/>
      <c r="DO24" s="231"/>
      <c r="DP24" s="168">
        <v>9542</v>
      </c>
      <c r="DQ24" s="167">
        <v>14.9787</v>
      </c>
      <c r="DR24" s="167">
        <v>2.0072000000000001</v>
      </c>
      <c r="DS24" s="167">
        <v>0.76470000000000005</v>
      </c>
      <c r="DT24" s="167">
        <v>0.66310000000000002</v>
      </c>
      <c r="DW24" s="168">
        <v>9542</v>
      </c>
      <c r="DX24" s="167">
        <v>14.9968</v>
      </c>
      <c r="DY24" s="167">
        <v>2.0095999999999998</v>
      </c>
      <c r="DZ24" s="167">
        <v>0.76570000000000005</v>
      </c>
      <c r="EA24" s="167">
        <v>0.66390000000000005</v>
      </c>
      <c r="ED24" s="168">
        <v>9542</v>
      </c>
      <c r="EE24" s="167">
        <v>15.0146</v>
      </c>
      <c r="EF24" s="167">
        <v>2.012</v>
      </c>
      <c r="EG24" s="167">
        <v>0.76659999999999995</v>
      </c>
      <c r="EH24" s="167">
        <v>0.66469999999999996</v>
      </c>
      <c r="EK24" s="168">
        <v>9542</v>
      </c>
      <c r="EL24" s="167">
        <v>15.0486</v>
      </c>
      <c r="EM24" s="167">
        <v>2.0165999999999999</v>
      </c>
      <c r="EN24" s="167">
        <v>0.76829999999999998</v>
      </c>
      <c r="EO24" s="167">
        <v>0.66620000000000001</v>
      </c>
      <c r="ER24" s="168">
        <v>9542</v>
      </c>
      <c r="ES24" s="167">
        <v>15.083299999999999</v>
      </c>
      <c r="ET24" s="167">
        <v>2.0211999999999999</v>
      </c>
      <c r="EU24" s="167">
        <v>0.77010000000000001</v>
      </c>
      <c r="EV24" s="167">
        <v>0.66779999999999995</v>
      </c>
      <c r="EY24" s="168">
        <v>9542</v>
      </c>
      <c r="EZ24" s="167">
        <v>15.093500000000001</v>
      </c>
      <c r="FA24" s="167">
        <v>2.0226000000000002</v>
      </c>
      <c r="FB24" s="167">
        <v>0.77059999999999995</v>
      </c>
      <c r="FC24" s="167">
        <v>0.66820000000000002</v>
      </c>
      <c r="FF24" s="168">
        <v>9542</v>
      </c>
      <c r="FG24" s="167">
        <v>15.1097</v>
      </c>
      <c r="FH24" s="167">
        <v>2.0247999999999999</v>
      </c>
      <c r="FI24" s="167">
        <v>0.77139999999999997</v>
      </c>
      <c r="FJ24" s="167">
        <v>0.66890000000000005</v>
      </c>
      <c r="FM24" s="168">
        <v>9542</v>
      </c>
      <c r="FN24" s="167">
        <v>15.117800000000001</v>
      </c>
      <c r="FO24" s="167">
        <v>2.0257999999999998</v>
      </c>
      <c r="FP24" s="167">
        <v>0.77180000000000004</v>
      </c>
      <c r="FQ24" s="167">
        <v>0.66930000000000001</v>
      </c>
      <c r="FT24" s="168">
        <v>9542</v>
      </c>
      <c r="FU24" s="167">
        <f>VLOOKUP(FT24,Sheet4!A26:F102,3,0)</f>
        <v>15.1364</v>
      </c>
      <c r="FV24" s="167">
        <f>VLOOKUP(FT24,Sheet4!A26:F102,4,0)</f>
        <v>2.0283000000000002</v>
      </c>
      <c r="FW24" s="167">
        <f>VLOOKUP(FT24,Sheet4!A26:F102,5,0)</f>
        <v>0.77280000000000004</v>
      </c>
      <c r="FX24" s="167">
        <f>VLOOKUP(FT24,Sheet4!A26:F102,6,0)</f>
        <v>0.67010000000000003</v>
      </c>
    </row>
    <row r="25" spans="1:180" x14ac:dyDescent="0.25">
      <c r="A25" s="9">
        <v>9543</v>
      </c>
      <c r="B25" s="9">
        <v>11.0063</v>
      </c>
      <c r="C25" s="9">
        <v>1.4749000000000001</v>
      </c>
      <c r="D25" s="9">
        <v>0.56189999999999996</v>
      </c>
      <c r="E25" s="9">
        <v>0.48730000000000001</v>
      </c>
      <c r="H25" s="9">
        <v>9543</v>
      </c>
      <c r="I25" s="9">
        <v>11.2499</v>
      </c>
      <c r="J25" s="9">
        <v>1.5075000000000001</v>
      </c>
      <c r="K25" s="9">
        <v>0.57440000000000002</v>
      </c>
      <c r="L25" s="9">
        <v>0.49809999999999999</v>
      </c>
      <c r="O25" s="154">
        <v>9543</v>
      </c>
      <c r="P25" s="154">
        <v>11.262</v>
      </c>
      <c r="Q25" s="154">
        <v>1.5092000000000001</v>
      </c>
      <c r="R25" s="154">
        <v>0.57499999999999996</v>
      </c>
      <c r="S25" s="154">
        <v>0.49859999999999999</v>
      </c>
      <c r="V25" s="151">
        <v>9543</v>
      </c>
      <c r="W25" s="151">
        <v>11.2919</v>
      </c>
      <c r="X25" s="151">
        <v>1.5132000000000001</v>
      </c>
      <c r="Y25" s="151">
        <v>0.57650000000000001</v>
      </c>
      <c r="Z25" s="151">
        <v>0.49990000000000001</v>
      </c>
      <c r="AC25" s="155">
        <v>9543</v>
      </c>
      <c r="AD25" s="155">
        <v>11.3553</v>
      </c>
      <c r="AE25" s="155">
        <v>1.5217000000000001</v>
      </c>
      <c r="AF25" s="155">
        <v>0.57979999999999998</v>
      </c>
      <c r="AG25" s="155">
        <v>0.50270000000000004</v>
      </c>
      <c r="AJ25" s="160">
        <v>9543</v>
      </c>
      <c r="AK25" s="6">
        <v>11.4358</v>
      </c>
      <c r="AL25" s="6">
        <v>1.5324</v>
      </c>
      <c r="AM25" s="6">
        <v>0.58389999999999997</v>
      </c>
      <c r="AN25" s="6">
        <v>0.50629999999999997</v>
      </c>
      <c r="AQ25" s="129">
        <v>9543</v>
      </c>
      <c r="AR25" s="53">
        <v>11.468299999999999</v>
      </c>
      <c r="AS25" s="53">
        <v>1.5367999999999999</v>
      </c>
      <c r="AT25" s="53">
        <v>0.58550000000000002</v>
      </c>
      <c r="AU25" s="53">
        <v>0.50770000000000004</v>
      </c>
      <c r="AX25" s="129">
        <v>9543</v>
      </c>
      <c r="AY25" s="53">
        <v>11.4895</v>
      </c>
      <c r="AZ25" s="53">
        <v>1.5396000000000001</v>
      </c>
      <c r="BA25" s="53">
        <v>0.58660000000000001</v>
      </c>
      <c r="BB25" s="53">
        <v>0.50870000000000004</v>
      </c>
      <c r="BC25" s="3"/>
      <c r="BD25" s="182"/>
      <c r="BE25" s="129">
        <v>9543</v>
      </c>
      <c r="BF25" s="53">
        <v>11.498699999999999</v>
      </c>
      <c r="BG25" s="53">
        <v>1.5408999999999999</v>
      </c>
      <c r="BH25" s="53">
        <v>0.58709999999999996</v>
      </c>
      <c r="BI25" s="53">
        <v>0.5091</v>
      </c>
      <c r="BL25" s="129">
        <v>9543</v>
      </c>
      <c r="BM25" s="53">
        <v>11.546900000000001</v>
      </c>
      <c r="BN25" s="53">
        <v>1.5472999999999999</v>
      </c>
      <c r="BO25" s="53">
        <v>0.58950000000000002</v>
      </c>
      <c r="BP25" s="53">
        <v>0.51119999999999999</v>
      </c>
      <c r="BS25" s="129">
        <v>9543</v>
      </c>
      <c r="BT25" s="53">
        <v>11.612</v>
      </c>
      <c r="BU25" s="53">
        <v>1.5561</v>
      </c>
      <c r="BV25" s="53">
        <v>0.59289999999999998</v>
      </c>
      <c r="BW25" s="53">
        <v>0.5141</v>
      </c>
      <c r="BZ25" s="129">
        <v>9543</v>
      </c>
      <c r="CA25" s="53">
        <v>11.6327</v>
      </c>
      <c r="CB25" s="53">
        <v>1.5588</v>
      </c>
      <c r="CC25" s="53">
        <v>0.59389999999999998</v>
      </c>
      <c r="CD25" s="53">
        <v>0.51500000000000001</v>
      </c>
      <c r="CG25" s="129">
        <v>9543</v>
      </c>
      <c r="CH25" s="53">
        <v>11.6493</v>
      </c>
      <c r="CI25" s="53">
        <v>1.5610999999999999</v>
      </c>
      <c r="CJ25" s="53">
        <v>0.5948</v>
      </c>
      <c r="CK25" s="53">
        <v>0.51570000000000005</v>
      </c>
      <c r="CN25" s="207">
        <v>9543</v>
      </c>
      <c r="CO25" s="53">
        <v>11.6883</v>
      </c>
      <c r="CP25" s="53">
        <v>1.5663</v>
      </c>
      <c r="CQ25" s="53">
        <v>0.5968</v>
      </c>
      <c r="CR25" s="53">
        <v>0.51749999999999996</v>
      </c>
      <c r="CU25" s="215">
        <v>9543</v>
      </c>
      <c r="CV25" s="53">
        <v>11.7013</v>
      </c>
      <c r="CW25" s="53">
        <v>1.5680000000000001</v>
      </c>
      <c r="CX25" s="53">
        <v>0.59740000000000004</v>
      </c>
      <c r="CY25" s="53">
        <v>0.51800000000000002</v>
      </c>
      <c r="DB25" s="217">
        <v>9543</v>
      </c>
      <c r="DC25" s="53">
        <v>11.715</v>
      </c>
      <c r="DD25" s="53">
        <v>1.5699000000000001</v>
      </c>
      <c r="DE25" s="53">
        <v>0.59809999999999997</v>
      </c>
      <c r="DF25" s="53">
        <v>0.51859999999999995</v>
      </c>
      <c r="DI25" s="222">
        <v>9543</v>
      </c>
      <c r="DJ25" s="53">
        <v>11.7265</v>
      </c>
      <c r="DK25" s="53">
        <v>1.5713999999999999</v>
      </c>
      <c r="DL25" s="53">
        <v>0.59870000000000001</v>
      </c>
      <c r="DM25" s="53">
        <v>0.51919999999999999</v>
      </c>
      <c r="DN25" s="231"/>
      <c r="DO25" s="231"/>
      <c r="DP25" s="227">
        <v>9543</v>
      </c>
      <c r="DQ25" s="53">
        <v>11.742599999999999</v>
      </c>
      <c r="DR25" s="53">
        <v>1.5736000000000001</v>
      </c>
      <c r="DS25" s="53">
        <v>0.59950000000000003</v>
      </c>
      <c r="DT25" s="53">
        <v>0.51990000000000003</v>
      </c>
      <c r="DW25" s="235">
        <v>9543</v>
      </c>
      <c r="DX25" s="53">
        <v>11.7607</v>
      </c>
      <c r="DY25" s="53">
        <v>1.5760000000000001</v>
      </c>
      <c r="DZ25" s="53">
        <v>0.60040000000000004</v>
      </c>
      <c r="EA25" s="53">
        <v>0.52070000000000005</v>
      </c>
      <c r="ED25" s="237">
        <v>9543</v>
      </c>
      <c r="EE25" s="53">
        <v>11.778499999999999</v>
      </c>
      <c r="EF25" s="53">
        <v>1.5784</v>
      </c>
      <c r="EG25" s="53">
        <v>0.60140000000000005</v>
      </c>
      <c r="EH25" s="53">
        <v>0.52149999999999996</v>
      </c>
      <c r="EK25" s="239">
        <v>9543</v>
      </c>
      <c r="EL25" s="53">
        <v>11.8125</v>
      </c>
      <c r="EM25" s="53">
        <v>1.5829</v>
      </c>
      <c r="EN25" s="53">
        <v>0.60309999999999997</v>
      </c>
      <c r="EO25" s="53">
        <v>0.52300000000000002</v>
      </c>
      <c r="ER25" s="243">
        <v>9543</v>
      </c>
      <c r="ES25" s="53">
        <v>11.847200000000001</v>
      </c>
      <c r="ET25" s="53">
        <v>1.5875999999999999</v>
      </c>
      <c r="EU25" s="53">
        <v>0.60489999999999999</v>
      </c>
      <c r="EV25" s="53">
        <v>0.52449999999999997</v>
      </c>
      <c r="EY25" s="245">
        <v>9543</v>
      </c>
      <c r="EZ25" s="53">
        <v>11.8574</v>
      </c>
      <c r="FA25" s="53">
        <v>1.5889</v>
      </c>
      <c r="FB25" s="53">
        <v>0.60540000000000005</v>
      </c>
      <c r="FC25" s="53">
        <v>0.52500000000000002</v>
      </c>
      <c r="FF25" s="249">
        <v>9543</v>
      </c>
      <c r="FG25" s="53">
        <v>11.8736</v>
      </c>
      <c r="FH25" s="53">
        <v>1.5911</v>
      </c>
      <c r="FI25" s="53">
        <v>0.60619999999999996</v>
      </c>
      <c r="FJ25" s="53">
        <v>0.52569999999999995</v>
      </c>
      <c r="FM25" s="252">
        <v>9543</v>
      </c>
      <c r="FN25" s="53">
        <v>11.8817</v>
      </c>
      <c r="FO25" s="53">
        <v>1.5922000000000001</v>
      </c>
      <c r="FP25" s="53">
        <v>0.60660000000000003</v>
      </c>
      <c r="FQ25" s="53">
        <v>0.52600000000000002</v>
      </c>
      <c r="FT25" s="254">
        <v>9543</v>
      </c>
      <c r="FU25" s="53">
        <f>VLOOKUP(FT25,Sheet4!A27:F103,3,0)</f>
        <v>11.9003</v>
      </c>
      <c r="FV25" s="53">
        <f>VLOOKUP(FT25,Sheet4!A27:F103,4,0)</f>
        <v>1.5947</v>
      </c>
      <c r="FW25" s="53">
        <f>VLOOKUP(FT25,Sheet4!A27:F103,5,0)</f>
        <v>0.60760000000000003</v>
      </c>
      <c r="FX25" s="53">
        <f>VLOOKUP(FT25,Sheet4!A27:F103,6,0)</f>
        <v>0.52690000000000003</v>
      </c>
    </row>
    <row r="26" spans="1:180" x14ac:dyDescent="0.25">
      <c r="A26" s="9">
        <v>9592</v>
      </c>
      <c r="B26" s="9">
        <v>9.1585999999999999</v>
      </c>
      <c r="C26" s="9">
        <v>1.2273000000000001</v>
      </c>
      <c r="D26" s="9">
        <v>0.46760000000000002</v>
      </c>
      <c r="E26" s="9">
        <v>0.40550000000000003</v>
      </c>
      <c r="H26" s="9">
        <v>9592</v>
      </c>
      <c r="I26" s="9">
        <v>9.1585999999999999</v>
      </c>
      <c r="J26" s="9">
        <v>1.2273000000000001</v>
      </c>
      <c r="K26" s="9">
        <v>0.46760000000000002</v>
      </c>
      <c r="L26" s="9">
        <v>0.40550000000000003</v>
      </c>
      <c r="O26" s="148">
        <v>9592</v>
      </c>
      <c r="P26" s="148">
        <v>9.1585999999999999</v>
      </c>
      <c r="Q26" s="148">
        <v>1.2273000000000001</v>
      </c>
      <c r="R26" s="148">
        <v>0.46760000000000002</v>
      </c>
      <c r="S26" s="148">
        <v>0.40550000000000003</v>
      </c>
      <c r="V26" s="151">
        <v>9592</v>
      </c>
      <c r="W26" s="151">
        <v>9.1585999999999999</v>
      </c>
      <c r="X26" s="151">
        <v>1.2273000000000001</v>
      </c>
      <c r="Y26" s="151">
        <v>0.46760000000000002</v>
      </c>
      <c r="Z26" s="151">
        <v>0.40550000000000003</v>
      </c>
      <c r="AC26" s="155">
        <v>9592</v>
      </c>
      <c r="AD26" s="155">
        <v>9.1585999999999999</v>
      </c>
      <c r="AE26" s="155">
        <v>1.2273000000000001</v>
      </c>
      <c r="AF26" s="155">
        <v>0.46760000000000002</v>
      </c>
      <c r="AG26" s="155">
        <v>0.40550000000000003</v>
      </c>
      <c r="AJ26" s="168">
        <v>9592</v>
      </c>
      <c r="AK26" s="169">
        <v>9.1585999999999999</v>
      </c>
      <c r="AL26" s="169">
        <v>1.2273000000000001</v>
      </c>
      <c r="AM26" s="169">
        <v>0.46760000000000002</v>
      </c>
      <c r="AN26" s="169">
        <v>0.40550000000000003</v>
      </c>
      <c r="AQ26" s="165">
        <v>9592</v>
      </c>
      <c r="AR26" s="167">
        <v>9.1585999999999999</v>
      </c>
      <c r="AS26" s="167">
        <v>1.2273000000000001</v>
      </c>
      <c r="AT26" s="167">
        <v>0.46760000000000002</v>
      </c>
      <c r="AU26" s="167">
        <v>0.40550000000000003</v>
      </c>
      <c r="AX26" s="165">
        <v>9592</v>
      </c>
      <c r="AY26" s="167">
        <v>9.1585999999999999</v>
      </c>
      <c r="AZ26" s="167">
        <v>1.2273000000000001</v>
      </c>
      <c r="BA26" s="167">
        <v>0.46760000000000002</v>
      </c>
      <c r="BB26" s="167">
        <v>0.40550000000000003</v>
      </c>
      <c r="BC26" s="3"/>
      <c r="BD26" s="182"/>
      <c r="BE26" s="165">
        <v>9592</v>
      </c>
      <c r="BF26" s="167">
        <v>9.1585999999999999</v>
      </c>
      <c r="BG26" s="167">
        <v>1.2273000000000001</v>
      </c>
      <c r="BH26" s="167">
        <v>0.46760000000000002</v>
      </c>
      <c r="BI26" s="167">
        <v>0.40550000000000003</v>
      </c>
      <c r="BL26" s="165">
        <v>9592</v>
      </c>
      <c r="BM26" s="167">
        <v>9.1585999999999999</v>
      </c>
      <c r="BN26" s="167">
        <v>1.2273000000000001</v>
      </c>
      <c r="BO26" s="167">
        <v>0.46760000000000002</v>
      </c>
      <c r="BP26" s="167">
        <v>0.40550000000000003</v>
      </c>
      <c r="BS26" s="165">
        <v>9592</v>
      </c>
      <c r="BT26" s="167">
        <v>9.1585999999999999</v>
      </c>
      <c r="BU26" s="167">
        <v>1.2273000000000001</v>
      </c>
      <c r="BV26" s="167">
        <v>0.46760000000000002</v>
      </c>
      <c r="BW26" s="167">
        <v>0.40550000000000003</v>
      </c>
      <c r="BZ26" s="165">
        <v>9592</v>
      </c>
      <c r="CA26" s="167">
        <v>9.1585999999999999</v>
      </c>
      <c r="CB26" s="167">
        <v>1.2273000000000001</v>
      </c>
      <c r="CC26" s="167">
        <v>0.46760000000000002</v>
      </c>
      <c r="CD26" s="167">
        <v>0.40550000000000003</v>
      </c>
      <c r="CG26" s="165">
        <v>9592</v>
      </c>
      <c r="CH26" s="167">
        <v>9.1585999999999999</v>
      </c>
      <c r="CI26" s="167">
        <v>1.2273000000000001</v>
      </c>
      <c r="CJ26" s="167">
        <v>0.46760000000000002</v>
      </c>
      <c r="CK26" s="167">
        <v>0.40550000000000003</v>
      </c>
      <c r="CN26" s="168">
        <v>9592</v>
      </c>
      <c r="CO26" s="167">
        <v>9.1585999999999999</v>
      </c>
      <c r="CP26" s="167">
        <v>1.2273000000000001</v>
      </c>
      <c r="CQ26" s="167">
        <v>0.46760000000000002</v>
      </c>
      <c r="CR26" s="167">
        <v>0.40550000000000003</v>
      </c>
      <c r="CU26" s="168">
        <v>9592</v>
      </c>
      <c r="CV26" s="167">
        <v>9.1585999999999999</v>
      </c>
      <c r="CW26" s="167">
        <v>1.2273000000000001</v>
      </c>
      <c r="CX26" s="167">
        <v>0.46760000000000002</v>
      </c>
      <c r="CY26" s="167">
        <v>0.40550000000000003</v>
      </c>
      <c r="DB26" s="168">
        <v>9592</v>
      </c>
      <c r="DC26" s="167">
        <v>9.1585999999999999</v>
      </c>
      <c r="DD26" s="167">
        <v>1.2273000000000001</v>
      </c>
      <c r="DE26" s="167">
        <v>0.46760000000000002</v>
      </c>
      <c r="DF26" s="167">
        <v>0.40550000000000003</v>
      </c>
      <c r="DI26" s="168">
        <v>9592</v>
      </c>
      <c r="DJ26" s="167">
        <v>9.1585999999999999</v>
      </c>
      <c r="DK26" s="167">
        <v>1.2273000000000001</v>
      </c>
      <c r="DL26" s="167">
        <v>0.46760000000000002</v>
      </c>
      <c r="DM26" s="167">
        <v>0.40550000000000003</v>
      </c>
      <c r="DN26" s="231"/>
      <c r="DO26" s="231"/>
      <c r="DP26" s="168">
        <v>9592</v>
      </c>
      <c r="DQ26" s="167">
        <v>9.1585999999999999</v>
      </c>
      <c r="DR26" s="167">
        <v>1.2273000000000001</v>
      </c>
      <c r="DS26" s="167">
        <v>0.46760000000000002</v>
      </c>
      <c r="DT26" s="167">
        <v>0.40550000000000003</v>
      </c>
      <c r="DW26" s="168">
        <v>9592</v>
      </c>
      <c r="DX26" s="167">
        <v>9.1585999999999999</v>
      </c>
      <c r="DY26" s="167">
        <v>1.2273000000000001</v>
      </c>
      <c r="DZ26" s="167">
        <v>0.46760000000000002</v>
      </c>
      <c r="EA26" s="167">
        <v>0.40550000000000003</v>
      </c>
      <c r="ED26" s="168">
        <v>9592</v>
      </c>
      <c r="EE26" s="167">
        <v>9.1585999999999999</v>
      </c>
      <c r="EF26" s="167">
        <v>1.2273000000000001</v>
      </c>
      <c r="EG26" s="167">
        <v>0.46760000000000002</v>
      </c>
      <c r="EH26" s="167">
        <v>0.40550000000000003</v>
      </c>
      <c r="EK26" s="168">
        <v>9592</v>
      </c>
      <c r="EL26" s="167">
        <v>9.1585999999999999</v>
      </c>
      <c r="EM26" s="167">
        <v>1.2273000000000001</v>
      </c>
      <c r="EN26" s="167">
        <v>0.46760000000000002</v>
      </c>
      <c r="EO26" s="167">
        <v>0.40550000000000003</v>
      </c>
      <c r="ER26" s="168">
        <v>9592</v>
      </c>
      <c r="ES26" s="167">
        <v>9.1585999999999999</v>
      </c>
      <c r="ET26" s="167">
        <v>1.2273000000000001</v>
      </c>
      <c r="EU26" s="167">
        <v>0.46760000000000002</v>
      </c>
      <c r="EV26" s="167">
        <v>0.40550000000000003</v>
      </c>
      <c r="EY26" s="168">
        <v>9592</v>
      </c>
      <c r="EZ26" s="167">
        <v>9.1585999999999999</v>
      </c>
      <c r="FA26" s="167">
        <v>1.2273000000000001</v>
      </c>
      <c r="FB26" s="167">
        <v>0.46760000000000002</v>
      </c>
      <c r="FC26" s="167">
        <v>0.40550000000000003</v>
      </c>
      <c r="FF26" s="168">
        <v>9592</v>
      </c>
      <c r="FG26" s="167">
        <v>9.1585999999999999</v>
      </c>
      <c r="FH26" s="167">
        <v>1.2273000000000001</v>
      </c>
      <c r="FI26" s="167">
        <v>0.46760000000000002</v>
      </c>
      <c r="FJ26" s="167">
        <v>0.40550000000000003</v>
      </c>
      <c r="FM26" s="168">
        <v>9592</v>
      </c>
      <c r="FN26" s="167">
        <v>9.1585999999999999</v>
      </c>
      <c r="FO26" s="167">
        <v>1.2273000000000001</v>
      </c>
      <c r="FP26" s="167">
        <v>0.46760000000000002</v>
      </c>
      <c r="FQ26" s="167">
        <v>0.40550000000000003</v>
      </c>
      <c r="FT26" s="168">
        <v>9592</v>
      </c>
      <c r="FU26" s="167">
        <f>VLOOKUP(FT26,Sheet4!A28:F104,3,0)</f>
        <v>9.1585999999999999</v>
      </c>
      <c r="FV26" s="167">
        <f>VLOOKUP(FT26,Sheet4!A28:F104,4,0)</f>
        <v>1.2273000000000001</v>
      </c>
      <c r="FW26" s="167">
        <f>VLOOKUP(FT26,Sheet4!A28:F104,5,0)</f>
        <v>0.46760000000000002</v>
      </c>
      <c r="FX26" s="167">
        <f>VLOOKUP(FT26,Sheet4!A28:F104,6,0)</f>
        <v>0.40550000000000003</v>
      </c>
    </row>
    <row r="27" spans="1:180" x14ac:dyDescent="0.25">
      <c r="A27" s="9">
        <v>9593</v>
      </c>
      <c r="B27" s="9">
        <v>13.1739</v>
      </c>
      <c r="C27" s="9">
        <v>1.7654000000000001</v>
      </c>
      <c r="D27" s="9">
        <v>0.67259999999999998</v>
      </c>
      <c r="E27" s="9">
        <v>0.58320000000000005</v>
      </c>
      <c r="H27" s="9">
        <v>9593</v>
      </c>
      <c r="I27" s="9">
        <v>13.5862</v>
      </c>
      <c r="J27" s="9">
        <v>1.8206</v>
      </c>
      <c r="K27" s="9">
        <v>0.69359999999999999</v>
      </c>
      <c r="L27" s="9">
        <v>0.60150000000000003</v>
      </c>
      <c r="O27" s="154">
        <v>9593</v>
      </c>
      <c r="P27" s="154">
        <v>13.6067</v>
      </c>
      <c r="Q27" s="154">
        <v>1.8233999999999999</v>
      </c>
      <c r="R27" s="154">
        <v>0.69469999999999998</v>
      </c>
      <c r="S27" s="154">
        <v>0.60240000000000005</v>
      </c>
      <c r="V27" s="151">
        <v>9593</v>
      </c>
      <c r="W27" s="151">
        <v>13.657400000000001</v>
      </c>
      <c r="X27" s="151">
        <v>1.8301000000000001</v>
      </c>
      <c r="Y27" s="151">
        <v>0.69730000000000003</v>
      </c>
      <c r="Z27" s="151">
        <v>0.60460000000000003</v>
      </c>
      <c r="AC27" s="155">
        <v>9593</v>
      </c>
      <c r="AD27" s="155">
        <v>13.764699999999999</v>
      </c>
      <c r="AE27" s="155">
        <v>1.8445</v>
      </c>
      <c r="AF27" s="155">
        <v>0.70279999999999998</v>
      </c>
      <c r="AG27" s="155">
        <v>0.60940000000000005</v>
      </c>
      <c r="AJ27" s="160">
        <v>9593</v>
      </c>
      <c r="AK27" s="6">
        <v>13.9009</v>
      </c>
      <c r="AL27" s="6">
        <v>1.8628</v>
      </c>
      <c r="AM27" s="6">
        <v>0.7097</v>
      </c>
      <c r="AN27" s="6">
        <v>0.61539999999999995</v>
      </c>
      <c r="AQ27" s="129">
        <v>9593</v>
      </c>
      <c r="AR27" s="53">
        <v>13.9559</v>
      </c>
      <c r="AS27" s="53">
        <v>1.8701000000000001</v>
      </c>
      <c r="AT27" s="53">
        <v>0.71250000000000002</v>
      </c>
      <c r="AU27" s="53">
        <v>0.6179</v>
      </c>
      <c r="AX27" s="129">
        <v>9593</v>
      </c>
      <c r="AY27" s="53">
        <v>13.9917</v>
      </c>
      <c r="AZ27" s="53">
        <v>1.8749</v>
      </c>
      <c r="BA27" s="53">
        <v>0.71440000000000003</v>
      </c>
      <c r="BB27" s="53">
        <v>0.61939999999999995</v>
      </c>
      <c r="BC27" s="3"/>
      <c r="BD27" s="182"/>
      <c r="BE27" s="129">
        <v>9593</v>
      </c>
      <c r="BF27" s="53">
        <v>14.007199999999999</v>
      </c>
      <c r="BG27" s="53">
        <v>1.877</v>
      </c>
      <c r="BH27" s="53">
        <v>0.71509999999999996</v>
      </c>
      <c r="BI27" s="53">
        <v>0.62009999999999998</v>
      </c>
      <c r="BL27" s="129">
        <v>9593</v>
      </c>
      <c r="BM27" s="53">
        <v>14.088800000000001</v>
      </c>
      <c r="BN27" s="53">
        <v>1.8879999999999999</v>
      </c>
      <c r="BO27" s="53">
        <v>0.71930000000000005</v>
      </c>
      <c r="BP27" s="53">
        <v>0.62370000000000003</v>
      </c>
      <c r="BS27" s="129">
        <v>9593</v>
      </c>
      <c r="BT27" s="53">
        <v>14.199</v>
      </c>
      <c r="BU27" s="53">
        <v>1.9027000000000001</v>
      </c>
      <c r="BV27" s="53">
        <v>0.72489999999999999</v>
      </c>
      <c r="BW27" s="53">
        <v>0.62860000000000005</v>
      </c>
      <c r="BZ27" s="129">
        <v>9593</v>
      </c>
      <c r="CA27" s="53">
        <v>14.234</v>
      </c>
      <c r="CB27" s="53">
        <v>1.9074</v>
      </c>
      <c r="CC27" s="53">
        <v>0.72670000000000001</v>
      </c>
      <c r="CD27" s="53">
        <v>0.63019999999999998</v>
      </c>
      <c r="CG27" s="129">
        <v>9593</v>
      </c>
      <c r="CH27" s="53">
        <v>14.2622</v>
      </c>
      <c r="CI27" s="53">
        <v>1.9112</v>
      </c>
      <c r="CJ27" s="53">
        <v>0.72819999999999996</v>
      </c>
      <c r="CK27" s="53">
        <v>0.63139999999999996</v>
      </c>
      <c r="CN27" s="207">
        <v>9593</v>
      </c>
      <c r="CO27" s="53">
        <v>14.328200000000001</v>
      </c>
      <c r="CP27" s="53">
        <v>1.92</v>
      </c>
      <c r="CQ27" s="53">
        <v>0.73150000000000004</v>
      </c>
      <c r="CR27" s="53">
        <v>0.63429999999999997</v>
      </c>
      <c r="CU27" s="170">
        <v>9593</v>
      </c>
      <c r="CV27" s="184">
        <v>14.350300000000001</v>
      </c>
      <c r="CW27" s="184">
        <v>1.923</v>
      </c>
      <c r="CX27" s="184">
        <v>0.73270000000000002</v>
      </c>
      <c r="CY27" s="184">
        <v>0.63529999999999998</v>
      </c>
      <c r="DB27" s="170">
        <v>9593</v>
      </c>
      <c r="DC27" s="53">
        <v>14.373500000000002</v>
      </c>
      <c r="DD27" s="53">
        <v>1.9260999999999999</v>
      </c>
      <c r="DE27" s="53">
        <v>0.73380000000000001</v>
      </c>
      <c r="DF27" s="53">
        <v>0.63629999999999998</v>
      </c>
      <c r="DI27" s="170">
        <v>9593</v>
      </c>
      <c r="DJ27" s="53">
        <v>14.392899999999999</v>
      </c>
      <c r="DK27" s="53">
        <v>1.9287000000000001</v>
      </c>
      <c r="DL27" s="53">
        <v>0.73480000000000001</v>
      </c>
      <c r="DM27" s="53">
        <v>0.63719999999999999</v>
      </c>
      <c r="DN27" s="231"/>
      <c r="DO27" s="231"/>
      <c r="DP27" s="170">
        <v>9593</v>
      </c>
      <c r="DQ27" s="53">
        <v>14.4201</v>
      </c>
      <c r="DR27" s="53">
        <v>1.9322999999999999</v>
      </c>
      <c r="DS27" s="53">
        <v>0.73619999999999997</v>
      </c>
      <c r="DT27" s="53">
        <v>0.63839999999999997</v>
      </c>
      <c r="DW27" s="170">
        <v>9593</v>
      </c>
      <c r="DX27" s="53">
        <v>14.450699999999999</v>
      </c>
      <c r="DY27" s="53">
        <v>1.9363999999999999</v>
      </c>
      <c r="DZ27" s="53">
        <v>0.73780000000000001</v>
      </c>
      <c r="EA27" s="53">
        <v>0.63980000000000004</v>
      </c>
      <c r="ED27" s="170">
        <v>9593</v>
      </c>
      <c r="EE27" s="53">
        <v>14.4808</v>
      </c>
      <c r="EF27" s="53">
        <v>1.9404999999999999</v>
      </c>
      <c r="EG27" s="53">
        <v>0.73929999999999996</v>
      </c>
      <c r="EH27" s="53">
        <v>0.6411</v>
      </c>
      <c r="EK27" s="170">
        <v>9593</v>
      </c>
      <c r="EL27" s="53">
        <v>14.5383</v>
      </c>
      <c r="EM27" s="53">
        <v>1.9481999999999999</v>
      </c>
      <c r="EN27" s="53">
        <v>0.74229999999999996</v>
      </c>
      <c r="EO27" s="53">
        <v>0.64359999999999995</v>
      </c>
      <c r="ER27" s="170">
        <v>9593</v>
      </c>
      <c r="ES27" s="53">
        <v>14.597099999999999</v>
      </c>
      <c r="ET27" s="53">
        <v>1.9560999999999999</v>
      </c>
      <c r="EU27" s="53">
        <v>0.74529999999999996</v>
      </c>
      <c r="EV27" s="53">
        <v>0.6462</v>
      </c>
      <c r="EY27" s="170">
        <v>9593</v>
      </c>
      <c r="EZ27" s="53">
        <v>14.6144</v>
      </c>
      <c r="FA27" s="53">
        <v>1.9583999999999999</v>
      </c>
      <c r="FB27" s="53">
        <v>0.74609999999999999</v>
      </c>
      <c r="FC27" s="53">
        <v>0.64700000000000002</v>
      </c>
      <c r="FF27" s="170">
        <v>9593</v>
      </c>
      <c r="FG27" s="53">
        <v>14.6418</v>
      </c>
      <c r="FH27" s="53">
        <v>1.9621</v>
      </c>
      <c r="FI27" s="53">
        <v>0.74750000000000005</v>
      </c>
      <c r="FJ27" s="53">
        <v>0.6482</v>
      </c>
      <c r="FM27" s="170">
        <v>9593</v>
      </c>
      <c r="FN27" s="53">
        <v>14.6556</v>
      </c>
      <c r="FO27" s="53">
        <v>1.9639</v>
      </c>
      <c r="FP27" s="53">
        <v>0.74819999999999998</v>
      </c>
      <c r="FQ27" s="53">
        <v>0.64880000000000004</v>
      </c>
      <c r="FT27" s="170">
        <v>9593</v>
      </c>
      <c r="FU27" s="53">
        <f>VLOOKUP(FT27,Sheet4!A29:F105,3,0)</f>
        <v>14.687200000000001</v>
      </c>
      <c r="FV27" s="53">
        <f>VLOOKUP(FT27,Sheet4!A29:F105,4,0)</f>
        <v>1.9681</v>
      </c>
      <c r="FW27" s="53">
        <f>VLOOKUP(FT27,Sheet4!A29:F105,5,0)</f>
        <v>0.74990000000000001</v>
      </c>
      <c r="FX27" s="53">
        <f>VLOOKUP(FT27,Sheet4!A29:F105,6,0)</f>
        <v>0.6502</v>
      </c>
    </row>
    <row r="28" spans="1:180" x14ac:dyDescent="0.25">
      <c r="A28" s="9">
        <v>9594</v>
      </c>
      <c r="B28" s="9">
        <v>12.892300000000001</v>
      </c>
      <c r="C28" s="9">
        <v>1.7276</v>
      </c>
      <c r="D28" s="9">
        <v>0.65820000000000001</v>
      </c>
      <c r="E28" s="9">
        <v>0.57079999999999997</v>
      </c>
      <c r="H28" s="9">
        <v>9594</v>
      </c>
      <c r="I28" s="9">
        <v>13.304600000000001</v>
      </c>
      <c r="J28" s="9">
        <v>1.7828999999999999</v>
      </c>
      <c r="K28" s="9">
        <v>0.67930000000000001</v>
      </c>
      <c r="L28" s="9">
        <v>0.58899999999999997</v>
      </c>
      <c r="O28" s="148">
        <v>9594</v>
      </c>
      <c r="P28" s="148">
        <v>13.325100000000001</v>
      </c>
      <c r="Q28" s="148">
        <v>1.7856000000000001</v>
      </c>
      <c r="R28" s="148">
        <v>0.68030000000000002</v>
      </c>
      <c r="S28" s="148">
        <v>0.58989999999999998</v>
      </c>
      <c r="V28" s="151">
        <v>9594</v>
      </c>
      <c r="W28" s="151">
        <v>13.3758</v>
      </c>
      <c r="X28" s="151">
        <v>1.7924</v>
      </c>
      <c r="Y28" s="151">
        <v>0.68289999999999995</v>
      </c>
      <c r="Z28" s="151">
        <v>0.59219999999999995</v>
      </c>
      <c r="AC28" s="155">
        <v>9594</v>
      </c>
      <c r="AD28" s="155">
        <v>13.4831</v>
      </c>
      <c r="AE28" s="155">
        <v>1.8068</v>
      </c>
      <c r="AF28" s="155">
        <v>0.68840000000000001</v>
      </c>
      <c r="AG28" s="155">
        <v>0.59689999999999999</v>
      </c>
      <c r="AJ28" s="168">
        <v>9594</v>
      </c>
      <c r="AK28" s="169">
        <v>13.619300000000001</v>
      </c>
      <c r="AL28" s="169">
        <v>1.825</v>
      </c>
      <c r="AM28" s="169">
        <v>0.69530000000000003</v>
      </c>
      <c r="AN28" s="169">
        <v>0.60299999999999998</v>
      </c>
      <c r="AQ28" s="165">
        <v>9594</v>
      </c>
      <c r="AR28" s="167">
        <v>13.674300000000001</v>
      </c>
      <c r="AS28" s="167">
        <v>1.8324</v>
      </c>
      <c r="AT28" s="167">
        <v>0.69810000000000005</v>
      </c>
      <c r="AU28" s="167">
        <v>0.60540000000000005</v>
      </c>
      <c r="AX28" s="165">
        <v>9594</v>
      </c>
      <c r="AY28" s="167">
        <v>13.710100000000001</v>
      </c>
      <c r="AZ28" s="167">
        <v>1.8371999999999999</v>
      </c>
      <c r="BA28" s="167">
        <v>0.7</v>
      </c>
      <c r="BB28" s="167">
        <v>0.60699999999999998</v>
      </c>
      <c r="BC28" s="3"/>
      <c r="BD28" s="182"/>
      <c r="BE28" s="165">
        <v>9594</v>
      </c>
      <c r="BF28" s="167">
        <v>13.7256</v>
      </c>
      <c r="BG28" s="167">
        <v>1.8392999999999999</v>
      </c>
      <c r="BH28" s="167">
        <v>0.70079999999999998</v>
      </c>
      <c r="BI28" s="167">
        <v>0.60770000000000002</v>
      </c>
      <c r="BL28" s="165">
        <v>9594</v>
      </c>
      <c r="BM28" s="167">
        <v>13.8072</v>
      </c>
      <c r="BN28" s="167">
        <v>1.8502000000000001</v>
      </c>
      <c r="BO28" s="167">
        <v>0.70489999999999997</v>
      </c>
      <c r="BP28" s="167">
        <v>0.61129999999999995</v>
      </c>
      <c r="BS28" s="165">
        <v>9594</v>
      </c>
      <c r="BT28" s="167">
        <v>13.917400000000001</v>
      </c>
      <c r="BU28" s="167">
        <v>1.865</v>
      </c>
      <c r="BV28" s="167">
        <v>0.71060000000000001</v>
      </c>
      <c r="BW28" s="167">
        <v>0.61619999999999997</v>
      </c>
      <c r="BZ28" s="165">
        <v>9594</v>
      </c>
      <c r="CA28" s="167">
        <v>13.952400000000001</v>
      </c>
      <c r="CB28" s="167">
        <v>1.8696999999999999</v>
      </c>
      <c r="CC28" s="167">
        <v>0.71230000000000004</v>
      </c>
      <c r="CD28" s="167">
        <v>0.61770000000000003</v>
      </c>
      <c r="CG28" s="165">
        <v>9594</v>
      </c>
      <c r="CH28" s="167">
        <v>13.980600000000001</v>
      </c>
      <c r="CI28" s="167">
        <v>1.8734999999999999</v>
      </c>
      <c r="CJ28" s="167">
        <v>0.71379999999999999</v>
      </c>
      <c r="CK28" s="167">
        <v>0.61899999999999999</v>
      </c>
      <c r="CN28" s="168">
        <v>9594</v>
      </c>
      <c r="CO28" s="167">
        <v>14.0466</v>
      </c>
      <c r="CP28" s="167">
        <v>1.8823000000000001</v>
      </c>
      <c r="CQ28" s="167">
        <v>0.71719999999999995</v>
      </c>
      <c r="CR28" s="167">
        <v>0.62190000000000001</v>
      </c>
      <c r="CU28" s="168">
        <v>9594</v>
      </c>
      <c r="CV28" s="167">
        <v>14.0687</v>
      </c>
      <c r="CW28" s="167">
        <v>1.8853</v>
      </c>
      <c r="CX28" s="167">
        <v>0.71830000000000005</v>
      </c>
      <c r="CY28" s="167">
        <v>0.62290000000000001</v>
      </c>
      <c r="DB28" s="168">
        <v>9594</v>
      </c>
      <c r="DC28" s="167">
        <v>14.091900000000001</v>
      </c>
      <c r="DD28" s="167">
        <v>1.8884000000000001</v>
      </c>
      <c r="DE28" s="167">
        <v>0.71950000000000003</v>
      </c>
      <c r="DF28" s="167">
        <v>0.62390000000000001</v>
      </c>
      <c r="DI28" s="168">
        <v>9594</v>
      </c>
      <c r="DJ28" s="167">
        <v>14.1113</v>
      </c>
      <c r="DK28" s="167">
        <v>1.891</v>
      </c>
      <c r="DL28" s="167">
        <v>0.72050000000000003</v>
      </c>
      <c r="DM28" s="167">
        <v>0.62470000000000003</v>
      </c>
      <c r="DN28" s="231"/>
      <c r="DO28" s="231"/>
      <c r="DP28" s="168">
        <v>9594</v>
      </c>
      <c r="DQ28" s="167">
        <v>14.138500000000001</v>
      </c>
      <c r="DR28" s="167">
        <v>1.8946000000000001</v>
      </c>
      <c r="DS28" s="167">
        <v>0.7218</v>
      </c>
      <c r="DT28" s="167">
        <v>0.62590000000000001</v>
      </c>
      <c r="DW28" s="168">
        <v>9594</v>
      </c>
      <c r="DX28" s="167">
        <v>14.1691</v>
      </c>
      <c r="DY28" s="167">
        <v>1.8987000000000001</v>
      </c>
      <c r="DZ28" s="167">
        <v>0.72340000000000004</v>
      </c>
      <c r="EA28" s="167">
        <v>0.62729999999999997</v>
      </c>
      <c r="ED28" s="168">
        <v>9594</v>
      </c>
      <c r="EE28" s="167">
        <v>14.199199999999999</v>
      </c>
      <c r="EF28" s="167">
        <v>1.9027000000000001</v>
      </c>
      <c r="EG28" s="167">
        <v>0.72489999999999999</v>
      </c>
      <c r="EH28" s="167">
        <v>0.62860000000000005</v>
      </c>
      <c r="EK28" s="168">
        <v>9594</v>
      </c>
      <c r="EL28" s="167">
        <v>14.2567</v>
      </c>
      <c r="EM28" s="167">
        <v>1.9105000000000001</v>
      </c>
      <c r="EN28" s="167">
        <v>0.72789999999999999</v>
      </c>
      <c r="EO28" s="167">
        <v>0.63119999999999998</v>
      </c>
      <c r="ER28" s="168">
        <v>9594</v>
      </c>
      <c r="ES28" s="167">
        <v>14.3155</v>
      </c>
      <c r="ET28" s="167">
        <v>1.9182999999999999</v>
      </c>
      <c r="EU28" s="167">
        <v>0.73089999999999999</v>
      </c>
      <c r="EV28" s="167">
        <v>0.63380000000000003</v>
      </c>
      <c r="EY28" s="168">
        <v>9594</v>
      </c>
      <c r="EZ28" s="167">
        <v>14.332800000000001</v>
      </c>
      <c r="FA28" s="167">
        <v>1.9207000000000001</v>
      </c>
      <c r="FB28" s="167">
        <v>0.73180000000000001</v>
      </c>
      <c r="FC28" s="167">
        <v>0.63449999999999995</v>
      </c>
      <c r="FF28" s="168">
        <v>9594</v>
      </c>
      <c r="FG28" s="167">
        <v>14.360200000000001</v>
      </c>
      <c r="FH28" s="167">
        <v>1.9242999999999999</v>
      </c>
      <c r="FI28" s="167">
        <v>0.73319999999999996</v>
      </c>
      <c r="FJ28" s="167">
        <v>0.63580000000000003</v>
      </c>
      <c r="FM28" s="168">
        <v>9594</v>
      </c>
      <c r="FN28" s="167">
        <v>14.374000000000001</v>
      </c>
      <c r="FO28" s="167">
        <v>1.9261999999999999</v>
      </c>
      <c r="FP28" s="167">
        <v>0.7339</v>
      </c>
      <c r="FQ28" s="167">
        <v>0.63639999999999997</v>
      </c>
      <c r="FT28" s="168">
        <v>9594</v>
      </c>
      <c r="FU28" s="167">
        <f>VLOOKUP(FT28,Sheet4!A30:F106,3,0)</f>
        <v>14.4056</v>
      </c>
      <c r="FV28" s="167">
        <f>VLOOKUP(FT28,Sheet4!A30:F106,4,0)</f>
        <v>1.9303999999999999</v>
      </c>
      <c r="FW28" s="167">
        <f>VLOOKUP(FT28,Sheet4!A30:F106,5,0)</f>
        <v>0.73550000000000004</v>
      </c>
      <c r="FX28" s="167">
        <f>VLOOKUP(FT28,Sheet4!A30:F106,6,0)</f>
        <v>0.63780000000000003</v>
      </c>
    </row>
    <row r="29" spans="1:180" x14ac:dyDescent="0.25">
      <c r="A29" s="9">
        <v>9595</v>
      </c>
      <c r="B29" s="9">
        <v>11.719799999999999</v>
      </c>
      <c r="C29" s="9">
        <v>1.5705</v>
      </c>
      <c r="D29" s="9">
        <v>0.59840000000000004</v>
      </c>
      <c r="E29" s="9">
        <v>0.51890000000000003</v>
      </c>
      <c r="H29" s="9">
        <v>9595</v>
      </c>
      <c r="I29" s="9">
        <v>12.043699999999999</v>
      </c>
      <c r="J29" s="9">
        <v>1.6138999999999999</v>
      </c>
      <c r="K29" s="9">
        <v>0.6149</v>
      </c>
      <c r="L29" s="9">
        <v>0.53320000000000001</v>
      </c>
      <c r="O29" s="154">
        <v>9595</v>
      </c>
      <c r="P29" s="154">
        <v>12.059799999999999</v>
      </c>
      <c r="Q29" s="154">
        <v>1.6161000000000001</v>
      </c>
      <c r="R29" s="154">
        <v>0.61570000000000003</v>
      </c>
      <c r="S29" s="154">
        <v>0.53390000000000004</v>
      </c>
      <c r="V29" s="151">
        <v>9595</v>
      </c>
      <c r="W29" s="151">
        <v>12.099600000000001</v>
      </c>
      <c r="X29" s="151">
        <v>1.6214</v>
      </c>
      <c r="Y29" s="151">
        <v>0.61780000000000002</v>
      </c>
      <c r="Z29" s="151">
        <v>0.53569999999999995</v>
      </c>
      <c r="AC29" s="155">
        <v>9595</v>
      </c>
      <c r="AD29" s="155">
        <v>12.1839</v>
      </c>
      <c r="AE29" s="155">
        <v>1.6327</v>
      </c>
      <c r="AF29" s="155">
        <v>0.62209999999999999</v>
      </c>
      <c r="AG29" s="155">
        <v>0.53939999999999999</v>
      </c>
      <c r="AJ29" s="160">
        <v>9595</v>
      </c>
      <c r="AK29" s="6">
        <v>12.290900000000001</v>
      </c>
      <c r="AL29" s="6">
        <v>1.647</v>
      </c>
      <c r="AM29" s="6">
        <v>0.62749999999999995</v>
      </c>
      <c r="AN29" s="6">
        <v>0.54410000000000003</v>
      </c>
      <c r="AQ29" s="129">
        <v>9595</v>
      </c>
      <c r="AR29" s="53">
        <v>12.334099999999999</v>
      </c>
      <c r="AS29" s="53">
        <v>1.6528</v>
      </c>
      <c r="AT29" s="53">
        <v>0.62970000000000004</v>
      </c>
      <c r="AU29" s="53">
        <v>0.54610000000000003</v>
      </c>
      <c r="AX29" s="129">
        <v>9595</v>
      </c>
      <c r="AY29" s="53">
        <v>12.3622</v>
      </c>
      <c r="AZ29" s="53">
        <v>1.6566000000000001</v>
      </c>
      <c r="BA29" s="53">
        <v>0.63119999999999998</v>
      </c>
      <c r="BB29" s="53">
        <v>0.54730000000000001</v>
      </c>
      <c r="BC29" s="3"/>
      <c r="BD29" s="182"/>
      <c r="BE29" s="129">
        <v>9595</v>
      </c>
      <c r="BF29" s="53">
        <v>12.3744</v>
      </c>
      <c r="BG29" s="53">
        <v>1.6581999999999999</v>
      </c>
      <c r="BH29" s="53">
        <v>0.63180000000000003</v>
      </c>
      <c r="BI29" s="53">
        <v>0.54779999999999995</v>
      </c>
      <c r="BL29" s="129">
        <v>9595</v>
      </c>
      <c r="BM29" s="53">
        <v>12.438599999999999</v>
      </c>
      <c r="BN29" s="53">
        <v>1.6668000000000001</v>
      </c>
      <c r="BO29" s="53">
        <v>0.6351</v>
      </c>
      <c r="BP29" s="53">
        <v>0.55069999999999997</v>
      </c>
      <c r="BS29" s="129">
        <v>9595</v>
      </c>
      <c r="BT29" s="53">
        <v>12.5252</v>
      </c>
      <c r="BU29" s="53">
        <v>1.6783999999999999</v>
      </c>
      <c r="BV29" s="53">
        <v>0.63949999999999996</v>
      </c>
      <c r="BW29" s="53">
        <v>0.55449999999999999</v>
      </c>
      <c r="BZ29" s="129">
        <v>9595</v>
      </c>
      <c r="CA29" s="53">
        <v>12.5527</v>
      </c>
      <c r="CB29" s="53">
        <v>1.6820999999999999</v>
      </c>
      <c r="CC29" s="53">
        <v>0.64090000000000003</v>
      </c>
      <c r="CD29" s="53">
        <v>0.55569999999999997</v>
      </c>
      <c r="CG29" s="129">
        <v>9595</v>
      </c>
      <c r="CH29" s="53">
        <v>12.5748</v>
      </c>
      <c r="CI29" s="53">
        <v>1.6851</v>
      </c>
      <c r="CJ29" s="53">
        <v>0.64200000000000002</v>
      </c>
      <c r="CK29" s="53">
        <v>0.55669999999999997</v>
      </c>
      <c r="CN29" s="207">
        <v>9595</v>
      </c>
      <c r="CO29" s="53">
        <v>12.6267</v>
      </c>
      <c r="CP29" s="53">
        <v>1.6919999999999999</v>
      </c>
      <c r="CQ29" s="53">
        <v>0.64470000000000005</v>
      </c>
      <c r="CR29" s="53">
        <v>0.55900000000000005</v>
      </c>
      <c r="CU29" s="215">
        <v>9595</v>
      </c>
      <c r="CV29" s="53">
        <v>12.644</v>
      </c>
      <c r="CW29" s="53">
        <v>1.6942999999999999</v>
      </c>
      <c r="CX29" s="53">
        <v>0.64549999999999996</v>
      </c>
      <c r="CY29" s="53">
        <v>0.55979999999999996</v>
      </c>
      <c r="DB29" s="217">
        <v>9595</v>
      </c>
      <c r="DC29" s="53">
        <v>12.6622</v>
      </c>
      <c r="DD29" s="53">
        <v>1.6968000000000001</v>
      </c>
      <c r="DE29" s="53">
        <v>0.64649999999999996</v>
      </c>
      <c r="DF29" s="53">
        <v>0.56059999999999999</v>
      </c>
      <c r="DI29" s="222">
        <v>9595</v>
      </c>
      <c r="DJ29" s="53">
        <v>12.6775</v>
      </c>
      <c r="DK29" s="53">
        <v>1.6988000000000001</v>
      </c>
      <c r="DL29" s="53">
        <v>0.64729999999999999</v>
      </c>
      <c r="DM29" s="53">
        <v>0.56130000000000002</v>
      </c>
      <c r="DN29" s="231"/>
      <c r="DO29" s="231"/>
      <c r="DP29" s="227">
        <v>9595</v>
      </c>
      <c r="DQ29" s="53">
        <v>12.6989</v>
      </c>
      <c r="DR29" s="53">
        <v>1.7017</v>
      </c>
      <c r="DS29" s="53">
        <v>0.64829999999999999</v>
      </c>
      <c r="DT29" s="53">
        <v>0.56220000000000003</v>
      </c>
      <c r="DW29" s="235">
        <v>9595</v>
      </c>
      <c r="DX29" s="53">
        <v>12.722899999999999</v>
      </c>
      <c r="DY29" s="53">
        <v>1.7049000000000001</v>
      </c>
      <c r="DZ29" s="53">
        <v>0.64959999999999996</v>
      </c>
      <c r="EA29" s="53">
        <v>0.56330000000000002</v>
      </c>
      <c r="ED29" s="237">
        <v>9595</v>
      </c>
      <c r="EE29" s="53">
        <v>12.746600000000001</v>
      </c>
      <c r="EF29" s="53">
        <v>1.7081</v>
      </c>
      <c r="EG29" s="53">
        <v>0.65080000000000005</v>
      </c>
      <c r="EH29" s="53">
        <v>0.56430000000000002</v>
      </c>
      <c r="EK29" s="239">
        <v>9595</v>
      </c>
      <c r="EL29" s="53">
        <v>12.7918</v>
      </c>
      <c r="EM29" s="53">
        <v>1.7141999999999999</v>
      </c>
      <c r="EN29" s="53">
        <v>0.65310000000000001</v>
      </c>
      <c r="EO29" s="53">
        <v>0.56630000000000003</v>
      </c>
      <c r="ER29" s="243">
        <v>9595</v>
      </c>
      <c r="ES29" s="53">
        <v>12.837999999999999</v>
      </c>
      <c r="ET29" s="53">
        <v>1.7202999999999999</v>
      </c>
      <c r="EU29" s="53">
        <v>0.65549999999999997</v>
      </c>
      <c r="EV29" s="53">
        <v>0.56840000000000002</v>
      </c>
      <c r="EY29" s="245">
        <v>9595</v>
      </c>
      <c r="EZ29" s="53">
        <v>12.851599999999999</v>
      </c>
      <c r="FA29" s="53">
        <v>1.7222</v>
      </c>
      <c r="FB29" s="53">
        <v>0.65610000000000002</v>
      </c>
      <c r="FC29" s="53">
        <v>0.56899999999999995</v>
      </c>
      <c r="FF29" s="249">
        <v>9595</v>
      </c>
      <c r="FG29" s="53">
        <v>12.873200000000001</v>
      </c>
      <c r="FH29" s="53">
        <v>1.7251000000000001</v>
      </c>
      <c r="FI29" s="53">
        <v>0.65720000000000001</v>
      </c>
      <c r="FJ29" s="53">
        <v>0.56989999999999996</v>
      </c>
      <c r="FM29" s="252">
        <v>9595</v>
      </c>
      <c r="FN29" s="53">
        <v>12.884</v>
      </c>
      <c r="FO29" s="53">
        <v>1.7264999999999999</v>
      </c>
      <c r="FP29" s="53">
        <v>0.65780000000000005</v>
      </c>
      <c r="FQ29" s="53">
        <v>0.57040000000000002</v>
      </c>
      <c r="FT29" s="254">
        <v>9595</v>
      </c>
      <c r="FU29" s="53">
        <f>VLOOKUP(FT29,Sheet4!A31:F107,3,0)</f>
        <v>12.908799999999999</v>
      </c>
      <c r="FV29" s="53">
        <f>VLOOKUP(FT29,Sheet4!A31:F107,4,0)</f>
        <v>1.7298</v>
      </c>
      <c r="FW29" s="53">
        <f>VLOOKUP(FT29,Sheet4!A31:F107,5,0)</f>
        <v>0.65910000000000002</v>
      </c>
      <c r="FX29" s="53">
        <f>VLOOKUP(FT29,Sheet4!A31:F107,6,0)</f>
        <v>0.57150000000000001</v>
      </c>
    </row>
    <row r="30" spans="1:180" x14ac:dyDescent="0.25">
      <c r="A30" s="9">
        <v>9596</v>
      </c>
      <c r="B30" s="9">
        <v>11.719799999999999</v>
      </c>
      <c r="C30" s="9">
        <v>1.5705</v>
      </c>
      <c r="D30" s="9">
        <v>0.59840000000000004</v>
      </c>
      <c r="E30" s="9">
        <v>0.51890000000000003</v>
      </c>
      <c r="H30" s="9">
        <v>9596</v>
      </c>
      <c r="I30" s="9">
        <v>12.043699999999999</v>
      </c>
      <c r="J30" s="9">
        <v>1.6138999999999999</v>
      </c>
      <c r="K30" s="9">
        <v>0.6149</v>
      </c>
      <c r="L30" s="9">
        <v>0.53320000000000001</v>
      </c>
      <c r="O30" s="148">
        <v>9596</v>
      </c>
      <c r="P30" s="148">
        <v>12.059799999999999</v>
      </c>
      <c r="Q30" s="148">
        <v>1.6161000000000001</v>
      </c>
      <c r="R30" s="148">
        <v>0.61570000000000003</v>
      </c>
      <c r="S30" s="148">
        <v>0.53390000000000004</v>
      </c>
      <c r="V30" s="151">
        <v>9596</v>
      </c>
      <c r="W30" s="151">
        <v>12.099600000000001</v>
      </c>
      <c r="X30" s="151">
        <v>1.6214</v>
      </c>
      <c r="Y30" s="151">
        <v>0.61780000000000002</v>
      </c>
      <c r="Z30" s="151">
        <v>0.53569999999999995</v>
      </c>
      <c r="AC30" s="155">
        <v>9596</v>
      </c>
      <c r="AD30" s="155">
        <v>12.1839</v>
      </c>
      <c r="AE30" s="155">
        <v>1.6327</v>
      </c>
      <c r="AF30" s="155">
        <v>0.62209999999999999</v>
      </c>
      <c r="AG30" s="155">
        <v>0.53939999999999999</v>
      </c>
      <c r="AJ30" s="168">
        <v>9596</v>
      </c>
      <c r="AK30" s="169">
        <v>12.290900000000001</v>
      </c>
      <c r="AL30" s="169">
        <v>1.647</v>
      </c>
      <c r="AM30" s="169">
        <v>0.62749999999999995</v>
      </c>
      <c r="AN30" s="169">
        <v>0.54410000000000003</v>
      </c>
      <c r="AQ30" s="165">
        <v>9596</v>
      </c>
      <c r="AR30" s="167">
        <v>12.334099999999999</v>
      </c>
      <c r="AS30" s="167">
        <v>1.6528</v>
      </c>
      <c r="AT30" s="167">
        <v>0.62970000000000004</v>
      </c>
      <c r="AU30" s="167">
        <v>0.54610000000000003</v>
      </c>
      <c r="AX30" s="165">
        <v>9596</v>
      </c>
      <c r="AY30" s="167">
        <v>12.3622</v>
      </c>
      <c r="AZ30" s="167">
        <v>1.6566000000000001</v>
      </c>
      <c r="BA30" s="167">
        <v>0.63119999999999998</v>
      </c>
      <c r="BB30" s="167">
        <v>0.54730000000000001</v>
      </c>
      <c r="BC30" s="3"/>
      <c r="BD30" s="182"/>
      <c r="BE30" s="165">
        <v>9596</v>
      </c>
      <c r="BF30" s="167">
        <v>12.3744</v>
      </c>
      <c r="BG30" s="167">
        <v>1.6581999999999999</v>
      </c>
      <c r="BH30" s="167">
        <v>0.63180000000000003</v>
      </c>
      <c r="BI30" s="167">
        <v>0.54779999999999995</v>
      </c>
      <c r="BL30" s="165">
        <v>9596</v>
      </c>
      <c r="BM30" s="167">
        <v>12.438599999999999</v>
      </c>
      <c r="BN30" s="167">
        <v>1.6668000000000001</v>
      </c>
      <c r="BO30" s="167">
        <v>0.6351</v>
      </c>
      <c r="BP30" s="167">
        <v>0.55069999999999997</v>
      </c>
      <c r="BS30" s="165">
        <v>9596</v>
      </c>
      <c r="BT30" s="167">
        <v>12.5252</v>
      </c>
      <c r="BU30" s="167">
        <v>1.6783999999999999</v>
      </c>
      <c r="BV30" s="167">
        <v>0.63949999999999996</v>
      </c>
      <c r="BW30" s="167">
        <v>0.55449999999999999</v>
      </c>
      <c r="BZ30" s="165">
        <v>9596</v>
      </c>
      <c r="CA30" s="167">
        <v>12.5527</v>
      </c>
      <c r="CB30" s="167">
        <v>1.6820999999999999</v>
      </c>
      <c r="CC30" s="167">
        <v>0.64090000000000003</v>
      </c>
      <c r="CD30" s="167">
        <v>0.55569999999999997</v>
      </c>
      <c r="CG30" s="165">
        <v>9596</v>
      </c>
      <c r="CH30" s="167">
        <v>12.5748</v>
      </c>
      <c r="CI30" s="167">
        <v>1.6851</v>
      </c>
      <c r="CJ30" s="167">
        <v>0.64200000000000002</v>
      </c>
      <c r="CK30" s="167">
        <v>0.55669999999999997</v>
      </c>
      <c r="CN30" s="168">
        <v>9596</v>
      </c>
      <c r="CO30" s="167">
        <v>12.6267</v>
      </c>
      <c r="CP30" s="167">
        <v>1.6919999999999999</v>
      </c>
      <c r="CQ30" s="167">
        <v>0.64470000000000005</v>
      </c>
      <c r="CR30" s="167">
        <v>0.55900000000000005</v>
      </c>
      <c r="CU30" s="168">
        <v>9596</v>
      </c>
      <c r="CV30" s="167">
        <v>12.644</v>
      </c>
      <c r="CW30" s="167">
        <v>1.6942999999999999</v>
      </c>
      <c r="CX30" s="167">
        <v>0.64549999999999996</v>
      </c>
      <c r="CY30" s="167">
        <v>0.55979999999999996</v>
      </c>
      <c r="DB30" s="168">
        <v>9596</v>
      </c>
      <c r="DC30" s="167">
        <v>12.6622</v>
      </c>
      <c r="DD30" s="167">
        <v>1.6968000000000001</v>
      </c>
      <c r="DE30" s="167">
        <v>0.64649999999999996</v>
      </c>
      <c r="DF30" s="167">
        <v>0.56059999999999999</v>
      </c>
      <c r="DI30" s="168">
        <v>9596</v>
      </c>
      <c r="DJ30" s="167">
        <v>12.6775</v>
      </c>
      <c r="DK30" s="167">
        <v>1.6988000000000001</v>
      </c>
      <c r="DL30" s="167">
        <v>0.64729999999999999</v>
      </c>
      <c r="DM30" s="167">
        <v>0.56130000000000002</v>
      </c>
      <c r="DN30" s="231"/>
      <c r="DO30" s="231"/>
      <c r="DP30" s="168">
        <v>9596</v>
      </c>
      <c r="DQ30" s="167">
        <v>12.6989</v>
      </c>
      <c r="DR30" s="167">
        <v>1.7017</v>
      </c>
      <c r="DS30" s="167">
        <v>0.64829999999999999</v>
      </c>
      <c r="DT30" s="167">
        <v>0.56220000000000003</v>
      </c>
      <c r="DW30" s="168">
        <v>9596</v>
      </c>
      <c r="DX30" s="167">
        <v>12.722899999999999</v>
      </c>
      <c r="DY30" s="167">
        <v>1.7049000000000001</v>
      </c>
      <c r="DZ30" s="167">
        <v>0.64959999999999996</v>
      </c>
      <c r="EA30" s="167">
        <v>0.56330000000000002</v>
      </c>
      <c r="ED30" s="168">
        <v>9596</v>
      </c>
      <c r="EE30" s="167">
        <v>12.746600000000001</v>
      </c>
      <c r="EF30" s="167">
        <v>1.7081</v>
      </c>
      <c r="EG30" s="167">
        <v>0.65080000000000005</v>
      </c>
      <c r="EH30" s="167">
        <v>0.56430000000000002</v>
      </c>
      <c r="EK30" s="168">
        <v>9596</v>
      </c>
      <c r="EL30" s="167">
        <v>12.7918</v>
      </c>
      <c r="EM30" s="167">
        <v>1.7141999999999999</v>
      </c>
      <c r="EN30" s="167">
        <v>0.65310000000000001</v>
      </c>
      <c r="EO30" s="167">
        <v>0.56630000000000003</v>
      </c>
      <c r="ER30" s="168">
        <v>9596</v>
      </c>
      <c r="ES30" s="167">
        <v>12.837999999999999</v>
      </c>
      <c r="ET30" s="167">
        <v>1.7202999999999999</v>
      </c>
      <c r="EU30" s="167">
        <v>0.65549999999999997</v>
      </c>
      <c r="EV30" s="167">
        <v>0.56840000000000002</v>
      </c>
      <c r="EY30" s="168">
        <v>9596</v>
      </c>
      <c r="EZ30" s="167">
        <v>12.851599999999999</v>
      </c>
      <c r="FA30" s="167">
        <v>1.7222</v>
      </c>
      <c r="FB30" s="167">
        <v>0.65610000000000002</v>
      </c>
      <c r="FC30" s="167">
        <v>0.56899999999999995</v>
      </c>
      <c r="FF30" s="168">
        <v>9596</v>
      </c>
      <c r="FG30" s="167">
        <v>12.873200000000001</v>
      </c>
      <c r="FH30" s="167">
        <v>1.7251000000000001</v>
      </c>
      <c r="FI30" s="167">
        <v>0.65720000000000001</v>
      </c>
      <c r="FJ30" s="167">
        <v>0.56989999999999996</v>
      </c>
      <c r="FM30" s="168">
        <v>9596</v>
      </c>
      <c r="FN30" s="167">
        <v>12.884</v>
      </c>
      <c r="FO30" s="167">
        <v>1.7264999999999999</v>
      </c>
      <c r="FP30" s="167">
        <v>0.65780000000000005</v>
      </c>
      <c r="FQ30" s="167">
        <v>0.57040000000000002</v>
      </c>
      <c r="FT30" s="168">
        <v>9596</v>
      </c>
      <c r="FU30" s="167">
        <f>VLOOKUP(FT30,Sheet4!A32:F108,3,0)</f>
        <v>12.908799999999999</v>
      </c>
      <c r="FV30" s="167">
        <f>VLOOKUP(FT30,Sheet4!A32:F108,4,0)</f>
        <v>1.7298</v>
      </c>
      <c r="FW30" s="167">
        <f>VLOOKUP(FT30,Sheet4!A32:F108,5,0)</f>
        <v>0.65910000000000002</v>
      </c>
      <c r="FX30" s="167">
        <f>VLOOKUP(FT30,Sheet4!A32:F108,6,0)</f>
        <v>0.57150000000000001</v>
      </c>
    </row>
    <row r="31" spans="1:180" x14ac:dyDescent="0.25">
      <c r="A31" s="9">
        <v>9597</v>
      </c>
      <c r="B31" s="9">
        <v>14.731999999999999</v>
      </c>
      <c r="C31" s="9">
        <v>1.9741</v>
      </c>
      <c r="D31" s="9">
        <v>0.75209999999999999</v>
      </c>
      <c r="E31" s="9">
        <v>0.6522</v>
      </c>
      <c r="H31" s="9">
        <v>9597</v>
      </c>
      <c r="I31" s="9">
        <v>15.2392</v>
      </c>
      <c r="J31" s="9">
        <v>2.0421</v>
      </c>
      <c r="K31" s="9">
        <v>0.77800000000000002</v>
      </c>
      <c r="L31" s="9">
        <v>0.67469999999999997</v>
      </c>
      <c r="O31" s="154">
        <v>9597</v>
      </c>
      <c r="P31" s="154">
        <v>15.2644</v>
      </c>
      <c r="Q31" s="154">
        <v>2.0455000000000001</v>
      </c>
      <c r="R31" s="154">
        <v>0.77929999999999999</v>
      </c>
      <c r="S31" s="154">
        <v>0.67579999999999996</v>
      </c>
      <c r="V31" s="151">
        <v>9597</v>
      </c>
      <c r="W31" s="151">
        <v>15.326700000000001</v>
      </c>
      <c r="X31" s="151">
        <v>2.0537999999999998</v>
      </c>
      <c r="Y31" s="151">
        <v>0.78249999999999997</v>
      </c>
      <c r="Z31" s="151">
        <v>0.67849999999999999</v>
      </c>
      <c r="AC31" s="155">
        <v>9597</v>
      </c>
      <c r="AD31" s="155">
        <v>15.4587</v>
      </c>
      <c r="AE31" s="155">
        <v>2.0714999999999999</v>
      </c>
      <c r="AF31" s="155">
        <v>0.7893</v>
      </c>
      <c r="AG31" s="155">
        <v>0.68440000000000001</v>
      </c>
      <c r="AJ31" s="160">
        <v>9597</v>
      </c>
      <c r="AK31" s="6">
        <v>15.626300000000001</v>
      </c>
      <c r="AL31" s="6">
        <v>2.0939999999999999</v>
      </c>
      <c r="AM31" s="6">
        <v>0.79779999999999995</v>
      </c>
      <c r="AN31" s="6">
        <v>0.69179999999999997</v>
      </c>
      <c r="AQ31" s="129">
        <v>9597</v>
      </c>
      <c r="AR31" s="53">
        <v>15.693899999999999</v>
      </c>
      <c r="AS31" s="53">
        <v>2.1030000000000002</v>
      </c>
      <c r="AT31" s="53">
        <v>0.80130000000000001</v>
      </c>
      <c r="AU31" s="53">
        <v>0.69479999999999997</v>
      </c>
      <c r="AX31" s="129">
        <v>9597</v>
      </c>
      <c r="AY31" s="53">
        <v>15.738</v>
      </c>
      <c r="AZ31" s="53">
        <v>2.109</v>
      </c>
      <c r="BA31" s="53">
        <v>0.80349999999999999</v>
      </c>
      <c r="BB31" s="53">
        <v>0.69679999999999997</v>
      </c>
      <c r="BC31" s="3"/>
      <c r="BD31" s="182"/>
      <c r="BE31" s="129">
        <v>9597</v>
      </c>
      <c r="BF31" s="53">
        <v>15.757099999999999</v>
      </c>
      <c r="BG31" s="53">
        <v>2.1114999999999999</v>
      </c>
      <c r="BH31" s="53">
        <v>0.80449999999999999</v>
      </c>
      <c r="BI31" s="53">
        <v>0.6976</v>
      </c>
      <c r="BL31" s="129">
        <v>9597</v>
      </c>
      <c r="BM31" s="53">
        <v>15.8575</v>
      </c>
      <c r="BN31" s="53">
        <v>2.125</v>
      </c>
      <c r="BO31" s="53">
        <v>0.80959999999999999</v>
      </c>
      <c r="BP31" s="53">
        <v>0.70199999999999996</v>
      </c>
      <c r="BS31" s="129">
        <v>9597</v>
      </c>
      <c r="BT31" s="53">
        <v>15.9931</v>
      </c>
      <c r="BU31" s="53">
        <v>2.1431</v>
      </c>
      <c r="BV31" s="53">
        <v>0.8165</v>
      </c>
      <c r="BW31" s="53">
        <v>0.70799999999999996</v>
      </c>
      <c r="BZ31" s="129">
        <v>9597</v>
      </c>
      <c r="CA31" s="53">
        <v>16.036200000000001</v>
      </c>
      <c r="CB31" s="53">
        <v>2.1488999999999998</v>
      </c>
      <c r="CC31" s="53">
        <v>0.81869999999999998</v>
      </c>
      <c r="CD31" s="53">
        <v>0.71</v>
      </c>
      <c r="CG31" s="129">
        <v>9597</v>
      </c>
      <c r="CH31" s="53">
        <v>16.070900000000002</v>
      </c>
      <c r="CI31" s="53">
        <v>2.1536</v>
      </c>
      <c r="CJ31" s="53">
        <v>0.82050000000000001</v>
      </c>
      <c r="CK31" s="53">
        <v>0.71150000000000002</v>
      </c>
      <c r="CN31" s="207">
        <v>9597</v>
      </c>
      <c r="CO31" s="53">
        <v>16.152100000000001</v>
      </c>
      <c r="CP31" s="53">
        <v>2.1644000000000001</v>
      </c>
      <c r="CQ31" s="53">
        <v>0.82469999999999999</v>
      </c>
      <c r="CR31" s="53">
        <v>0.71509999999999996</v>
      </c>
      <c r="CU31" s="215">
        <v>9597</v>
      </c>
      <c r="CV31" s="53">
        <v>16.179200000000002</v>
      </c>
      <c r="CW31" s="53">
        <v>2.1680999999999999</v>
      </c>
      <c r="CX31" s="53">
        <v>0.82599999999999996</v>
      </c>
      <c r="CY31" s="53">
        <v>0.71630000000000005</v>
      </c>
      <c r="DB31" s="217">
        <v>9597</v>
      </c>
      <c r="DC31" s="53">
        <v>16.207699999999999</v>
      </c>
      <c r="DD31" s="53">
        <v>2.1718999999999999</v>
      </c>
      <c r="DE31" s="53">
        <v>0.82750000000000001</v>
      </c>
      <c r="DF31" s="53">
        <v>0.71750000000000003</v>
      </c>
      <c r="DI31" s="222">
        <v>9597</v>
      </c>
      <c r="DJ31" s="53">
        <v>16.2316</v>
      </c>
      <c r="DK31" s="53">
        <v>2.1751</v>
      </c>
      <c r="DL31" s="53">
        <v>0.82869999999999999</v>
      </c>
      <c r="DM31" s="53">
        <v>0.71860000000000002</v>
      </c>
      <c r="DN31" s="231"/>
      <c r="DO31" s="231"/>
      <c r="DP31" s="227">
        <v>9597</v>
      </c>
      <c r="DQ31" s="53">
        <v>16.2651</v>
      </c>
      <c r="DR31" s="53">
        <v>2.1796000000000002</v>
      </c>
      <c r="DS31" s="53">
        <v>0.83040000000000003</v>
      </c>
      <c r="DT31" s="53">
        <v>0.72009999999999996</v>
      </c>
      <c r="DW31" s="235">
        <v>9597</v>
      </c>
      <c r="DX31" s="53">
        <v>16.302700000000002</v>
      </c>
      <c r="DY31" s="53">
        <v>2.1846000000000001</v>
      </c>
      <c r="DZ31" s="53">
        <v>0.83230000000000004</v>
      </c>
      <c r="EA31" s="53">
        <v>0.7218</v>
      </c>
      <c r="ED31" s="237">
        <v>9597</v>
      </c>
      <c r="EE31" s="53">
        <v>16.3398</v>
      </c>
      <c r="EF31" s="53">
        <v>2.1896</v>
      </c>
      <c r="EG31" s="53">
        <v>0.83420000000000005</v>
      </c>
      <c r="EH31" s="53">
        <v>0.72340000000000004</v>
      </c>
      <c r="EK31" s="239">
        <v>9597</v>
      </c>
      <c r="EL31" s="53">
        <v>16.410499999999999</v>
      </c>
      <c r="EM31" s="53">
        <v>2.1991000000000001</v>
      </c>
      <c r="EN31" s="53">
        <v>0.83779999999999999</v>
      </c>
      <c r="EO31" s="53">
        <v>0.72650000000000003</v>
      </c>
      <c r="ER31" s="243">
        <v>9597</v>
      </c>
      <c r="ES31" s="53">
        <v>16.482800000000001</v>
      </c>
      <c r="ET31" s="53">
        <v>2.2088000000000001</v>
      </c>
      <c r="EU31" s="53">
        <v>0.84150000000000003</v>
      </c>
      <c r="EV31" s="53">
        <v>0.72970000000000002</v>
      </c>
      <c r="EY31" s="245">
        <v>9597</v>
      </c>
      <c r="EZ31" s="53">
        <v>16.504100000000001</v>
      </c>
      <c r="FA31" s="53">
        <v>2.2115999999999998</v>
      </c>
      <c r="FB31" s="53">
        <v>0.84260000000000002</v>
      </c>
      <c r="FC31" s="53">
        <v>0.73070000000000002</v>
      </c>
      <c r="FF31" s="249">
        <v>9597</v>
      </c>
      <c r="FG31" s="53">
        <v>16.537800000000001</v>
      </c>
      <c r="FH31" s="53">
        <v>2.2161</v>
      </c>
      <c r="FI31" s="53">
        <v>0.84430000000000005</v>
      </c>
      <c r="FJ31" s="53">
        <v>0.73219999999999996</v>
      </c>
      <c r="FM31" s="252">
        <v>9597</v>
      </c>
      <c r="FN31" s="53">
        <v>16.5547</v>
      </c>
      <c r="FO31" s="53">
        <v>2.2183999999999999</v>
      </c>
      <c r="FP31" s="53">
        <v>0.84519999999999995</v>
      </c>
      <c r="FQ31" s="53">
        <v>0.7329</v>
      </c>
      <c r="FT31" s="254">
        <v>9597</v>
      </c>
      <c r="FU31" s="53">
        <f>VLOOKUP(FT31,Sheet4!A33:F109,3,0)</f>
        <v>16.593499999999999</v>
      </c>
      <c r="FV31" s="53">
        <f>VLOOKUP(FT31,Sheet4!A33:F109,4,0)</f>
        <v>2.2235999999999998</v>
      </c>
      <c r="FW31" s="53">
        <f>VLOOKUP(FT31,Sheet4!A33:F109,5,0)</f>
        <v>0.84719999999999995</v>
      </c>
      <c r="FX31" s="53">
        <f>VLOOKUP(FT31,Sheet4!A33:F109,6,0)</f>
        <v>0.73460000000000003</v>
      </c>
    </row>
    <row r="32" spans="1:180" x14ac:dyDescent="0.25">
      <c r="A32" s="9">
        <v>9598</v>
      </c>
      <c r="B32" s="9">
        <v>14.3043</v>
      </c>
      <c r="C32" s="9">
        <v>1.9168000000000001</v>
      </c>
      <c r="D32" s="9">
        <v>0.73029999999999995</v>
      </c>
      <c r="E32" s="9">
        <v>0.63329999999999997</v>
      </c>
      <c r="H32" s="9">
        <v>9598</v>
      </c>
      <c r="I32" s="9">
        <v>14.811500000000001</v>
      </c>
      <c r="J32" s="9">
        <v>1.9847999999999999</v>
      </c>
      <c r="K32" s="9">
        <v>0.75619999999999998</v>
      </c>
      <c r="L32" s="9">
        <v>0.65569999999999995</v>
      </c>
      <c r="O32" s="148">
        <v>9598</v>
      </c>
      <c r="P32" s="148">
        <v>14.8367</v>
      </c>
      <c r="Q32" s="148">
        <v>1.9882</v>
      </c>
      <c r="R32" s="148">
        <v>0.75749999999999995</v>
      </c>
      <c r="S32" s="148">
        <v>0.65690000000000004</v>
      </c>
      <c r="V32" s="151">
        <v>9598</v>
      </c>
      <c r="W32" s="151">
        <v>14.898999999999999</v>
      </c>
      <c r="X32" s="151">
        <v>1.9964999999999999</v>
      </c>
      <c r="Y32" s="151">
        <v>0.76070000000000004</v>
      </c>
      <c r="Z32" s="151">
        <v>0.65959999999999996</v>
      </c>
      <c r="AC32" s="155">
        <v>9598</v>
      </c>
      <c r="AD32" s="155">
        <v>15.031000000000001</v>
      </c>
      <c r="AE32" s="155">
        <v>2.0142000000000002</v>
      </c>
      <c r="AF32" s="155">
        <v>0.76739999999999997</v>
      </c>
      <c r="AG32" s="155">
        <v>0.66549999999999998</v>
      </c>
      <c r="AJ32" s="168">
        <v>9598</v>
      </c>
      <c r="AK32" s="169">
        <v>15.198600000000001</v>
      </c>
      <c r="AL32" s="169">
        <v>2.0367000000000002</v>
      </c>
      <c r="AM32" s="169">
        <v>0.77600000000000002</v>
      </c>
      <c r="AN32" s="169">
        <v>0.67290000000000005</v>
      </c>
      <c r="AQ32" s="165">
        <v>9598</v>
      </c>
      <c r="AR32" s="167">
        <v>15.2662</v>
      </c>
      <c r="AS32" s="167">
        <v>2.0457000000000001</v>
      </c>
      <c r="AT32" s="167">
        <v>0.77939999999999998</v>
      </c>
      <c r="AU32" s="167">
        <v>0.67589999999999995</v>
      </c>
      <c r="AX32" s="165">
        <v>9598</v>
      </c>
      <c r="AY32" s="167">
        <v>15.3103</v>
      </c>
      <c r="AZ32" s="167">
        <v>2.0516000000000001</v>
      </c>
      <c r="BA32" s="167">
        <v>0.78169999999999995</v>
      </c>
      <c r="BB32" s="167">
        <v>0.67779999999999996</v>
      </c>
      <c r="BC32" s="3"/>
      <c r="BD32" s="182"/>
      <c r="BE32" s="165">
        <v>9598</v>
      </c>
      <c r="BF32" s="167">
        <v>15.3294</v>
      </c>
      <c r="BG32" s="167">
        <v>2.0541999999999998</v>
      </c>
      <c r="BH32" s="167">
        <v>0.78259999999999996</v>
      </c>
      <c r="BI32" s="167">
        <v>0.67869999999999997</v>
      </c>
      <c r="BL32" s="165">
        <v>9598</v>
      </c>
      <c r="BM32" s="167">
        <v>15.4298</v>
      </c>
      <c r="BN32" s="167">
        <v>2.0676999999999999</v>
      </c>
      <c r="BO32" s="167">
        <v>0.78779999999999994</v>
      </c>
      <c r="BP32" s="167">
        <v>0.68310000000000004</v>
      </c>
      <c r="BS32" s="165">
        <v>9598</v>
      </c>
      <c r="BT32" s="167">
        <v>15.5654</v>
      </c>
      <c r="BU32" s="167">
        <v>2.0857999999999999</v>
      </c>
      <c r="BV32" s="167">
        <v>0.79469999999999996</v>
      </c>
      <c r="BW32" s="167">
        <v>0.68910000000000005</v>
      </c>
      <c r="BZ32" s="165">
        <v>9598</v>
      </c>
      <c r="CA32" s="167">
        <v>15.608499999999999</v>
      </c>
      <c r="CB32" s="167">
        <v>2.0916000000000001</v>
      </c>
      <c r="CC32" s="167">
        <v>0.79690000000000005</v>
      </c>
      <c r="CD32" s="167">
        <v>0.69099999999999995</v>
      </c>
      <c r="CG32" s="165">
        <v>9598</v>
      </c>
      <c r="CH32" s="167">
        <v>15.6432</v>
      </c>
      <c r="CI32" s="167">
        <v>2.0962000000000001</v>
      </c>
      <c r="CJ32" s="167">
        <v>0.79869999999999997</v>
      </c>
      <c r="CK32" s="167">
        <v>0.69259999999999999</v>
      </c>
      <c r="CN32" s="168">
        <v>9598</v>
      </c>
      <c r="CO32" s="167">
        <v>15.724399999999999</v>
      </c>
      <c r="CP32" s="167">
        <v>2.1071</v>
      </c>
      <c r="CQ32" s="167">
        <v>0.80279999999999996</v>
      </c>
      <c r="CR32" s="167">
        <v>0.69620000000000004</v>
      </c>
      <c r="CU32" s="168">
        <v>9598</v>
      </c>
      <c r="CV32" s="167">
        <v>15.7515</v>
      </c>
      <c r="CW32" s="167">
        <v>2.1107999999999998</v>
      </c>
      <c r="CX32" s="167">
        <v>0.80420000000000003</v>
      </c>
      <c r="CY32" s="167">
        <v>0.69740000000000002</v>
      </c>
      <c r="DB32" s="168">
        <v>9598</v>
      </c>
      <c r="DC32" s="167">
        <v>15.780000000000001</v>
      </c>
      <c r="DD32" s="167">
        <v>2.1146000000000003</v>
      </c>
      <c r="DE32" s="167">
        <v>0.80569999999999997</v>
      </c>
      <c r="DF32" s="167">
        <v>0.6986</v>
      </c>
      <c r="DI32" s="168">
        <v>9598</v>
      </c>
      <c r="DJ32" s="167">
        <v>15.803900000000001</v>
      </c>
      <c r="DK32" s="167">
        <v>2.1177999999999999</v>
      </c>
      <c r="DL32" s="167">
        <v>0.80689999999999995</v>
      </c>
      <c r="DM32" s="167">
        <v>0.69969999999999999</v>
      </c>
      <c r="DN32" s="231"/>
      <c r="DO32" s="231"/>
      <c r="DP32" s="168">
        <v>9598</v>
      </c>
      <c r="DQ32" s="167">
        <v>15.837400000000001</v>
      </c>
      <c r="DR32" s="167">
        <v>2.1223000000000001</v>
      </c>
      <c r="DS32" s="167">
        <v>0.80859999999999999</v>
      </c>
      <c r="DT32" s="167">
        <v>0.70120000000000005</v>
      </c>
      <c r="DW32" s="168">
        <v>9598</v>
      </c>
      <c r="DX32" s="167">
        <v>15.875</v>
      </c>
      <c r="DY32" s="167">
        <v>2.1273</v>
      </c>
      <c r="DZ32" s="167">
        <v>0.8105</v>
      </c>
      <c r="EA32" s="167">
        <v>0.70279999999999998</v>
      </c>
      <c r="ED32" s="168">
        <v>9598</v>
      </c>
      <c r="EE32" s="167">
        <v>15.912100000000001</v>
      </c>
      <c r="EF32" s="167">
        <v>2.1322999999999999</v>
      </c>
      <c r="EG32" s="167">
        <v>0.81240000000000001</v>
      </c>
      <c r="EH32" s="167">
        <v>0.70450000000000002</v>
      </c>
      <c r="EK32" s="168">
        <v>9598</v>
      </c>
      <c r="EL32" s="167">
        <v>15.982799999999999</v>
      </c>
      <c r="EM32" s="167">
        <v>2.1417999999999999</v>
      </c>
      <c r="EN32" s="167">
        <v>0.81599999999999995</v>
      </c>
      <c r="EO32" s="167">
        <v>0.70760000000000001</v>
      </c>
      <c r="EP32" s="231"/>
      <c r="EQ32" s="231"/>
      <c r="ER32" s="168">
        <v>9598</v>
      </c>
      <c r="ES32" s="167">
        <v>16.055099999999999</v>
      </c>
      <c r="ET32" s="167">
        <v>2.1514000000000002</v>
      </c>
      <c r="EU32" s="167">
        <v>0.81969999999999998</v>
      </c>
      <c r="EV32" s="167">
        <v>0.71079999999999999</v>
      </c>
      <c r="EY32" s="168">
        <v>9598</v>
      </c>
      <c r="EZ32" s="167">
        <v>16.0764</v>
      </c>
      <c r="FA32" s="167">
        <v>2.1543000000000001</v>
      </c>
      <c r="FB32" s="167">
        <v>0.82079999999999997</v>
      </c>
      <c r="FC32" s="167">
        <v>0.7117</v>
      </c>
      <c r="FF32" s="168">
        <v>9598</v>
      </c>
      <c r="FG32" s="167">
        <v>16.110099999999999</v>
      </c>
      <c r="FH32" s="167">
        <v>2.1587999999999998</v>
      </c>
      <c r="FI32" s="167">
        <v>0.82250000000000001</v>
      </c>
      <c r="FJ32" s="167">
        <v>0.71319999999999995</v>
      </c>
      <c r="FM32" s="168">
        <v>9598</v>
      </c>
      <c r="FN32" s="167">
        <v>16.126999999999999</v>
      </c>
      <c r="FO32" s="167">
        <v>2.1610999999999998</v>
      </c>
      <c r="FP32" s="167">
        <v>0.82340000000000002</v>
      </c>
      <c r="FQ32" s="167">
        <v>0.71399999999999997</v>
      </c>
      <c r="FT32" s="168">
        <v>9598</v>
      </c>
      <c r="FU32" s="167">
        <f>VLOOKUP(FT32,Sheet4!A34:F110,3,0)</f>
        <v>16.165800000000001</v>
      </c>
      <c r="FV32" s="167">
        <f>VLOOKUP(FT32,Sheet4!A34:F110,4,0)</f>
        <v>2.1663000000000001</v>
      </c>
      <c r="FW32" s="167">
        <f>VLOOKUP(FT32,Sheet4!A34:F110,5,0)</f>
        <v>0.82540000000000002</v>
      </c>
      <c r="FX32" s="167">
        <f>VLOOKUP(FT32,Sheet4!A34:F110,6,0)</f>
        <v>0.7157</v>
      </c>
    </row>
    <row r="33" spans="1:180" x14ac:dyDescent="0.25">
      <c r="A33" s="9">
        <v>9635</v>
      </c>
      <c r="B33" s="9">
        <v>11.264099999999999</v>
      </c>
      <c r="C33" s="9">
        <v>1.5094000000000001</v>
      </c>
      <c r="D33" s="9">
        <v>0.57509999999999994</v>
      </c>
      <c r="E33" s="9">
        <v>0.49869999999999998</v>
      </c>
      <c r="H33" s="9">
        <v>9635</v>
      </c>
      <c r="I33" s="9">
        <v>11.587999999999999</v>
      </c>
      <c r="J33" s="9">
        <v>1.5528</v>
      </c>
      <c r="K33" s="9">
        <v>0.59160000000000001</v>
      </c>
      <c r="L33" s="9">
        <v>0.51300000000000001</v>
      </c>
      <c r="O33" s="154">
        <v>9635</v>
      </c>
      <c r="P33" s="154">
        <v>11.604100000000001</v>
      </c>
      <c r="Q33" s="154">
        <v>1.5549999999999999</v>
      </c>
      <c r="R33" s="154">
        <v>0.59250000000000003</v>
      </c>
      <c r="S33" s="154">
        <v>0.51370000000000005</v>
      </c>
      <c r="V33" s="151">
        <v>9635</v>
      </c>
      <c r="W33" s="151">
        <v>11.6439</v>
      </c>
      <c r="X33" s="151">
        <v>1.5603</v>
      </c>
      <c r="Y33" s="151">
        <v>0.59450000000000003</v>
      </c>
      <c r="Z33" s="151">
        <v>0.51549999999999996</v>
      </c>
      <c r="AC33" s="155">
        <v>9635</v>
      </c>
      <c r="AD33" s="155">
        <v>11.728199999999999</v>
      </c>
      <c r="AE33" s="155">
        <v>1.5716000000000001</v>
      </c>
      <c r="AF33" s="155">
        <v>0.5988</v>
      </c>
      <c r="AG33" s="155">
        <v>0.51919999999999999</v>
      </c>
      <c r="AJ33" s="160">
        <v>9635</v>
      </c>
      <c r="AK33" s="6">
        <v>11.8352</v>
      </c>
      <c r="AL33" s="6">
        <v>1.5860000000000001</v>
      </c>
      <c r="AM33" s="6">
        <v>0.60429999999999995</v>
      </c>
      <c r="AN33" s="6">
        <v>0.52400000000000002</v>
      </c>
      <c r="AQ33" s="129">
        <v>9635</v>
      </c>
      <c r="AR33" s="53">
        <v>11.878399999999999</v>
      </c>
      <c r="AS33" s="53">
        <v>1.5918000000000001</v>
      </c>
      <c r="AT33" s="53">
        <v>0.60650000000000004</v>
      </c>
      <c r="AU33" s="53">
        <v>0.52590000000000003</v>
      </c>
      <c r="AX33" s="129">
        <v>9635</v>
      </c>
      <c r="AY33" s="53">
        <v>11.906499999999999</v>
      </c>
      <c r="AZ33" s="53">
        <v>1.5954999999999999</v>
      </c>
      <c r="BA33" s="53">
        <v>0.6079</v>
      </c>
      <c r="BB33" s="53">
        <v>0.52710000000000001</v>
      </c>
      <c r="BC33" s="3"/>
      <c r="BD33" s="182"/>
      <c r="BE33" s="129">
        <v>9635</v>
      </c>
      <c r="BF33" s="53">
        <v>11.918699999999999</v>
      </c>
      <c r="BG33" s="53">
        <v>1.5972</v>
      </c>
      <c r="BH33" s="53">
        <v>0.60850000000000004</v>
      </c>
      <c r="BI33" s="53">
        <v>0.52769999999999995</v>
      </c>
      <c r="BL33" s="129">
        <v>9635</v>
      </c>
      <c r="BM33" s="53">
        <v>11.982900000000001</v>
      </c>
      <c r="BN33" s="53">
        <v>1.6057999999999999</v>
      </c>
      <c r="BO33" s="53">
        <v>0.61180000000000001</v>
      </c>
      <c r="BP33" s="53">
        <v>0.53049999999999997</v>
      </c>
      <c r="BS33" s="129">
        <v>9635</v>
      </c>
      <c r="BT33" s="53">
        <v>12.0695</v>
      </c>
      <c r="BU33" s="53">
        <v>1.6173999999999999</v>
      </c>
      <c r="BV33" s="53">
        <v>0.61619999999999997</v>
      </c>
      <c r="BW33" s="53">
        <v>0.5343</v>
      </c>
      <c r="BZ33" s="129">
        <v>9635</v>
      </c>
      <c r="CA33" s="53">
        <v>12.097</v>
      </c>
      <c r="CB33" s="53">
        <v>1.621</v>
      </c>
      <c r="CC33" s="53">
        <v>0.61760000000000004</v>
      </c>
      <c r="CD33" s="53">
        <v>0.53559999999999997</v>
      </c>
      <c r="CG33" s="129">
        <v>9635</v>
      </c>
      <c r="CH33" s="53">
        <v>12.1191</v>
      </c>
      <c r="CI33" s="53">
        <v>1.6240000000000001</v>
      </c>
      <c r="CJ33" s="53">
        <v>0.61870000000000003</v>
      </c>
      <c r="CK33" s="53">
        <v>0.53649999999999998</v>
      </c>
      <c r="CN33" s="207">
        <v>9635</v>
      </c>
      <c r="CO33" s="53">
        <v>12.170999999999999</v>
      </c>
      <c r="CP33" s="53">
        <v>1.631</v>
      </c>
      <c r="CQ33" s="53">
        <v>0.62139999999999995</v>
      </c>
      <c r="CR33" s="53">
        <v>0.53879999999999995</v>
      </c>
      <c r="CU33" s="215">
        <v>9635</v>
      </c>
      <c r="CV33" s="53">
        <v>12.1883</v>
      </c>
      <c r="CW33" s="53">
        <v>1.6333</v>
      </c>
      <c r="CX33" s="53">
        <v>0.62229999999999996</v>
      </c>
      <c r="CY33" s="53">
        <v>0.53959999999999997</v>
      </c>
      <c r="DB33" s="217">
        <v>9635</v>
      </c>
      <c r="DC33" s="53">
        <v>12.2065</v>
      </c>
      <c r="DD33" s="53">
        <v>1.6356999999999999</v>
      </c>
      <c r="DE33" s="53">
        <v>0.62319999999999998</v>
      </c>
      <c r="DF33" s="53">
        <v>0.54039999999999999</v>
      </c>
      <c r="DI33" s="222">
        <v>9635</v>
      </c>
      <c r="DJ33" s="53">
        <v>12.2218</v>
      </c>
      <c r="DK33" s="53">
        <v>1.6377999999999999</v>
      </c>
      <c r="DL33" s="53">
        <v>0.624</v>
      </c>
      <c r="DM33" s="53">
        <v>0.54110000000000003</v>
      </c>
      <c r="DN33" s="231"/>
      <c r="DO33" s="231"/>
      <c r="DP33" s="227">
        <v>9635</v>
      </c>
      <c r="DQ33" s="53">
        <v>12.2432</v>
      </c>
      <c r="DR33" s="53">
        <v>1.6406000000000001</v>
      </c>
      <c r="DS33" s="53">
        <v>0.62509999999999999</v>
      </c>
      <c r="DT33" s="53">
        <v>0.54200000000000004</v>
      </c>
      <c r="DW33" s="235">
        <v>9635</v>
      </c>
      <c r="DX33" s="53">
        <v>12.267200000000001</v>
      </c>
      <c r="DY33" s="53">
        <v>1.6438999999999999</v>
      </c>
      <c r="DZ33" s="53">
        <v>0.62629999999999997</v>
      </c>
      <c r="EA33" s="53">
        <v>0.54310000000000003</v>
      </c>
      <c r="ED33" s="237">
        <v>9635</v>
      </c>
      <c r="EE33" s="53">
        <v>12.290900000000001</v>
      </c>
      <c r="EF33" s="53">
        <v>1.647</v>
      </c>
      <c r="EG33" s="53">
        <v>0.62749999999999995</v>
      </c>
      <c r="EH33" s="53">
        <v>0.54410000000000003</v>
      </c>
      <c r="EK33" s="239">
        <v>9635</v>
      </c>
      <c r="EL33" s="53">
        <v>12.3361</v>
      </c>
      <c r="EM33" s="53">
        <v>1.6531</v>
      </c>
      <c r="EN33" s="53">
        <v>0.62980000000000003</v>
      </c>
      <c r="EO33" s="53">
        <v>0.54610000000000003</v>
      </c>
      <c r="ER33" s="243">
        <v>9635</v>
      </c>
      <c r="ES33" s="53">
        <v>12.382300000000001</v>
      </c>
      <c r="ET33" s="53">
        <v>1.6593</v>
      </c>
      <c r="EU33" s="53">
        <v>0.63219999999999998</v>
      </c>
      <c r="EV33" s="53">
        <v>0.54820000000000002</v>
      </c>
      <c r="EY33" s="245">
        <v>9635</v>
      </c>
      <c r="EZ33" s="53">
        <v>12.395899999999999</v>
      </c>
      <c r="FA33" s="53">
        <v>1.6611</v>
      </c>
      <c r="FB33" s="53">
        <v>0.63290000000000002</v>
      </c>
      <c r="FC33" s="53">
        <v>0.54879999999999995</v>
      </c>
      <c r="FF33" s="249">
        <v>9635</v>
      </c>
      <c r="FG33" s="53">
        <v>12.4175</v>
      </c>
      <c r="FH33" s="53">
        <v>1.6639999999999999</v>
      </c>
      <c r="FI33" s="53">
        <v>0.63400000000000001</v>
      </c>
      <c r="FJ33" s="53">
        <v>0.54969999999999997</v>
      </c>
      <c r="FM33" s="252">
        <v>9635</v>
      </c>
      <c r="FN33" s="53">
        <v>12.4283</v>
      </c>
      <c r="FO33" s="53">
        <v>1.6654</v>
      </c>
      <c r="FP33" s="53">
        <v>0.63449999999999995</v>
      </c>
      <c r="FQ33" s="53">
        <v>0.55020000000000002</v>
      </c>
      <c r="FT33" s="254">
        <v>9635</v>
      </c>
      <c r="FU33" s="53">
        <f>VLOOKUP(FT33,Sheet4!A35:F111,3,0)</f>
        <v>12.453099999999999</v>
      </c>
      <c r="FV33" s="53">
        <f>VLOOKUP(FT33,Sheet4!A35:F111,4,0)</f>
        <v>1.6688000000000001</v>
      </c>
      <c r="FW33" s="53">
        <f>VLOOKUP(FT33,Sheet4!A35:F111,5,0)</f>
        <v>0.63580000000000003</v>
      </c>
      <c r="FX33" s="53">
        <f>VLOOKUP(FT33,Sheet4!A35:F111,6,0)</f>
        <v>0.55130000000000001</v>
      </c>
    </row>
    <row r="34" spans="1:180" x14ac:dyDescent="0.25">
      <c r="A34" s="9">
        <v>9636</v>
      </c>
      <c r="B34" s="9">
        <v>7.0101000000000004</v>
      </c>
      <c r="C34" s="9">
        <v>0.93940000000000001</v>
      </c>
      <c r="D34" s="9">
        <v>0.3579</v>
      </c>
      <c r="E34" s="9">
        <v>0.31040000000000001</v>
      </c>
      <c r="H34" s="9">
        <v>9636</v>
      </c>
      <c r="I34" s="9">
        <v>7.3339999999999996</v>
      </c>
      <c r="J34" s="9">
        <v>0.98280000000000001</v>
      </c>
      <c r="K34" s="9">
        <v>0.37440000000000001</v>
      </c>
      <c r="L34" s="9">
        <v>0.32469999999999999</v>
      </c>
      <c r="O34" s="148">
        <v>9636</v>
      </c>
      <c r="P34" s="148">
        <v>7.3501000000000003</v>
      </c>
      <c r="Q34" s="148">
        <v>0.9849</v>
      </c>
      <c r="R34" s="148">
        <v>0.37530000000000002</v>
      </c>
      <c r="S34" s="148">
        <v>0.32540000000000002</v>
      </c>
      <c r="V34" s="151">
        <v>9636</v>
      </c>
      <c r="W34" s="151">
        <v>7.3898999999999999</v>
      </c>
      <c r="X34" s="151">
        <v>0.99029999999999996</v>
      </c>
      <c r="Y34" s="151">
        <v>0.37730000000000002</v>
      </c>
      <c r="Z34" s="151">
        <v>0.32719999999999999</v>
      </c>
      <c r="AC34" s="155">
        <v>9636</v>
      </c>
      <c r="AD34" s="155">
        <v>7.4741999999999997</v>
      </c>
      <c r="AE34" s="155">
        <v>1.0016</v>
      </c>
      <c r="AF34" s="155">
        <v>0.38159999999999999</v>
      </c>
      <c r="AG34" s="155">
        <v>0.33090000000000003</v>
      </c>
      <c r="AJ34" s="168">
        <v>9636</v>
      </c>
      <c r="AK34" s="169">
        <v>7.5811999999999999</v>
      </c>
      <c r="AL34" s="169">
        <v>1.0159</v>
      </c>
      <c r="AM34" s="169">
        <v>0.3871</v>
      </c>
      <c r="AN34" s="169">
        <v>0.33560000000000001</v>
      </c>
      <c r="AQ34" s="165">
        <v>9636</v>
      </c>
      <c r="AR34" s="167">
        <v>7.6243999999999996</v>
      </c>
      <c r="AS34" s="167">
        <v>1.0217000000000001</v>
      </c>
      <c r="AT34" s="167">
        <v>0.38929999999999998</v>
      </c>
      <c r="AU34" s="167">
        <v>0.33750000000000002</v>
      </c>
      <c r="AX34" s="165">
        <v>9636</v>
      </c>
      <c r="AY34" s="167">
        <v>7.6524999999999999</v>
      </c>
      <c r="AZ34" s="167">
        <v>1.0255000000000001</v>
      </c>
      <c r="BA34" s="167">
        <v>0.39069999999999999</v>
      </c>
      <c r="BB34" s="167">
        <v>0.33879999999999999</v>
      </c>
      <c r="BC34" s="3"/>
      <c r="BD34" s="182"/>
      <c r="BE34" s="165">
        <v>9636</v>
      </c>
      <c r="BF34" s="167">
        <v>7.6646999999999998</v>
      </c>
      <c r="BG34" s="167">
        <v>1.0270999999999999</v>
      </c>
      <c r="BH34" s="167">
        <v>0.39129999999999998</v>
      </c>
      <c r="BI34" s="167">
        <v>0.33929999999999999</v>
      </c>
      <c r="BL34" s="165">
        <v>9636</v>
      </c>
      <c r="BM34" s="167">
        <v>7.7289000000000003</v>
      </c>
      <c r="BN34" s="167">
        <v>1.0357000000000001</v>
      </c>
      <c r="BO34" s="167">
        <v>0.39460000000000001</v>
      </c>
      <c r="BP34" s="167">
        <v>0.3422</v>
      </c>
      <c r="BS34" s="165">
        <v>9636</v>
      </c>
      <c r="BT34" s="167">
        <v>7.8155000000000001</v>
      </c>
      <c r="BU34" s="167">
        <v>1.0472999999999999</v>
      </c>
      <c r="BV34" s="167">
        <v>0.39900000000000002</v>
      </c>
      <c r="BW34" s="167">
        <v>0.34599999999999997</v>
      </c>
      <c r="BZ34" s="165">
        <v>9636</v>
      </c>
      <c r="CA34" s="167">
        <v>7.843</v>
      </c>
      <c r="CB34" s="167">
        <v>1.0509999999999999</v>
      </c>
      <c r="CC34" s="167">
        <v>0.40039999999999998</v>
      </c>
      <c r="CD34" s="167">
        <v>0.34720000000000001</v>
      </c>
      <c r="CG34" s="165">
        <v>9636</v>
      </c>
      <c r="CH34" s="167">
        <v>7.8651</v>
      </c>
      <c r="CI34" s="167">
        <v>1.054</v>
      </c>
      <c r="CJ34" s="167">
        <v>0.40160000000000001</v>
      </c>
      <c r="CK34" s="167">
        <v>0.34820000000000001</v>
      </c>
      <c r="CN34" s="168">
        <v>9636</v>
      </c>
      <c r="CO34" s="167">
        <v>7.9169999999999998</v>
      </c>
      <c r="CP34" s="167">
        <v>1.0609</v>
      </c>
      <c r="CQ34" s="167">
        <v>0.4042</v>
      </c>
      <c r="CR34" s="167">
        <v>0.35049999999999998</v>
      </c>
      <c r="CU34" s="168">
        <v>9636</v>
      </c>
      <c r="CV34" s="167">
        <v>7.9343000000000004</v>
      </c>
      <c r="CW34" s="167">
        <v>1.0631999999999999</v>
      </c>
      <c r="CX34" s="167">
        <v>0.40510000000000002</v>
      </c>
      <c r="CY34" s="167">
        <v>0.3513</v>
      </c>
      <c r="DB34" s="168">
        <v>9636</v>
      </c>
      <c r="DC34" s="167">
        <v>7.9525000000000006</v>
      </c>
      <c r="DD34" s="167">
        <v>1.0657000000000001</v>
      </c>
      <c r="DE34" s="167">
        <v>0.40600000000000003</v>
      </c>
      <c r="DF34" s="167">
        <v>0.35210000000000002</v>
      </c>
      <c r="DI34" s="168">
        <v>9636</v>
      </c>
      <c r="DJ34" s="167">
        <v>7.9678000000000004</v>
      </c>
      <c r="DK34" s="167">
        <v>1.0677000000000001</v>
      </c>
      <c r="DL34" s="167">
        <v>0.40679999999999999</v>
      </c>
      <c r="DM34" s="167">
        <v>0.3528</v>
      </c>
      <c r="DN34" s="231"/>
      <c r="DO34" s="231"/>
      <c r="DP34" s="168">
        <v>9636</v>
      </c>
      <c r="DQ34" s="167">
        <v>7.9892000000000003</v>
      </c>
      <c r="DR34" s="167">
        <v>1.0706</v>
      </c>
      <c r="DS34" s="167">
        <v>0.40789999999999998</v>
      </c>
      <c r="DT34" s="167">
        <v>0.35370000000000001</v>
      </c>
      <c r="DW34" s="168">
        <v>9636</v>
      </c>
      <c r="DX34" s="167">
        <v>8.0131999999999994</v>
      </c>
      <c r="DY34" s="167">
        <v>1.0738000000000001</v>
      </c>
      <c r="DZ34" s="167">
        <v>0.40910000000000002</v>
      </c>
      <c r="EA34" s="167">
        <v>0.3548</v>
      </c>
      <c r="ED34" s="168">
        <v>9636</v>
      </c>
      <c r="EE34" s="167">
        <v>8.0368999999999993</v>
      </c>
      <c r="EF34" s="167">
        <v>1.077</v>
      </c>
      <c r="EG34" s="167">
        <v>0.4103</v>
      </c>
      <c r="EH34" s="167">
        <v>0.35580000000000001</v>
      </c>
      <c r="EK34" s="168">
        <v>9636</v>
      </c>
      <c r="EL34" s="167">
        <v>8.0821000000000005</v>
      </c>
      <c r="EM34" s="167">
        <v>1.083</v>
      </c>
      <c r="EN34" s="167">
        <v>0.41260000000000002</v>
      </c>
      <c r="EO34" s="167">
        <v>0.35780000000000001</v>
      </c>
      <c r="ER34" s="168">
        <v>9636</v>
      </c>
      <c r="ES34" s="167">
        <v>8.1282999999999994</v>
      </c>
      <c r="ET34" s="167">
        <v>1.0891999999999999</v>
      </c>
      <c r="EU34" s="167">
        <v>0.41499999999999998</v>
      </c>
      <c r="EV34" s="167">
        <v>0.3599</v>
      </c>
      <c r="EY34" s="168">
        <v>9636</v>
      </c>
      <c r="EZ34" s="167">
        <v>8.1418999999999997</v>
      </c>
      <c r="FA34" s="167">
        <v>1.091</v>
      </c>
      <c r="FB34" s="167">
        <v>0.41570000000000001</v>
      </c>
      <c r="FC34" s="167">
        <v>0.36049999999999999</v>
      </c>
      <c r="FF34" s="168">
        <v>9636</v>
      </c>
      <c r="FG34" s="167">
        <v>8.1635000000000009</v>
      </c>
      <c r="FH34" s="167">
        <v>1.0939000000000001</v>
      </c>
      <c r="FI34" s="167">
        <v>0.4168</v>
      </c>
      <c r="FJ34" s="167">
        <v>0.3614</v>
      </c>
      <c r="FM34" s="168">
        <v>9636</v>
      </c>
      <c r="FN34" s="167">
        <v>8.1743000000000006</v>
      </c>
      <c r="FO34" s="167">
        <v>1.0953999999999999</v>
      </c>
      <c r="FP34" s="167">
        <v>0.4173</v>
      </c>
      <c r="FQ34" s="167">
        <v>0.3619</v>
      </c>
      <c r="FT34" s="168">
        <v>9636</v>
      </c>
      <c r="FU34" s="167">
        <f>VLOOKUP(FT34,Sheet4!A36:F112,3,0)</f>
        <v>8.1990999999999996</v>
      </c>
      <c r="FV34" s="167">
        <f>VLOOKUP(FT34,Sheet4!A36:F112,4,0)</f>
        <v>1.0987</v>
      </c>
      <c r="FW34" s="167">
        <f>VLOOKUP(FT34,Sheet4!A36:F112,5,0)</f>
        <v>0.41860000000000003</v>
      </c>
      <c r="FX34" s="167">
        <f>VLOOKUP(FT34,Sheet4!A36:F112,6,0)</f>
        <v>0.36299999999999999</v>
      </c>
    </row>
    <row r="35" spans="1:180" x14ac:dyDescent="0.25">
      <c r="A35" s="9">
        <v>9637</v>
      </c>
      <c r="B35" s="9">
        <v>6.9805000000000001</v>
      </c>
      <c r="C35" s="9">
        <v>0.93540000000000001</v>
      </c>
      <c r="D35" s="9">
        <v>0.35639999999999999</v>
      </c>
      <c r="E35" s="9">
        <v>0.309</v>
      </c>
      <c r="H35" s="9">
        <v>9637</v>
      </c>
      <c r="I35" s="9">
        <v>7.3044000000000002</v>
      </c>
      <c r="J35" s="9">
        <v>0.9788</v>
      </c>
      <c r="K35" s="9">
        <v>0.37290000000000001</v>
      </c>
      <c r="L35" s="9">
        <v>0.32340000000000002</v>
      </c>
      <c r="O35" s="154">
        <v>9637</v>
      </c>
      <c r="P35" s="154">
        <v>7.3205</v>
      </c>
      <c r="Q35" s="154">
        <v>0.98099999999999998</v>
      </c>
      <c r="R35" s="154">
        <v>0.37380000000000002</v>
      </c>
      <c r="S35" s="154">
        <v>0.3241</v>
      </c>
      <c r="V35" s="151">
        <v>9637</v>
      </c>
      <c r="W35" s="151">
        <v>7.3602999999999996</v>
      </c>
      <c r="X35" s="151">
        <v>0.98629999999999995</v>
      </c>
      <c r="Y35" s="151">
        <v>0.37580000000000002</v>
      </c>
      <c r="Z35" s="151">
        <v>0.32590000000000002</v>
      </c>
      <c r="AC35" s="155">
        <v>9637</v>
      </c>
      <c r="AD35" s="155">
        <v>7.4446000000000003</v>
      </c>
      <c r="AE35" s="155">
        <v>0.99760000000000004</v>
      </c>
      <c r="AF35" s="155">
        <v>0.38009999999999999</v>
      </c>
      <c r="AG35" s="155">
        <v>0.3296</v>
      </c>
      <c r="AJ35" s="160">
        <v>9637</v>
      </c>
      <c r="AK35" s="6">
        <v>7.5515999999999996</v>
      </c>
      <c r="AL35" s="6">
        <v>1.0119</v>
      </c>
      <c r="AM35" s="6">
        <v>0.3856</v>
      </c>
      <c r="AN35" s="6">
        <v>0.33429999999999999</v>
      </c>
      <c r="AQ35" s="129">
        <v>9637</v>
      </c>
      <c r="AR35" s="53">
        <v>7.5948000000000002</v>
      </c>
      <c r="AS35" s="53">
        <v>1.0177</v>
      </c>
      <c r="AT35" s="53">
        <v>0.38779999999999998</v>
      </c>
      <c r="AU35" s="53">
        <v>0.3362</v>
      </c>
      <c r="AX35" s="129">
        <v>9637</v>
      </c>
      <c r="AY35" s="53">
        <v>7.6228999999999996</v>
      </c>
      <c r="AZ35" s="53">
        <v>1.0215000000000001</v>
      </c>
      <c r="BA35" s="53">
        <v>0.38919999999999999</v>
      </c>
      <c r="BB35" s="53">
        <v>0.33750000000000002</v>
      </c>
      <c r="BC35" s="3"/>
      <c r="BD35" s="182"/>
      <c r="BE35" s="129">
        <v>9637</v>
      </c>
      <c r="BF35" s="53">
        <v>7.6351000000000004</v>
      </c>
      <c r="BG35" s="53">
        <v>1.0230999999999999</v>
      </c>
      <c r="BH35" s="53">
        <v>0.38979999999999998</v>
      </c>
      <c r="BI35" s="53">
        <v>0.33800000000000002</v>
      </c>
      <c r="BL35" s="129">
        <v>9637</v>
      </c>
      <c r="BM35" s="53">
        <v>7.6993</v>
      </c>
      <c r="BN35" s="53">
        <v>1.0317000000000001</v>
      </c>
      <c r="BO35" s="53">
        <v>0.3931</v>
      </c>
      <c r="BP35" s="53">
        <v>0.34089999999999998</v>
      </c>
      <c r="BS35" s="129">
        <v>9637</v>
      </c>
      <c r="BT35" s="53">
        <v>7.7858999999999998</v>
      </c>
      <c r="BU35" s="53">
        <v>1.0432999999999999</v>
      </c>
      <c r="BV35" s="53">
        <v>0.39750000000000002</v>
      </c>
      <c r="BW35" s="53">
        <v>0.34470000000000001</v>
      </c>
      <c r="BZ35" s="129">
        <v>9637</v>
      </c>
      <c r="CA35" s="53">
        <v>7.8133999999999997</v>
      </c>
      <c r="CB35" s="53">
        <v>1.0469999999999999</v>
      </c>
      <c r="CC35" s="53">
        <v>0.39889999999999998</v>
      </c>
      <c r="CD35" s="53">
        <v>0.34589999999999999</v>
      </c>
      <c r="CG35" s="129">
        <v>9637</v>
      </c>
      <c r="CH35" s="53">
        <v>7.8354999999999997</v>
      </c>
      <c r="CI35" s="53">
        <v>1.05</v>
      </c>
      <c r="CJ35" s="53">
        <v>0.4</v>
      </c>
      <c r="CK35" s="53">
        <v>0.34689999999999999</v>
      </c>
      <c r="CN35" s="207">
        <v>9637</v>
      </c>
      <c r="CO35" s="53">
        <v>7.8874000000000004</v>
      </c>
      <c r="CP35" s="53">
        <v>1.0569</v>
      </c>
      <c r="CQ35" s="53">
        <v>0.4027</v>
      </c>
      <c r="CR35" s="53">
        <v>0.34920000000000001</v>
      </c>
      <c r="CU35" s="215">
        <v>9637</v>
      </c>
      <c r="CV35" s="53">
        <v>7.9047000000000001</v>
      </c>
      <c r="CW35" s="53">
        <v>1.0592999999999999</v>
      </c>
      <c r="CX35" s="53">
        <v>0.40360000000000001</v>
      </c>
      <c r="CY35" s="53">
        <v>0.35</v>
      </c>
      <c r="DB35" s="217">
        <v>9637</v>
      </c>
      <c r="DC35" s="53">
        <v>7.9229000000000003</v>
      </c>
      <c r="DD35" s="53">
        <v>1.0617000000000001</v>
      </c>
      <c r="DE35" s="53">
        <v>0.40450000000000003</v>
      </c>
      <c r="DF35" s="53">
        <v>0.3508</v>
      </c>
      <c r="DI35" s="222">
        <v>9637</v>
      </c>
      <c r="DJ35" s="53">
        <v>7.9382000000000001</v>
      </c>
      <c r="DK35" s="53">
        <v>1.0637000000000001</v>
      </c>
      <c r="DL35" s="53">
        <v>0.40529999999999999</v>
      </c>
      <c r="DM35" s="53">
        <v>0.35139999999999999</v>
      </c>
      <c r="DN35" s="231"/>
      <c r="DO35" s="231"/>
      <c r="DP35" s="227">
        <v>9637</v>
      </c>
      <c r="DQ35" s="53">
        <v>7.9596</v>
      </c>
      <c r="DR35" s="53">
        <v>1.0666</v>
      </c>
      <c r="DS35" s="53">
        <v>0.40639999999999998</v>
      </c>
      <c r="DT35" s="53">
        <v>0.35239999999999999</v>
      </c>
      <c r="DW35" s="235">
        <v>9637</v>
      </c>
      <c r="DX35" s="53">
        <v>7.9836</v>
      </c>
      <c r="DY35" s="53">
        <v>1.0698000000000001</v>
      </c>
      <c r="DZ35" s="53">
        <v>0.40760000000000002</v>
      </c>
      <c r="EA35" s="53">
        <v>0.35349999999999998</v>
      </c>
      <c r="ED35" s="237">
        <v>9637</v>
      </c>
      <c r="EE35" s="53">
        <v>8.0073000000000008</v>
      </c>
      <c r="EF35" s="53">
        <v>1.073</v>
      </c>
      <c r="EG35" s="53">
        <v>0.4088</v>
      </c>
      <c r="EH35" s="53">
        <v>0.35449999999999998</v>
      </c>
      <c r="EK35" s="239">
        <v>9637</v>
      </c>
      <c r="EL35" s="53">
        <v>8.0525000000000002</v>
      </c>
      <c r="EM35" s="53">
        <v>1.0790999999999999</v>
      </c>
      <c r="EN35" s="53">
        <v>0.41110000000000002</v>
      </c>
      <c r="EO35" s="53">
        <v>0.35649999999999998</v>
      </c>
      <c r="ER35" s="243">
        <v>9637</v>
      </c>
      <c r="ES35" s="53">
        <v>8.0986999999999991</v>
      </c>
      <c r="ET35" s="53">
        <v>1.0852999999999999</v>
      </c>
      <c r="EU35" s="53">
        <v>0.41349999999999998</v>
      </c>
      <c r="EV35" s="53">
        <v>0.35849999999999999</v>
      </c>
      <c r="EY35" s="245">
        <v>9637</v>
      </c>
      <c r="EZ35" s="53">
        <v>8.1122999999999994</v>
      </c>
      <c r="FA35" s="53">
        <v>1.0871</v>
      </c>
      <c r="FB35" s="53">
        <v>0.41420000000000001</v>
      </c>
      <c r="FC35" s="53">
        <v>0.35909999999999997</v>
      </c>
      <c r="FF35" s="249">
        <v>9637</v>
      </c>
      <c r="FG35" s="53">
        <v>8.1339000000000006</v>
      </c>
      <c r="FH35" s="53">
        <v>1.0900000000000001</v>
      </c>
      <c r="FI35" s="53">
        <v>0.4153</v>
      </c>
      <c r="FJ35" s="53">
        <v>0.36009999999999998</v>
      </c>
      <c r="FM35" s="252">
        <v>9637</v>
      </c>
      <c r="FN35" s="53">
        <v>8.1447000000000003</v>
      </c>
      <c r="FO35" s="53">
        <v>1.0913999999999999</v>
      </c>
      <c r="FP35" s="53">
        <v>0.4158</v>
      </c>
      <c r="FQ35" s="53">
        <v>0.36059999999999998</v>
      </c>
      <c r="FT35" s="254">
        <v>9637</v>
      </c>
      <c r="FU35" s="53">
        <f>VLOOKUP(FT35,Sheet4!A37:F113,3,0)</f>
        <v>8.1694999999999993</v>
      </c>
      <c r="FV35" s="53">
        <f>VLOOKUP(FT35,Sheet4!A37:F113,4,0)</f>
        <v>1.0947</v>
      </c>
      <c r="FW35" s="53">
        <f>VLOOKUP(FT35,Sheet4!A37:F113,5,0)</f>
        <v>0.41710000000000003</v>
      </c>
      <c r="FX35" s="53">
        <f>VLOOKUP(FT35,Sheet4!A37:F113,6,0)</f>
        <v>0.36170000000000002</v>
      </c>
    </row>
    <row r="36" spans="1:180" x14ac:dyDescent="0.25">
      <c r="A36" s="9">
        <v>9638</v>
      </c>
      <c r="B36" s="9">
        <v>3.1583000000000001</v>
      </c>
      <c r="C36" s="9">
        <v>0.42320000000000002</v>
      </c>
      <c r="D36" s="9">
        <v>0.16120000000000001</v>
      </c>
      <c r="E36" s="9">
        <v>0.13980000000000001</v>
      </c>
      <c r="H36" s="9">
        <v>9638</v>
      </c>
      <c r="I36" s="9">
        <v>3.5706000000000002</v>
      </c>
      <c r="J36" s="9">
        <v>0.47849999999999998</v>
      </c>
      <c r="K36" s="9">
        <v>0.18229999999999999</v>
      </c>
      <c r="L36" s="9">
        <v>0.15809999999999999</v>
      </c>
      <c r="O36" s="148">
        <v>9638</v>
      </c>
      <c r="P36" s="148">
        <v>3.5911</v>
      </c>
      <c r="Q36" s="148">
        <v>0.48120000000000002</v>
      </c>
      <c r="R36" s="148">
        <v>0.18329999999999999</v>
      </c>
      <c r="S36" s="148">
        <v>0.159</v>
      </c>
      <c r="V36" s="151">
        <v>9638</v>
      </c>
      <c r="W36" s="151">
        <v>3.6417999999999999</v>
      </c>
      <c r="X36" s="151">
        <v>0.48799999999999999</v>
      </c>
      <c r="Y36" s="151">
        <v>0.18590000000000001</v>
      </c>
      <c r="Z36" s="151">
        <v>0.16120000000000001</v>
      </c>
      <c r="AC36" s="155">
        <v>9638</v>
      </c>
      <c r="AD36" s="155">
        <v>3.7490999999999999</v>
      </c>
      <c r="AE36" s="155">
        <v>0.50239999999999996</v>
      </c>
      <c r="AF36" s="155">
        <v>0.19139999999999999</v>
      </c>
      <c r="AG36" s="155">
        <v>0.16600000000000001</v>
      </c>
      <c r="AJ36" s="168">
        <v>9638</v>
      </c>
      <c r="AK36" s="169">
        <v>3.8853</v>
      </c>
      <c r="AL36" s="169">
        <v>0.52059999999999995</v>
      </c>
      <c r="AM36" s="169">
        <v>0.19839999999999999</v>
      </c>
      <c r="AN36" s="169">
        <v>0.17199999999999999</v>
      </c>
      <c r="AQ36" s="165">
        <v>9638</v>
      </c>
      <c r="AR36" s="167">
        <v>3.9403000000000001</v>
      </c>
      <c r="AS36" s="167">
        <v>0.52800000000000002</v>
      </c>
      <c r="AT36" s="167">
        <v>0.20119999999999999</v>
      </c>
      <c r="AU36" s="167">
        <v>0.1744</v>
      </c>
      <c r="AX36" s="165">
        <v>9638</v>
      </c>
      <c r="AY36" s="167">
        <v>3.9761000000000002</v>
      </c>
      <c r="AZ36" s="167">
        <v>0.53280000000000005</v>
      </c>
      <c r="BA36" s="167">
        <v>0.20300000000000001</v>
      </c>
      <c r="BB36" s="167">
        <v>0.17599999999999999</v>
      </c>
      <c r="BC36" s="3"/>
      <c r="BD36" s="182"/>
      <c r="BE36" s="165">
        <v>9638</v>
      </c>
      <c r="BF36" s="167">
        <v>3.9916</v>
      </c>
      <c r="BG36" s="167">
        <v>0.53490000000000004</v>
      </c>
      <c r="BH36" s="167">
        <v>0.20380000000000001</v>
      </c>
      <c r="BI36" s="167">
        <v>0.1767</v>
      </c>
      <c r="BL36" s="165">
        <v>9638</v>
      </c>
      <c r="BM36" s="167">
        <v>4.0731999999999999</v>
      </c>
      <c r="BN36" s="167">
        <v>0.54579999999999995</v>
      </c>
      <c r="BO36" s="167">
        <v>0.20799999999999999</v>
      </c>
      <c r="BP36" s="167">
        <v>0.18029999999999999</v>
      </c>
      <c r="BS36" s="165">
        <v>9638</v>
      </c>
      <c r="BT36" s="167">
        <v>4.1833999999999998</v>
      </c>
      <c r="BU36" s="167">
        <v>0.56059999999999999</v>
      </c>
      <c r="BV36" s="167">
        <v>0.21360000000000001</v>
      </c>
      <c r="BW36" s="167">
        <v>0.1852</v>
      </c>
      <c r="BZ36" s="165">
        <v>9638</v>
      </c>
      <c r="CA36" s="167">
        <v>4.2183999999999999</v>
      </c>
      <c r="CB36" s="167">
        <v>0.56530000000000002</v>
      </c>
      <c r="CC36" s="167">
        <v>0.21540000000000001</v>
      </c>
      <c r="CD36" s="167">
        <v>0.18679999999999999</v>
      </c>
      <c r="CG36" s="165">
        <v>9638</v>
      </c>
      <c r="CH36" s="167">
        <v>4.2465999999999999</v>
      </c>
      <c r="CI36" s="167">
        <v>0.56910000000000005</v>
      </c>
      <c r="CJ36" s="167">
        <v>0.21679999999999999</v>
      </c>
      <c r="CK36" s="167">
        <v>0.188</v>
      </c>
      <c r="CN36" s="168">
        <v>9638</v>
      </c>
      <c r="CO36" s="167">
        <v>4.3125999999999998</v>
      </c>
      <c r="CP36" s="167">
        <v>0.57789999999999997</v>
      </c>
      <c r="CQ36" s="167">
        <v>0.22020000000000001</v>
      </c>
      <c r="CR36" s="167">
        <v>0.19089999999999999</v>
      </c>
      <c r="CU36" s="168">
        <v>9638</v>
      </c>
      <c r="CV36" s="167">
        <v>4.3346999999999998</v>
      </c>
      <c r="CW36" s="167">
        <v>0.58089999999999997</v>
      </c>
      <c r="CX36" s="167">
        <v>0.2213</v>
      </c>
      <c r="CY36" s="167">
        <v>0.19189999999999999</v>
      </c>
      <c r="DB36" s="168">
        <v>9638</v>
      </c>
      <c r="DC36" s="167">
        <v>4.3578999999999999</v>
      </c>
      <c r="DD36" s="167">
        <v>0.58399999999999996</v>
      </c>
      <c r="DE36" s="167">
        <v>0.2225</v>
      </c>
      <c r="DF36" s="167">
        <v>0.19289999999999999</v>
      </c>
      <c r="DI36" s="168">
        <v>9638</v>
      </c>
      <c r="DJ36" s="167">
        <v>4.3773</v>
      </c>
      <c r="DK36" s="167">
        <v>0.58660000000000001</v>
      </c>
      <c r="DL36" s="167">
        <v>0.2235</v>
      </c>
      <c r="DM36" s="167">
        <v>0.1938</v>
      </c>
      <c r="DN36" s="231"/>
      <c r="DO36" s="231"/>
      <c r="DP36" s="168">
        <v>9638</v>
      </c>
      <c r="DQ36" s="167">
        <v>4.4044999999999996</v>
      </c>
      <c r="DR36" s="167">
        <v>0.59019999999999995</v>
      </c>
      <c r="DS36" s="167">
        <v>0.22489999999999999</v>
      </c>
      <c r="DT36" s="167">
        <v>0.19500000000000001</v>
      </c>
      <c r="DW36" s="168">
        <v>9638</v>
      </c>
      <c r="DX36" s="167">
        <v>4.4351000000000003</v>
      </c>
      <c r="DY36" s="167">
        <v>0.59430000000000005</v>
      </c>
      <c r="DZ36" s="167">
        <v>0.22639999999999999</v>
      </c>
      <c r="EA36" s="167">
        <v>0.19639999999999999</v>
      </c>
      <c r="ED36" s="168">
        <v>9638</v>
      </c>
      <c r="EE36" s="167">
        <v>4.4652000000000003</v>
      </c>
      <c r="EF36" s="167">
        <v>0.59840000000000004</v>
      </c>
      <c r="EG36" s="167">
        <v>0.22800000000000001</v>
      </c>
      <c r="EH36" s="167">
        <v>0.19769999999999999</v>
      </c>
      <c r="EK36" s="168">
        <v>9638</v>
      </c>
      <c r="EL36" s="167">
        <v>4.5227000000000004</v>
      </c>
      <c r="EM36" s="167">
        <v>0.60609999999999997</v>
      </c>
      <c r="EN36" s="167">
        <v>0.23089999999999999</v>
      </c>
      <c r="EO36" s="167">
        <v>0.20019999999999999</v>
      </c>
      <c r="ER36" s="168">
        <v>9638</v>
      </c>
      <c r="ES36" s="167">
        <v>4.5815000000000001</v>
      </c>
      <c r="ET36" s="167">
        <v>0.6139</v>
      </c>
      <c r="EU36" s="167">
        <v>0.2339</v>
      </c>
      <c r="EV36" s="167">
        <v>0.20280000000000001</v>
      </c>
      <c r="EY36" s="168">
        <v>9638</v>
      </c>
      <c r="EZ36" s="167">
        <v>4.5987999999999998</v>
      </c>
      <c r="FA36" s="167">
        <v>0.61629999999999996</v>
      </c>
      <c r="FB36" s="167">
        <v>0.23480000000000001</v>
      </c>
      <c r="FC36" s="167">
        <v>0.2036</v>
      </c>
      <c r="FF36" s="168">
        <v>9638</v>
      </c>
      <c r="FG36" s="167">
        <v>4.6261999999999999</v>
      </c>
      <c r="FH36" s="167">
        <v>0.61990000000000001</v>
      </c>
      <c r="FI36" s="167">
        <v>0.23619999999999999</v>
      </c>
      <c r="FJ36" s="167">
        <v>0.20480000000000001</v>
      </c>
      <c r="FM36" s="168">
        <v>9638</v>
      </c>
      <c r="FN36" s="167">
        <v>4.6399999999999997</v>
      </c>
      <c r="FO36" s="167">
        <v>0.62180000000000002</v>
      </c>
      <c r="FP36" s="167">
        <v>0.2369</v>
      </c>
      <c r="FQ36" s="167">
        <v>0.2054</v>
      </c>
      <c r="FT36" s="168">
        <v>9638</v>
      </c>
      <c r="FU36" s="167">
        <f>VLOOKUP(FT36,Sheet4!A38:F114,3,0)</f>
        <v>4.6715999999999998</v>
      </c>
      <c r="FV36" s="167">
        <f>VLOOKUP(FT36,Sheet4!A38:F114,4,0)</f>
        <v>0.626</v>
      </c>
      <c r="FW36" s="167">
        <f>VLOOKUP(FT36,Sheet4!A38:F114,5,0)</f>
        <v>0.23849999999999999</v>
      </c>
      <c r="FX36" s="167">
        <f>VLOOKUP(FT36,Sheet4!A38:F114,6,0)</f>
        <v>0.20680000000000001</v>
      </c>
    </row>
    <row r="37" spans="1:180" x14ac:dyDescent="0.25">
      <c r="A37" s="9">
        <v>9639</v>
      </c>
      <c r="B37" s="9">
        <v>7.0101000000000004</v>
      </c>
      <c r="C37" s="9">
        <v>0.93940000000000001</v>
      </c>
      <c r="D37" s="9">
        <v>0.3579</v>
      </c>
      <c r="E37" s="9">
        <v>0.31040000000000001</v>
      </c>
      <c r="H37" s="9">
        <v>9639</v>
      </c>
      <c r="I37" s="9">
        <v>7.3339999999999996</v>
      </c>
      <c r="J37" s="9">
        <v>0.98280000000000001</v>
      </c>
      <c r="K37" s="9">
        <v>0.37440000000000001</v>
      </c>
      <c r="L37" s="9">
        <v>0.32469999999999999</v>
      </c>
      <c r="O37" s="154">
        <v>9639</v>
      </c>
      <c r="P37" s="154">
        <v>7.3501000000000003</v>
      </c>
      <c r="Q37" s="154">
        <v>0.9849</v>
      </c>
      <c r="R37" s="154">
        <v>0.37530000000000002</v>
      </c>
      <c r="S37" s="154">
        <v>0.32540000000000002</v>
      </c>
      <c r="V37" s="151">
        <v>9639</v>
      </c>
      <c r="W37" s="151">
        <v>7.3898999999999999</v>
      </c>
      <c r="X37" s="151">
        <v>0.99029999999999996</v>
      </c>
      <c r="Y37" s="151">
        <v>0.37730000000000002</v>
      </c>
      <c r="Z37" s="151">
        <v>0.32719999999999999</v>
      </c>
      <c r="AC37" s="155">
        <v>9639</v>
      </c>
      <c r="AD37" s="155">
        <v>7.4741999999999997</v>
      </c>
      <c r="AE37" s="155">
        <v>1.0016</v>
      </c>
      <c r="AF37" s="155">
        <v>0.38159999999999999</v>
      </c>
      <c r="AG37" s="155">
        <v>0.33090000000000003</v>
      </c>
      <c r="AJ37" s="160">
        <v>9639</v>
      </c>
      <c r="AK37" s="6">
        <v>7.5811999999999999</v>
      </c>
      <c r="AL37" s="6">
        <v>1.0159</v>
      </c>
      <c r="AM37" s="6">
        <v>0.3871</v>
      </c>
      <c r="AN37" s="6">
        <v>0.33560000000000001</v>
      </c>
      <c r="AQ37" s="129">
        <v>9639</v>
      </c>
      <c r="AR37" s="53">
        <v>7.6243999999999996</v>
      </c>
      <c r="AS37" s="53">
        <v>1.0217000000000001</v>
      </c>
      <c r="AT37" s="53">
        <v>0.38929999999999998</v>
      </c>
      <c r="AU37" s="53">
        <v>0.33750000000000002</v>
      </c>
      <c r="AX37" s="180">
        <v>9639</v>
      </c>
      <c r="AY37" s="184">
        <v>7.6524999999999999</v>
      </c>
      <c r="AZ37" s="184">
        <v>1.0255000000000001</v>
      </c>
      <c r="BA37" s="184">
        <v>0.39069999999999999</v>
      </c>
      <c r="BB37" s="184">
        <v>0.33879999999999999</v>
      </c>
      <c r="BC37" s="3"/>
      <c r="BD37" s="182"/>
      <c r="BE37" s="180">
        <v>9639</v>
      </c>
      <c r="BF37" s="53">
        <v>7.6646999999999998</v>
      </c>
      <c r="BG37" s="53">
        <v>1.0270999999999999</v>
      </c>
      <c r="BH37" s="53">
        <v>0.39129999999999998</v>
      </c>
      <c r="BI37" s="53">
        <v>0.33929999999999999</v>
      </c>
      <c r="BL37" s="180">
        <v>9639</v>
      </c>
      <c r="BM37" s="53">
        <v>7.7289000000000003</v>
      </c>
      <c r="BN37" s="53">
        <v>1.0357000000000001</v>
      </c>
      <c r="BO37" s="53">
        <v>0.39460000000000001</v>
      </c>
      <c r="BP37" s="53">
        <v>0.3422</v>
      </c>
      <c r="BS37" s="180">
        <v>9639</v>
      </c>
      <c r="BT37" s="53">
        <v>7.8155000000000001</v>
      </c>
      <c r="BU37" s="53">
        <v>1.0472999999999999</v>
      </c>
      <c r="BV37" s="53">
        <v>0.39900000000000002</v>
      </c>
      <c r="BW37" s="53">
        <v>0.34599999999999997</v>
      </c>
      <c r="BZ37" s="180">
        <v>9639</v>
      </c>
      <c r="CA37" s="53">
        <v>7.843</v>
      </c>
      <c r="CB37" s="53">
        <v>1.0509999999999999</v>
      </c>
      <c r="CC37" s="53">
        <v>0.40039999999999998</v>
      </c>
      <c r="CD37" s="53">
        <v>0.34720000000000001</v>
      </c>
      <c r="CG37" s="180">
        <v>9639</v>
      </c>
      <c r="CH37" s="53">
        <v>7.8651</v>
      </c>
      <c r="CI37" s="53">
        <v>1.054</v>
      </c>
      <c r="CJ37" s="53">
        <v>0.40160000000000001</v>
      </c>
      <c r="CK37" s="53">
        <v>0.34820000000000001</v>
      </c>
      <c r="CN37" s="170">
        <v>9639</v>
      </c>
      <c r="CO37" s="53">
        <v>7.9169999999999998</v>
      </c>
      <c r="CP37" s="53">
        <v>1.0609</v>
      </c>
      <c r="CQ37" s="53">
        <v>0.4042</v>
      </c>
      <c r="CR37" s="53">
        <v>0.35049999999999998</v>
      </c>
      <c r="CU37" s="170">
        <v>9639</v>
      </c>
      <c r="CV37" s="53">
        <v>7.9343000000000004</v>
      </c>
      <c r="CW37" s="53">
        <v>1.0631999999999999</v>
      </c>
      <c r="CX37" s="53">
        <v>0.40510000000000002</v>
      </c>
      <c r="CY37" s="53">
        <v>0.3513</v>
      </c>
      <c r="DB37" s="170">
        <v>9639</v>
      </c>
      <c r="DC37" s="53">
        <v>7.9525000000000006</v>
      </c>
      <c r="DD37" s="53">
        <v>1.0657000000000001</v>
      </c>
      <c r="DE37" s="53">
        <v>0.40600000000000003</v>
      </c>
      <c r="DF37" s="53">
        <v>0.35210000000000002</v>
      </c>
      <c r="DI37" s="170">
        <v>9639</v>
      </c>
      <c r="DJ37" s="53">
        <v>7.9678000000000004</v>
      </c>
      <c r="DK37" s="53">
        <v>1.0677000000000001</v>
      </c>
      <c r="DL37" s="53">
        <v>0.40679999999999999</v>
      </c>
      <c r="DM37" s="53">
        <v>0.3528</v>
      </c>
      <c r="DN37" s="231"/>
      <c r="DO37" s="231"/>
      <c r="DP37" s="170">
        <v>9639</v>
      </c>
      <c r="DQ37" s="53">
        <v>7.9892000000000003</v>
      </c>
      <c r="DR37" s="53">
        <v>1.0706</v>
      </c>
      <c r="DS37" s="53">
        <v>0.40789999999999998</v>
      </c>
      <c r="DT37" s="53">
        <v>0.35370000000000001</v>
      </c>
      <c r="DW37" s="170">
        <v>9639</v>
      </c>
      <c r="DX37" s="53">
        <v>8.0131999999999994</v>
      </c>
      <c r="DY37" s="53">
        <v>1.0738000000000001</v>
      </c>
      <c r="DZ37" s="53">
        <v>0.40910000000000002</v>
      </c>
      <c r="EA37" s="53">
        <v>0.3548</v>
      </c>
      <c r="ED37" s="170">
        <v>9639</v>
      </c>
      <c r="EE37" s="53">
        <v>8.0368999999999993</v>
      </c>
      <c r="EF37" s="53">
        <v>1.077</v>
      </c>
      <c r="EG37" s="53">
        <v>0.4103</v>
      </c>
      <c r="EH37" s="53">
        <v>0.35580000000000001</v>
      </c>
      <c r="EK37" s="170">
        <v>9639</v>
      </c>
      <c r="EL37" s="53">
        <v>8.0821000000000005</v>
      </c>
      <c r="EM37" s="53">
        <v>1.083</v>
      </c>
      <c r="EN37" s="53">
        <v>0.41260000000000002</v>
      </c>
      <c r="EO37" s="53">
        <v>0.35780000000000001</v>
      </c>
      <c r="ER37" s="170">
        <v>9639</v>
      </c>
      <c r="ES37" s="53">
        <v>8.1282999999999994</v>
      </c>
      <c r="ET37" s="53">
        <v>1.0891999999999999</v>
      </c>
      <c r="EU37" s="53">
        <v>0.41499999999999998</v>
      </c>
      <c r="EV37" s="53">
        <v>0.3599</v>
      </c>
      <c r="EY37" s="170">
        <v>9639</v>
      </c>
      <c r="EZ37" s="53">
        <v>8.1418999999999997</v>
      </c>
      <c r="FA37" s="53">
        <v>1.091</v>
      </c>
      <c r="FB37" s="53">
        <v>0.41570000000000001</v>
      </c>
      <c r="FC37" s="53">
        <v>0.36049999999999999</v>
      </c>
      <c r="FF37" s="170">
        <v>9639</v>
      </c>
      <c r="FG37" s="53">
        <v>8.1635000000000009</v>
      </c>
      <c r="FH37" s="53">
        <v>1.0939000000000001</v>
      </c>
      <c r="FI37" s="53">
        <v>0.4168</v>
      </c>
      <c r="FJ37" s="53">
        <v>0.3614</v>
      </c>
      <c r="FM37" s="170">
        <v>9639</v>
      </c>
      <c r="FN37" s="53">
        <v>8.1743000000000006</v>
      </c>
      <c r="FO37" s="53">
        <v>1.0953999999999999</v>
      </c>
      <c r="FP37" s="53">
        <v>0.4173</v>
      </c>
      <c r="FQ37" s="53">
        <v>0.3619</v>
      </c>
      <c r="FT37" s="170">
        <v>9639</v>
      </c>
      <c r="FU37" s="53">
        <f>VLOOKUP(FT37,Sheet4!A39:F115,3,0)</f>
        <v>8.1990999999999996</v>
      </c>
      <c r="FV37" s="53">
        <f>VLOOKUP(FT37,Sheet4!A39:F115,4,0)</f>
        <v>1.0987</v>
      </c>
      <c r="FW37" s="53">
        <f>VLOOKUP(FT37,Sheet4!A39:F115,5,0)</f>
        <v>0.41860000000000003</v>
      </c>
      <c r="FX37" s="53">
        <f>VLOOKUP(FT37,Sheet4!A39:F115,6,0)</f>
        <v>0.36299999999999999</v>
      </c>
    </row>
    <row r="38" spans="1:180" x14ac:dyDescent="0.25">
      <c r="A38" s="9">
        <v>9640</v>
      </c>
      <c r="B38" s="9">
        <v>7.0101000000000004</v>
      </c>
      <c r="C38" s="9">
        <v>0.93940000000000001</v>
      </c>
      <c r="D38" s="9">
        <v>0.3579</v>
      </c>
      <c r="E38" s="9">
        <v>0.31040000000000001</v>
      </c>
      <c r="H38" s="9">
        <v>9640</v>
      </c>
      <c r="I38" s="9">
        <v>7.3339999999999996</v>
      </c>
      <c r="J38" s="9">
        <v>0.98280000000000001</v>
      </c>
      <c r="K38" s="9">
        <v>0.37440000000000001</v>
      </c>
      <c r="L38" s="9">
        <v>0.32469999999999999</v>
      </c>
      <c r="O38" s="148">
        <v>9640</v>
      </c>
      <c r="P38" s="148">
        <v>7.3501000000000003</v>
      </c>
      <c r="Q38" s="148">
        <v>0.9849</v>
      </c>
      <c r="R38" s="148">
        <v>0.37530000000000002</v>
      </c>
      <c r="S38" s="148">
        <v>0.32540000000000002</v>
      </c>
      <c r="V38" s="151">
        <v>9640</v>
      </c>
      <c r="W38" s="151">
        <v>7.3898999999999999</v>
      </c>
      <c r="X38" s="151">
        <v>0.99029999999999996</v>
      </c>
      <c r="Y38" s="151">
        <v>0.37730000000000002</v>
      </c>
      <c r="Z38" s="151">
        <v>0.32719999999999999</v>
      </c>
      <c r="AC38" s="155">
        <v>9640</v>
      </c>
      <c r="AD38" s="155">
        <v>7.4741999999999997</v>
      </c>
      <c r="AE38" s="155">
        <v>1.0016</v>
      </c>
      <c r="AF38" s="155">
        <v>0.38159999999999999</v>
      </c>
      <c r="AG38" s="155">
        <v>0.33090000000000003</v>
      </c>
      <c r="AJ38" s="168">
        <v>9640</v>
      </c>
      <c r="AK38" s="169">
        <v>7.5811999999999999</v>
      </c>
      <c r="AL38" s="169">
        <v>1.0159</v>
      </c>
      <c r="AM38" s="169">
        <v>0.3871</v>
      </c>
      <c r="AN38" s="169">
        <v>0.33560000000000001</v>
      </c>
      <c r="AQ38" s="165">
        <v>9640</v>
      </c>
      <c r="AR38" s="167">
        <v>7.6243999999999996</v>
      </c>
      <c r="AS38" s="167">
        <v>1.0217000000000001</v>
      </c>
      <c r="AT38" s="167">
        <v>0.38929999999999998</v>
      </c>
      <c r="AU38" s="167">
        <v>0.33750000000000002</v>
      </c>
      <c r="AX38" s="165">
        <v>9640</v>
      </c>
      <c r="AY38" s="167">
        <v>7.6524999999999999</v>
      </c>
      <c r="AZ38" s="167">
        <v>1.0255000000000001</v>
      </c>
      <c r="BA38" s="167">
        <v>0.39069999999999999</v>
      </c>
      <c r="BB38" s="167">
        <v>0.33879999999999999</v>
      </c>
      <c r="BC38" s="3"/>
      <c r="BD38" s="182"/>
      <c r="BE38" s="165">
        <v>9640</v>
      </c>
      <c r="BF38" s="167">
        <v>7.6646999999999998</v>
      </c>
      <c r="BG38" s="167">
        <v>1.0270999999999999</v>
      </c>
      <c r="BH38" s="167">
        <v>0.39129999999999998</v>
      </c>
      <c r="BI38" s="167">
        <v>0.33929999999999999</v>
      </c>
      <c r="BL38" s="165">
        <v>9640</v>
      </c>
      <c r="BM38" s="167">
        <v>7.7289000000000003</v>
      </c>
      <c r="BN38" s="167">
        <v>1.0357000000000001</v>
      </c>
      <c r="BO38" s="167">
        <v>0.39460000000000001</v>
      </c>
      <c r="BP38" s="167">
        <v>0.3422</v>
      </c>
      <c r="BS38" s="165">
        <v>9640</v>
      </c>
      <c r="BT38" s="167">
        <v>7.8155000000000001</v>
      </c>
      <c r="BU38" s="167">
        <v>1.0472999999999999</v>
      </c>
      <c r="BV38" s="167">
        <v>0.39900000000000002</v>
      </c>
      <c r="BW38" s="167">
        <v>0.34599999999999997</v>
      </c>
      <c r="BZ38" s="165">
        <v>9640</v>
      </c>
      <c r="CA38" s="167">
        <v>7.843</v>
      </c>
      <c r="CB38" s="167">
        <v>1.0509999999999999</v>
      </c>
      <c r="CC38" s="167">
        <v>0.40039999999999998</v>
      </c>
      <c r="CD38" s="167">
        <v>0.34720000000000001</v>
      </c>
      <c r="CG38" s="165">
        <v>9640</v>
      </c>
      <c r="CH38" s="167">
        <v>7.8651</v>
      </c>
      <c r="CI38" s="167">
        <v>1.054</v>
      </c>
      <c r="CJ38" s="167">
        <v>0.40160000000000001</v>
      </c>
      <c r="CK38" s="167">
        <v>0.34820000000000001</v>
      </c>
      <c r="CN38" s="168">
        <v>9640</v>
      </c>
      <c r="CO38" s="167">
        <v>7.9169999999999998</v>
      </c>
      <c r="CP38" s="167">
        <v>1.0609</v>
      </c>
      <c r="CQ38" s="167">
        <v>0.4042</v>
      </c>
      <c r="CR38" s="167">
        <v>0.35049999999999998</v>
      </c>
      <c r="CU38" s="168">
        <v>9640</v>
      </c>
      <c r="CV38" s="167">
        <v>7.9343000000000004</v>
      </c>
      <c r="CW38" s="167">
        <v>1.0631999999999999</v>
      </c>
      <c r="CX38" s="167">
        <v>0.40510000000000002</v>
      </c>
      <c r="CY38" s="167">
        <v>0.3513</v>
      </c>
      <c r="DB38" s="168">
        <v>9640</v>
      </c>
      <c r="DC38" s="167">
        <v>7.9525000000000006</v>
      </c>
      <c r="DD38" s="167">
        <v>1.0657000000000001</v>
      </c>
      <c r="DE38" s="167">
        <v>0.40600000000000003</v>
      </c>
      <c r="DF38" s="167">
        <v>0.35210000000000002</v>
      </c>
      <c r="DI38" s="168">
        <v>9640</v>
      </c>
      <c r="DJ38" s="167">
        <v>7.9678000000000004</v>
      </c>
      <c r="DK38" s="167">
        <v>1.0677000000000001</v>
      </c>
      <c r="DL38" s="167">
        <v>0.40679999999999999</v>
      </c>
      <c r="DM38" s="167">
        <v>0.3528</v>
      </c>
      <c r="DN38" s="231"/>
      <c r="DO38" s="231"/>
      <c r="DP38" s="168">
        <v>9640</v>
      </c>
      <c r="DQ38" s="167">
        <v>7.9892000000000003</v>
      </c>
      <c r="DR38" s="167">
        <v>1.0706</v>
      </c>
      <c r="DS38" s="167">
        <v>0.40789999999999998</v>
      </c>
      <c r="DT38" s="167">
        <v>0.35370000000000001</v>
      </c>
      <c r="DW38" s="168">
        <v>9640</v>
      </c>
      <c r="DX38" s="167">
        <v>8.0131999999999994</v>
      </c>
      <c r="DY38" s="167">
        <v>1.0738000000000001</v>
      </c>
      <c r="DZ38" s="167">
        <v>0.40910000000000002</v>
      </c>
      <c r="EA38" s="167">
        <v>0.3548</v>
      </c>
      <c r="ED38" s="168">
        <v>9640</v>
      </c>
      <c r="EE38" s="167">
        <v>8.0368999999999993</v>
      </c>
      <c r="EF38" s="167">
        <v>1.077</v>
      </c>
      <c r="EG38" s="167">
        <v>0.4103</v>
      </c>
      <c r="EH38" s="167">
        <v>0.35580000000000001</v>
      </c>
      <c r="EK38" s="168">
        <v>9640</v>
      </c>
      <c r="EL38" s="167">
        <v>8.0821000000000005</v>
      </c>
      <c r="EM38" s="167">
        <v>1.083</v>
      </c>
      <c r="EN38" s="167">
        <v>0.41260000000000002</v>
      </c>
      <c r="EO38" s="167">
        <v>0.35780000000000001</v>
      </c>
      <c r="ER38" s="168">
        <v>9640</v>
      </c>
      <c r="ES38" s="167">
        <v>8.1282999999999994</v>
      </c>
      <c r="ET38" s="167">
        <v>1.0891999999999999</v>
      </c>
      <c r="EU38" s="167">
        <v>0.41499999999999998</v>
      </c>
      <c r="EV38" s="167">
        <v>0.3599</v>
      </c>
      <c r="EY38" s="168">
        <v>9640</v>
      </c>
      <c r="EZ38" s="167">
        <v>8.1418999999999997</v>
      </c>
      <c r="FA38" s="167">
        <v>1.091</v>
      </c>
      <c r="FB38" s="167">
        <v>0.41570000000000001</v>
      </c>
      <c r="FC38" s="167">
        <v>0.36049999999999999</v>
      </c>
      <c r="FF38" s="168">
        <v>9640</v>
      </c>
      <c r="FG38" s="167">
        <v>8.1635000000000009</v>
      </c>
      <c r="FH38" s="167">
        <v>1.0939000000000001</v>
      </c>
      <c r="FI38" s="167">
        <v>0.4168</v>
      </c>
      <c r="FJ38" s="167">
        <v>0.3614</v>
      </c>
      <c r="FM38" s="168">
        <v>9640</v>
      </c>
      <c r="FN38" s="167">
        <v>8.1743000000000006</v>
      </c>
      <c r="FO38" s="167">
        <v>1.0953999999999999</v>
      </c>
      <c r="FP38" s="167">
        <v>0.4173</v>
      </c>
      <c r="FQ38" s="167">
        <v>0.3619</v>
      </c>
      <c r="FT38" s="168">
        <v>9640</v>
      </c>
      <c r="FU38" s="167">
        <f>VLOOKUP(FT38,Sheet4!A40:F116,3,0)</f>
        <v>8.1990999999999996</v>
      </c>
      <c r="FV38" s="167">
        <f>VLOOKUP(FT38,Sheet4!A40:F116,4,0)</f>
        <v>1.0987</v>
      </c>
      <c r="FW38" s="167">
        <f>VLOOKUP(FT38,Sheet4!A40:F116,5,0)</f>
        <v>0.41860000000000003</v>
      </c>
      <c r="FX38" s="167">
        <f>VLOOKUP(FT38,Sheet4!A40:F116,6,0)</f>
        <v>0.36299999999999999</v>
      </c>
    </row>
    <row r="39" spans="1:180" x14ac:dyDescent="0.25">
      <c r="A39" s="9">
        <v>9641</v>
      </c>
      <c r="B39" s="9">
        <v>7.0101000000000004</v>
      </c>
      <c r="C39" s="9">
        <v>0.93940000000000001</v>
      </c>
      <c r="D39" s="9">
        <v>0.3579</v>
      </c>
      <c r="E39" s="9">
        <v>0.31040000000000001</v>
      </c>
      <c r="H39" s="9">
        <v>9641</v>
      </c>
      <c r="I39" s="9">
        <v>7.3339999999999996</v>
      </c>
      <c r="J39" s="9">
        <v>0.98280000000000001</v>
      </c>
      <c r="K39" s="9">
        <v>0.37440000000000001</v>
      </c>
      <c r="L39" s="9">
        <v>0.32469999999999999</v>
      </c>
      <c r="O39" s="154">
        <v>9641</v>
      </c>
      <c r="P39" s="154">
        <v>7.3501000000000003</v>
      </c>
      <c r="Q39" s="154">
        <v>0.9849</v>
      </c>
      <c r="R39" s="154">
        <v>0.37530000000000002</v>
      </c>
      <c r="S39" s="154">
        <v>0.32540000000000002</v>
      </c>
      <c r="V39" s="151">
        <v>9641</v>
      </c>
      <c r="W39" s="151">
        <v>7.3898999999999999</v>
      </c>
      <c r="X39" s="151">
        <v>0.99029999999999996</v>
      </c>
      <c r="Y39" s="151">
        <v>0.37730000000000002</v>
      </c>
      <c r="Z39" s="151">
        <v>0.32719999999999999</v>
      </c>
      <c r="AC39" s="155">
        <v>9641</v>
      </c>
      <c r="AD39" s="155">
        <v>7.4741999999999997</v>
      </c>
      <c r="AE39" s="155">
        <v>1.0016</v>
      </c>
      <c r="AF39" s="155">
        <v>0.38159999999999999</v>
      </c>
      <c r="AG39" s="155">
        <v>0.33090000000000003</v>
      </c>
      <c r="AJ39" s="160">
        <v>9641</v>
      </c>
      <c r="AK39" s="6">
        <v>7.5811999999999999</v>
      </c>
      <c r="AL39" s="6">
        <v>1.0159</v>
      </c>
      <c r="AM39" s="6">
        <v>0.3871</v>
      </c>
      <c r="AN39" s="6">
        <v>0.33560000000000001</v>
      </c>
      <c r="AQ39" s="129">
        <v>9641</v>
      </c>
      <c r="AR39" s="53">
        <v>7.6243999999999996</v>
      </c>
      <c r="AS39" s="53">
        <v>1.0217000000000001</v>
      </c>
      <c r="AT39" s="53">
        <v>0.38929999999999998</v>
      </c>
      <c r="AU39" s="53">
        <v>0.33750000000000002</v>
      </c>
      <c r="AX39" s="129">
        <v>9641</v>
      </c>
      <c r="AY39" s="53">
        <v>7.6524999999999999</v>
      </c>
      <c r="AZ39" s="53">
        <v>1.0255000000000001</v>
      </c>
      <c r="BA39" s="53">
        <v>0.39069999999999999</v>
      </c>
      <c r="BB39" s="53">
        <v>0.33879999999999999</v>
      </c>
      <c r="BC39" s="3"/>
      <c r="BD39" s="182"/>
      <c r="BE39" s="129">
        <v>9641</v>
      </c>
      <c r="BF39" s="53">
        <v>7.6646999999999998</v>
      </c>
      <c r="BG39" s="53">
        <v>1.0270999999999999</v>
      </c>
      <c r="BH39" s="53">
        <v>0.39129999999999998</v>
      </c>
      <c r="BI39" s="53">
        <v>0.33929999999999999</v>
      </c>
      <c r="BL39" s="129">
        <v>9641</v>
      </c>
      <c r="BM39" s="53">
        <v>7.7289000000000003</v>
      </c>
      <c r="BN39" s="53">
        <v>1.0357000000000001</v>
      </c>
      <c r="BO39" s="53">
        <v>0.39460000000000001</v>
      </c>
      <c r="BP39" s="53">
        <v>0.3422</v>
      </c>
      <c r="BS39" s="129">
        <v>9641</v>
      </c>
      <c r="BT39" s="53">
        <v>7.8155000000000001</v>
      </c>
      <c r="BU39" s="53">
        <v>1.0472999999999999</v>
      </c>
      <c r="BV39" s="53">
        <v>0.39900000000000002</v>
      </c>
      <c r="BW39" s="53">
        <v>0.34599999999999997</v>
      </c>
      <c r="BZ39" s="129">
        <v>9641</v>
      </c>
      <c r="CA39" s="53">
        <v>7.843</v>
      </c>
      <c r="CB39" s="53">
        <v>1.0509999999999999</v>
      </c>
      <c r="CC39" s="53">
        <v>0.40039999999999998</v>
      </c>
      <c r="CD39" s="53">
        <v>0.34720000000000001</v>
      </c>
      <c r="CG39" s="129">
        <v>9641</v>
      </c>
      <c r="CH39" s="53">
        <v>7.8651</v>
      </c>
      <c r="CI39" s="53">
        <v>1.054</v>
      </c>
      <c r="CJ39" s="53">
        <v>0.40160000000000001</v>
      </c>
      <c r="CK39" s="53">
        <v>0.34820000000000001</v>
      </c>
      <c r="CN39" s="207">
        <v>9641</v>
      </c>
      <c r="CO39" s="53">
        <v>7.9169999999999998</v>
      </c>
      <c r="CP39" s="53">
        <v>1.0609</v>
      </c>
      <c r="CQ39" s="53">
        <v>0.4042</v>
      </c>
      <c r="CR39" s="53">
        <v>0.35049999999999998</v>
      </c>
      <c r="CU39" s="215">
        <v>9641</v>
      </c>
      <c r="CV39" s="53">
        <v>7.9343000000000004</v>
      </c>
      <c r="CW39" s="53">
        <v>1.0631999999999999</v>
      </c>
      <c r="CX39" s="53">
        <v>0.40510000000000002</v>
      </c>
      <c r="CY39" s="53">
        <v>0.3513</v>
      </c>
      <c r="DB39" s="217">
        <v>9641</v>
      </c>
      <c r="DC39" s="53">
        <v>7.9525000000000006</v>
      </c>
      <c r="DD39" s="53">
        <v>1.0657000000000001</v>
      </c>
      <c r="DE39" s="53">
        <v>0.40600000000000003</v>
      </c>
      <c r="DF39" s="53">
        <v>0.35210000000000002</v>
      </c>
      <c r="DI39" s="222">
        <v>9641</v>
      </c>
      <c r="DJ39" s="53">
        <v>7.9678000000000004</v>
      </c>
      <c r="DK39" s="53">
        <v>1.0677000000000001</v>
      </c>
      <c r="DL39" s="53">
        <v>0.40679999999999999</v>
      </c>
      <c r="DM39" s="53">
        <v>0.3528</v>
      </c>
      <c r="DN39" s="231"/>
      <c r="DO39" s="231"/>
      <c r="DP39" s="227">
        <v>9641</v>
      </c>
      <c r="DQ39" s="53">
        <v>7.9892000000000003</v>
      </c>
      <c r="DR39" s="53">
        <v>1.0706</v>
      </c>
      <c r="DS39" s="53">
        <v>0.40789999999999998</v>
      </c>
      <c r="DT39" s="53">
        <v>0.35370000000000001</v>
      </c>
      <c r="DW39" s="235">
        <v>9641</v>
      </c>
      <c r="DX39" s="53">
        <v>8.0131999999999994</v>
      </c>
      <c r="DY39" s="53">
        <v>1.0738000000000001</v>
      </c>
      <c r="DZ39" s="53">
        <v>0.40910000000000002</v>
      </c>
      <c r="EA39" s="53">
        <v>0.3548</v>
      </c>
      <c r="ED39" s="237">
        <v>9641</v>
      </c>
      <c r="EE39" s="53">
        <v>8.0368999999999993</v>
      </c>
      <c r="EF39" s="53">
        <v>1.077</v>
      </c>
      <c r="EG39" s="53">
        <v>0.4103</v>
      </c>
      <c r="EH39" s="53">
        <v>0.35580000000000001</v>
      </c>
      <c r="EK39" s="239">
        <v>9641</v>
      </c>
      <c r="EL39" s="53">
        <v>8.0821000000000005</v>
      </c>
      <c r="EM39" s="53">
        <v>1.083</v>
      </c>
      <c r="EN39" s="53">
        <v>0.41260000000000002</v>
      </c>
      <c r="EO39" s="53">
        <v>0.35780000000000001</v>
      </c>
      <c r="ER39" s="243">
        <v>9641</v>
      </c>
      <c r="ES39" s="53">
        <v>8.1282999999999994</v>
      </c>
      <c r="ET39" s="53">
        <v>1.0891999999999999</v>
      </c>
      <c r="EU39" s="53">
        <v>0.41499999999999998</v>
      </c>
      <c r="EV39" s="53">
        <v>0.3599</v>
      </c>
      <c r="EY39" s="245">
        <v>9641</v>
      </c>
      <c r="EZ39" s="53">
        <v>8.1418999999999997</v>
      </c>
      <c r="FA39" s="53">
        <v>1.091</v>
      </c>
      <c r="FB39" s="53">
        <v>0.41570000000000001</v>
      </c>
      <c r="FC39" s="53">
        <v>0.36049999999999999</v>
      </c>
      <c r="FF39" s="249">
        <v>9641</v>
      </c>
      <c r="FG39" s="53">
        <v>8.1635000000000009</v>
      </c>
      <c r="FH39" s="53">
        <v>1.0939000000000001</v>
      </c>
      <c r="FI39" s="53">
        <v>0.4168</v>
      </c>
      <c r="FJ39" s="53">
        <v>0.3614</v>
      </c>
      <c r="FM39" s="252">
        <v>9641</v>
      </c>
      <c r="FN39" s="53">
        <v>8.1743000000000006</v>
      </c>
      <c r="FO39" s="53">
        <v>1.0953999999999999</v>
      </c>
      <c r="FP39" s="53">
        <v>0.4173</v>
      </c>
      <c r="FQ39" s="53">
        <v>0.3619</v>
      </c>
      <c r="FT39" s="254">
        <v>9641</v>
      </c>
      <c r="FU39" s="53">
        <f>VLOOKUP(FT39,Sheet4!A41:F117,3,0)</f>
        <v>8.1990999999999996</v>
      </c>
      <c r="FV39" s="53">
        <f>VLOOKUP(FT39,Sheet4!A41:F117,4,0)</f>
        <v>1.0987</v>
      </c>
      <c r="FW39" s="53">
        <f>VLOOKUP(FT39,Sheet4!A41:F117,5,0)</f>
        <v>0.41860000000000003</v>
      </c>
      <c r="FX39" s="53">
        <f>VLOOKUP(FT39,Sheet4!A41:F117,6,0)</f>
        <v>0.36299999999999999</v>
      </c>
    </row>
    <row r="40" spans="1:180" x14ac:dyDescent="0.25">
      <c r="A40" s="9">
        <v>9869</v>
      </c>
      <c r="B40" s="9">
        <v>8.1826000000000008</v>
      </c>
      <c r="C40" s="9">
        <v>1.0965</v>
      </c>
      <c r="D40" s="9">
        <v>0.4178</v>
      </c>
      <c r="E40" s="9">
        <v>0.36230000000000001</v>
      </c>
      <c r="H40" s="9">
        <v>9869</v>
      </c>
      <c r="I40" s="9">
        <v>8.5949000000000009</v>
      </c>
      <c r="J40" s="9">
        <v>1.1516999999999999</v>
      </c>
      <c r="K40" s="9">
        <v>0.43880000000000002</v>
      </c>
      <c r="L40" s="9">
        <v>0.3805</v>
      </c>
      <c r="O40" s="148">
        <v>9869</v>
      </c>
      <c r="P40" s="148">
        <v>8.6153999999999993</v>
      </c>
      <c r="Q40" s="148">
        <v>1.1545000000000001</v>
      </c>
      <c r="R40" s="148">
        <v>0.43990000000000001</v>
      </c>
      <c r="S40" s="148">
        <v>0.38140000000000002</v>
      </c>
      <c r="V40" s="151">
        <v>9869</v>
      </c>
      <c r="W40" s="151">
        <v>8.6661000000000001</v>
      </c>
      <c r="X40" s="151">
        <v>1.1613</v>
      </c>
      <c r="Y40" s="151">
        <v>0.4425</v>
      </c>
      <c r="Z40" s="151">
        <v>0.38369999999999999</v>
      </c>
      <c r="AC40" s="155">
        <v>9869</v>
      </c>
      <c r="AD40" s="155">
        <v>8.7734000000000005</v>
      </c>
      <c r="AE40" s="155">
        <v>1.1757</v>
      </c>
      <c r="AF40" s="155">
        <v>0.44790000000000002</v>
      </c>
      <c r="AG40" s="155">
        <v>0.38840000000000002</v>
      </c>
      <c r="AJ40" s="168">
        <v>9869</v>
      </c>
      <c r="AK40" s="169">
        <v>8.9095999999999993</v>
      </c>
      <c r="AL40" s="169">
        <v>1.1939</v>
      </c>
      <c r="AM40" s="169">
        <v>0.45490000000000003</v>
      </c>
      <c r="AN40" s="169">
        <v>0.39439999999999997</v>
      </c>
      <c r="AQ40" s="165">
        <v>9869</v>
      </c>
      <c r="AR40" s="167">
        <v>8.9646000000000008</v>
      </c>
      <c r="AS40" s="167">
        <v>1.2013</v>
      </c>
      <c r="AT40" s="167">
        <v>0.4577</v>
      </c>
      <c r="AU40" s="167">
        <v>0.39689999999999998</v>
      </c>
      <c r="AX40" s="165">
        <v>9869</v>
      </c>
      <c r="AY40" s="167">
        <v>9.0004000000000008</v>
      </c>
      <c r="AZ40" s="167">
        <v>1.2060999999999999</v>
      </c>
      <c r="BA40" s="167">
        <v>0.45950000000000002</v>
      </c>
      <c r="BB40" s="167">
        <v>0.39850000000000002</v>
      </c>
      <c r="BC40" s="3"/>
      <c r="BD40" s="182"/>
      <c r="BE40" s="165">
        <v>9869</v>
      </c>
      <c r="BF40" s="167">
        <v>9.0159000000000002</v>
      </c>
      <c r="BG40" s="167">
        <v>1.2081999999999999</v>
      </c>
      <c r="BH40" s="167">
        <v>0.46029999999999999</v>
      </c>
      <c r="BI40" s="167">
        <v>0.3992</v>
      </c>
      <c r="BL40" s="165">
        <v>9869</v>
      </c>
      <c r="BM40" s="167">
        <v>9.0975000000000001</v>
      </c>
      <c r="BN40" s="167">
        <v>1.2191000000000001</v>
      </c>
      <c r="BO40" s="167">
        <v>0.46450000000000002</v>
      </c>
      <c r="BP40" s="167">
        <v>0.40279999999999999</v>
      </c>
      <c r="BS40" s="165">
        <v>9869</v>
      </c>
      <c r="BT40" s="167">
        <v>9.2077000000000009</v>
      </c>
      <c r="BU40" s="167">
        <v>1.2339</v>
      </c>
      <c r="BV40" s="167">
        <v>0.47010000000000002</v>
      </c>
      <c r="BW40" s="167">
        <v>0.40760000000000002</v>
      </c>
      <c r="BZ40" s="165">
        <v>9869</v>
      </c>
      <c r="CA40" s="167">
        <v>9.2426999999999992</v>
      </c>
      <c r="CB40" s="167">
        <v>1.2385999999999999</v>
      </c>
      <c r="CC40" s="167">
        <v>0.47189999999999999</v>
      </c>
      <c r="CD40" s="167">
        <v>0.40920000000000001</v>
      </c>
      <c r="CG40" s="165">
        <v>9869</v>
      </c>
      <c r="CH40" s="167">
        <v>9.2708999999999993</v>
      </c>
      <c r="CI40" s="167">
        <v>1.2423</v>
      </c>
      <c r="CJ40" s="167">
        <v>0.4733</v>
      </c>
      <c r="CK40" s="167">
        <v>0.41039999999999999</v>
      </c>
      <c r="CN40" s="168">
        <v>9869</v>
      </c>
      <c r="CO40" s="167">
        <v>9.3369</v>
      </c>
      <c r="CP40" s="167">
        <v>1.2512000000000001</v>
      </c>
      <c r="CQ40" s="167">
        <v>0.47670000000000001</v>
      </c>
      <c r="CR40" s="167">
        <v>0.41339999999999999</v>
      </c>
      <c r="CU40" s="168">
        <v>9869</v>
      </c>
      <c r="CV40" s="167">
        <v>9.3589000000000002</v>
      </c>
      <c r="CW40" s="167">
        <v>1.2541</v>
      </c>
      <c r="CX40" s="167">
        <v>0.4778</v>
      </c>
      <c r="CY40" s="167">
        <v>0.4143</v>
      </c>
      <c r="DB40" s="168">
        <v>9869</v>
      </c>
      <c r="DC40" s="167">
        <v>9.3820999999999994</v>
      </c>
      <c r="DD40" s="167">
        <v>1.2571999999999999</v>
      </c>
      <c r="DE40" s="167">
        <v>0.47899999999999998</v>
      </c>
      <c r="DF40" s="167">
        <v>0.41539999999999999</v>
      </c>
      <c r="DI40" s="168">
        <v>9869</v>
      </c>
      <c r="DJ40" s="167">
        <v>9.4015000000000004</v>
      </c>
      <c r="DK40" s="167">
        <v>1.2598</v>
      </c>
      <c r="DL40" s="167">
        <v>0.48</v>
      </c>
      <c r="DM40" s="167">
        <v>0.41620000000000001</v>
      </c>
      <c r="DN40" s="231"/>
      <c r="DO40" s="231"/>
      <c r="DP40" s="168">
        <v>9869</v>
      </c>
      <c r="DQ40" s="167">
        <v>9.4286999999999992</v>
      </c>
      <c r="DR40" s="167">
        <v>1.2635000000000001</v>
      </c>
      <c r="DS40" s="167">
        <v>0.48139999999999999</v>
      </c>
      <c r="DT40" s="167">
        <v>0.41739999999999999</v>
      </c>
      <c r="DW40" s="168">
        <v>9869</v>
      </c>
      <c r="DX40" s="167">
        <v>9.4593000000000007</v>
      </c>
      <c r="DY40" s="167">
        <v>1.2676000000000001</v>
      </c>
      <c r="DZ40" s="167">
        <v>0.4829</v>
      </c>
      <c r="EA40" s="167">
        <v>0.41880000000000001</v>
      </c>
      <c r="ED40" s="168">
        <v>9869</v>
      </c>
      <c r="EE40" s="167">
        <v>9.4893999999999998</v>
      </c>
      <c r="EF40" s="167">
        <v>1.2716000000000001</v>
      </c>
      <c r="EG40" s="167">
        <v>0.48449999999999999</v>
      </c>
      <c r="EH40" s="167">
        <v>0.42009999999999997</v>
      </c>
      <c r="EK40" s="168">
        <v>9869</v>
      </c>
      <c r="EL40" s="167">
        <v>9.5469000000000008</v>
      </c>
      <c r="EM40" s="167">
        <v>1.2793000000000001</v>
      </c>
      <c r="EN40" s="167">
        <v>0.4874</v>
      </c>
      <c r="EO40" s="167">
        <v>0.42270000000000002</v>
      </c>
      <c r="ER40" s="168">
        <v>9869</v>
      </c>
      <c r="ES40" s="167">
        <v>9.6057000000000006</v>
      </c>
      <c r="ET40" s="167">
        <v>1.2871999999999999</v>
      </c>
      <c r="EU40" s="167">
        <v>0.4904</v>
      </c>
      <c r="EV40" s="167">
        <v>0.42530000000000001</v>
      </c>
      <c r="EY40" s="168">
        <v>9869</v>
      </c>
      <c r="EZ40" s="167">
        <v>9.6229999999999993</v>
      </c>
      <c r="FA40" s="167">
        <v>1.2895000000000001</v>
      </c>
      <c r="FB40" s="167">
        <v>0.49130000000000001</v>
      </c>
      <c r="FC40" s="167">
        <v>0.42599999999999999</v>
      </c>
      <c r="FF40" s="168">
        <v>9869</v>
      </c>
      <c r="FG40" s="167">
        <v>9.6503999999999994</v>
      </c>
      <c r="FH40" s="167">
        <v>1.2931999999999999</v>
      </c>
      <c r="FI40" s="167">
        <v>0.49270000000000003</v>
      </c>
      <c r="FJ40" s="167">
        <v>0.42720000000000002</v>
      </c>
      <c r="FM40" s="168">
        <v>9869</v>
      </c>
      <c r="FN40" s="167">
        <v>9.6641999999999992</v>
      </c>
      <c r="FO40" s="167">
        <v>1.2949999999999999</v>
      </c>
      <c r="FP40" s="167">
        <v>0.49340000000000001</v>
      </c>
      <c r="FQ40" s="167">
        <v>0.4279</v>
      </c>
      <c r="FT40" s="168">
        <v>9869</v>
      </c>
      <c r="FU40" s="167">
        <f>VLOOKUP(FT40,Sheet4!A42:F118,3,0)</f>
        <v>9.6958000000000002</v>
      </c>
      <c r="FV40" s="167">
        <f>VLOOKUP(FT40,Sheet4!A42:F118,4,0)</f>
        <v>1.2992999999999999</v>
      </c>
      <c r="FW40" s="167">
        <f>VLOOKUP(FT40,Sheet4!A42:F118,5,0)</f>
        <v>0.495</v>
      </c>
      <c r="FX40" s="167">
        <f>VLOOKUP(FT40,Sheet4!A42:F118,6,0)</f>
        <v>0.42930000000000001</v>
      </c>
    </row>
    <row r="41" spans="1:180" x14ac:dyDescent="0.25">
      <c r="A41" s="9">
        <v>9870</v>
      </c>
      <c r="B41" s="9">
        <v>8.4641999999999999</v>
      </c>
      <c r="C41" s="9">
        <v>1.1342000000000001</v>
      </c>
      <c r="D41" s="9">
        <v>0.43209999999999998</v>
      </c>
      <c r="E41" s="9">
        <v>0.37469999999999998</v>
      </c>
      <c r="H41" s="9">
        <v>9870</v>
      </c>
      <c r="I41" s="9">
        <v>8.8765000000000001</v>
      </c>
      <c r="J41" s="9">
        <v>1.1895</v>
      </c>
      <c r="K41" s="9">
        <v>0.45319999999999999</v>
      </c>
      <c r="L41" s="9">
        <v>0.39300000000000002</v>
      </c>
      <c r="O41" s="154">
        <v>9870</v>
      </c>
      <c r="P41" s="154">
        <v>8.8970000000000002</v>
      </c>
      <c r="Q41" s="154">
        <v>1.1921999999999999</v>
      </c>
      <c r="R41" s="154">
        <v>0.45419999999999999</v>
      </c>
      <c r="S41" s="154">
        <v>0.39389999999999997</v>
      </c>
      <c r="V41" s="151">
        <v>9870</v>
      </c>
      <c r="W41" s="151">
        <v>8.9476999999999993</v>
      </c>
      <c r="X41" s="151">
        <v>1.1990000000000001</v>
      </c>
      <c r="Y41" s="151">
        <v>0.45679999999999998</v>
      </c>
      <c r="Z41" s="151">
        <v>0.39610000000000001</v>
      </c>
      <c r="AC41" s="155">
        <v>9870</v>
      </c>
      <c r="AD41" s="155">
        <v>9.0549999999999997</v>
      </c>
      <c r="AE41" s="155">
        <v>1.2134</v>
      </c>
      <c r="AF41" s="155">
        <v>0.46229999999999999</v>
      </c>
      <c r="AG41" s="155">
        <v>0.40089999999999998</v>
      </c>
      <c r="AJ41" s="160">
        <v>9870</v>
      </c>
      <c r="AK41" s="6">
        <v>9.1912000000000003</v>
      </c>
      <c r="AL41" s="6">
        <v>1.2317</v>
      </c>
      <c r="AM41" s="6">
        <v>0.46929999999999999</v>
      </c>
      <c r="AN41" s="6">
        <v>0.40689999999999998</v>
      </c>
      <c r="AQ41" s="129">
        <v>9870</v>
      </c>
      <c r="AR41" s="53">
        <v>9.2462</v>
      </c>
      <c r="AS41" s="53">
        <v>1.2390000000000001</v>
      </c>
      <c r="AT41" s="53">
        <v>0.47210000000000002</v>
      </c>
      <c r="AU41" s="53">
        <v>0.4093</v>
      </c>
      <c r="AX41" s="129">
        <v>9870</v>
      </c>
      <c r="AY41" s="53">
        <v>9.282</v>
      </c>
      <c r="AZ41" s="53">
        <v>1.2438</v>
      </c>
      <c r="BA41" s="53">
        <v>0.47389999999999999</v>
      </c>
      <c r="BB41" s="53">
        <v>0.41089999999999999</v>
      </c>
      <c r="BC41" s="3"/>
      <c r="BD41" s="182"/>
      <c r="BE41" s="180">
        <v>9870</v>
      </c>
      <c r="BF41" s="184">
        <v>9.2974999999999994</v>
      </c>
      <c r="BG41" s="184">
        <v>1.2459</v>
      </c>
      <c r="BH41" s="184">
        <v>0.47470000000000001</v>
      </c>
      <c r="BI41" s="53">
        <v>0.41160000000000002</v>
      </c>
      <c r="BL41" s="180">
        <v>9870</v>
      </c>
      <c r="BM41" s="53">
        <v>9.3790999999999993</v>
      </c>
      <c r="BN41" s="53">
        <v>1.2567999999999999</v>
      </c>
      <c r="BO41" s="53">
        <v>0.47889999999999999</v>
      </c>
      <c r="BP41" s="53">
        <v>0.41520000000000001</v>
      </c>
      <c r="BS41" s="180">
        <v>9870</v>
      </c>
      <c r="BT41" s="53">
        <v>9.4893000000000001</v>
      </c>
      <c r="BU41" s="53">
        <v>1.2716000000000001</v>
      </c>
      <c r="BV41" s="53">
        <v>0.48449999999999999</v>
      </c>
      <c r="BW41" s="53">
        <v>0.42009999999999997</v>
      </c>
      <c r="BZ41" s="180">
        <v>9870</v>
      </c>
      <c r="CA41" s="53">
        <v>9.5243000000000002</v>
      </c>
      <c r="CB41" s="53">
        <v>1.2763</v>
      </c>
      <c r="CC41" s="53">
        <v>0.48630000000000001</v>
      </c>
      <c r="CD41" s="53">
        <v>0.42170000000000002</v>
      </c>
      <c r="CG41" s="180">
        <v>9870</v>
      </c>
      <c r="CH41" s="53">
        <v>9.5525000000000002</v>
      </c>
      <c r="CI41" s="53">
        <v>1.2801</v>
      </c>
      <c r="CJ41" s="53">
        <v>0.48770000000000002</v>
      </c>
      <c r="CK41" s="53">
        <v>0.4229</v>
      </c>
      <c r="CN41" s="170">
        <v>9870</v>
      </c>
      <c r="CO41" s="53">
        <v>9.6184999999999992</v>
      </c>
      <c r="CP41" s="53">
        <v>1.2888999999999999</v>
      </c>
      <c r="CQ41" s="53">
        <v>0.49109999999999998</v>
      </c>
      <c r="CR41" s="53">
        <v>0.42580000000000001</v>
      </c>
      <c r="CU41" s="170">
        <v>9870</v>
      </c>
      <c r="CV41" s="53">
        <v>9.6404999999999994</v>
      </c>
      <c r="CW41" s="53">
        <v>1.2919</v>
      </c>
      <c r="CX41" s="53">
        <v>0.49220000000000003</v>
      </c>
      <c r="CY41" s="53">
        <v>0.42680000000000001</v>
      </c>
      <c r="DB41" s="170">
        <v>9870</v>
      </c>
      <c r="DC41" s="53">
        <v>9.6637000000000004</v>
      </c>
      <c r="DD41" s="53">
        <v>1.2949999999999999</v>
      </c>
      <c r="DE41" s="53">
        <v>0.49340000000000001</v>
      </c>
      <c r="DF41" s="53">
        <v>0.42780000000000001</v>
      </c>
      <c r="DI41" s="170">
        <v>9870</v>
      </c>
      <c r="DJ41" s="53">
        <v>9.6830999999999996</v>
      </c>
      <c r="DK41" s="53">
        <v>1.2976000000000001</v>
      </c>
      <c r="DL41" s="53">
        <v>0.49440000000000001</v>
      </c>
      <c r="DM41" s="53">
        <v>0.42870000000000003</v>
      </c>
      <c r="DN41" s="231"/>
      <c r="DO41" s="231"/>
      <c r="DP41" s="170">
        <v>9870</v>
      </c>
      <c r="DQ41" s="53">
        <v>9.7103000000000002</v>
      </c>
      <c r="DR41" s="53">
        <v>1.3011999999999999</v>
      </c>
      <c r="DS41" s="53">
        <v>0.49580000000000002</v>
      </c>
      <c r="DT41" s="53">
        <v>0.4299</v>
      </c>
      <c r="DW41" s="170">
        <v>9870</v>
      </c>
      <c r="DX41" s="53">
        <v>9.7408999999999999</v>
      </c>
      <c r="DY41" s="53">
        <v>1.3052999999999999</v>
      </c>
      <c r="DZ41" s="53">
        <v>0.49730000000000002</v>
      </c>
      <c r="EA41" s="53">
        <v>0.43130000000000002</v>
      </c>
      <c r="ED41" s="170">
        <v>9870</v>
      </c>
      <c r="EE41" s="53">
        <v>9.7710000000000008</v>
      </c>
      <c r="EF41" s="53">
        <v>1.3093999999999999</v>
      </c>
      <c r="EG41" s="53">
        <v>0.49890000000000001</v>
      </c>
      <c r="EH41" s="53">
        <v>0.43259999999999998</v>
      </c>
      <c r="EK41" s="170">
        <v>9870</v>
      </c>
      <c r="EL41" s="53">
        <v>9.8285</v>
      </c>
      <c r="EM41" s="53">
        <v>1.3170999999999999</v>
      </c>
      <c r="EN41" s="53">
        <v>0.50180000000000002</v>
      </c>
      <c r="EO41" s="53">
        <v>0.43509999999999999</v>
      </c>
      <c r="ER41" s="170">
        <v>9870</v>
      </c>
      <c r="ES41" s="53">
        <v>9.8872999999999998</v>
      </c>
      <c r="ET41" s="53">
        <v>1.3249</v>
      </c>
      <c r="EU41" s="53">
        <v>0.50480000000000003</v>
      </c>
      <c r="EV41" s="53">
        <v>0.43769999999999998</v>
      </c>
      <c r="EY41" s="170">
        <v>9870</v>
      </c>
      <c r="EZ41" s="53">
        <v>9.9046000000000003</v>
      </c>
      <c r="FA41" s="53">
        <v>1.3272999999999999</v>
      </c>
      <c r="FB41" s="53">
        <v>0.50570000000000004</v>
      </c>
      <c r="FC41" s="53">
        <v>0.4385</v>
      </c>
      <c r="FF41" s="170">
        <v>9870</v>
      </c>
      <c r="FG41" s="53">
        <v>9.9320000000000004</v>
      </c>
      <c r="FH41" s="53">
        <v>1.3309</v>
      </c>
      <c r="FI41" s="53">
        <v>0.5071</v>
      </c>
      <c r="FJ41" s="53">
        <v>0.43969999999999998</v>
      </c>
      <c r="FM41" s="170">
        <v>9870</v>
      </c>
      <c r="FN41" s="53">
        <v>9.9458000000000002</v>
      </c>
      <c r="FO41" s="53">
        <v>1.3328</v>
      </c>
      <c r="FP41" s="53">
        <v>0.50780000000000003</v>
      </c>
      <c r="FQ41" s="53">
        <v>0.44030000000000002</v>
      </c>
      <c r="FT41" s="170">
        <v>9870</v>
      </c>
      <c r="FU41" s="53">
        <f>VLOOKUP(FT41,Sheet4!A43:F119,3,0)</f>
        <v>9.9773999999999994</v>
      </c>
      <c r="FV41" s="53">
        <f>VLOOKUP(FT41,Sheet4!A43:F119,4,0)</f>
        <v>1.337</v>
      </c>
      <c r="FW41" s="53">
        <f>VLOOKUP(FT41,Sheet4!A43:F119,5,0)</f>
        <v>0.50939999999999996</v>
      </c>
      <c r="FX41" s="53">
        <f>VLOOKUP(FT41,Sheet4!A43:F119,6,0)</f>
        <v>0.44169999999999998</v>
      </c>
    </row>
    <row r="42" spans="1:180" x14ac:dyDescent="0.25">
      <c r="A42" s="9">
        <v>9871</v>
      </c>
      <c r="B42" s="9">
        <v>7.7766000000000002</v>
      </c>
      <c r="C42" s="9">
        <v>1.0421</v>
      </c>
      <c r="D42" s="9">
        <v>0.39700000000000002</v>
      </c>
      <c r="E42" s="9">
        <v>0.34429999999999999</v>
      </c>
      <c r="H42" s="9">
        <v>9871</v>
      </c>
      <c r="I42" s="9">
        <v>8.1005000000000003</v>
      </c>
      <c r="J42" s="9">
        <v>1.0854999999999999</v>
      </c>
      <c r="K42" s="9">
        <v>0.41360000000000002</v>
      </c>
      <c r="L42" s="9">
        <v>0.35859999999999997</v>
      </c>
      <c r="O42" s="148">
        <v>9871</v>
      </c>
      <c r="P42" s="148">
        <v>8.1166</v>
      </c>
      <c r="Q42" s="148">
        <v>1.0876999999999999</v>
      </c>
      <c r="R42" s="148">
        <v>0.41439999999999999</v>
      </c>
      <c r="S42" s="148">
        <v>0.35930000000000001</v>
      </c>
      <c r="V42" s="151">
        <v>9871</v>
      </c>
      <c r="W42" s="151">
        <v>8.1563999999999997</v>
      </c>
      <c r="X42" s="151">
        <v>1.093</v>
      </c>
      <c r="Y42" s="151">
        <v>0.41639999999999999</v>
      </c>
      <c r="Z42" s="151">
        <v>0.36109999999999998</v>
      </c>
      <c r="AC42" s="155">
        <v>9871</v>
      </c>
      <c r="AD42" s="155">
        <v>8.2407000000000004</v>
      </c>
      <c r="AE42" s="155">
        <v>1.1043000000000001</v>
      </c>
      <c r="AF42" s="155">
        <v>0.42070000000000002</v>
      </c>
      <c r="AG42" s="155">
        <v>0.36480000000000001</v>
      </c>
      <c r="AJ42" s="168">
        <v>9871</v>
      </c>
      <c r="AK42" s="169">
        <v>8.3476999999999997</v>
      </c>
      <c r="AL42" s="169">
        <v>1.1186</v>
      </c>
      <c r="AM42" s="169">
        <v>0.42620000000000002</v>
      </c>
      <c r="AN42" s="169">
        <v>0.36959999999999998</v>
      </c>
      <c r="AQ42" s="165">
        <v>9871</v>
      </c>
      <c r="AR42" s="167">
        <v>8.3909000000000002</v>
      </c>
      <c r="AS42" s="167">
        <v>1.1244000000000001</v>
      </c>
      <c r="AT42" s="167">
        <v>0.4284</v>
      </c>
      <c r="AU42" s="167">
        <v>0.3715</v>
      </c>
      <c r="AX42" s="165">
        <v>9871</v>
      </c>
      <c r="AY42" s="167">
        <v>8.4190000000000005</v>
      </c>
      <c r="AZ42" s="167">
        <v>1.1282000000000001</v>
      </c>
      <c r="BA42" s="167">
        <v>0.42980000000000002</v>
      </c>
      <c r="BB42" s="167">
        <v>0.37269999999999998</v>
      </c>
      <c r="BC42" s="3"/>
      <c r="BD42" s="182"/>
      <c r="BE42" s="165">
        <v>9871</v>
      </c>
      <c r="BF42" s="167">
        <v>8.4312000000000005</v>
      </c>
      <c r="BG42" s="167">
        <v>1.1297999999999999</v>
      </c>
      <c r="BH42" s="167">
        <v>0.43049999999999999</v>
      </c>
      <c r="BI42" s="167">
        <v>0.37330000000000002</v>
      </c>
      <c r="BL42" s="165">
        <v>9871</v>
      </c>
      <c r="BM42" s="167">
        <v>8.4954000000000001</v>
      </c>
      <c r="BN42" s="167">
        <v>1.1384000000000001</v>
      </c>
      <c r="BO42" s="167">
        <v>0.43369999999999997</v>
      </c>
      <c r="BP42" s="167">
        <v>0.37609999999999999</v>
      </c>
      <c r="BS42" s="165">
        <v>9871</v>
      </c>
      <c r="BT42" s="167">
        <v>8.5820000000000007</v>
      </c>
      <c r="BU42" s="167">
        <v>1.1499999999999999</v>
      </c>
      <c r="BV42" s="167">
        <v>0.43819999999999998</v>
      </c>
      <c r="BW42" s="167">
        <v>0.37990000000000002</v>
      </c>
      <c r="BZ42" s="165">
        <v>9871</v>
      </c>
      <c r="CA42" s="167">
        <v>8.6095000000000006</v>
      </c>
      <c r="CB42" s="167">
        <v>1.1536999999999999</v>
      </c>
      <c r="CC42" s="167">
        <v>0.43959999999999999</v>
      </c>
      <c r="CD42" s="167">
        <v>0.38119999999999998</v>
      </c>
      <c r="CG42" s="165">
        <v>9871</v>
      </c>
      <c r="CH42" s="167">
        <v>8.6316000000000006</v>
      </c>
      <c r="CI42" s="167">
        <v>1.1567000000000001</v>
      </c>
      <c r="CJ42" s="167">
        <v>0.44069999999999998</v>
      </c>
      <c r="CK42" s="167">
        <v>0.3821</v>
      </c>
      <c r="CN42" s="168">
        <v>9871</v>
      </c>
      <c r="CO42" s="167">
        <v>8.6835000000000004</v>
      </c>
      <c r="CP42" s="167">
        <v>1.1636</v>
      </c>
      <c r="CQ42" s="167">
        <v>0.44330000000000003</v>
      </c>
      <c r="CR42" s="167">
        <v>0.38440000000000002</v>
      </c>
      <c r="CU42" s="168">
        <v>9871</v>
      </c>
      <c r="CV42" s="167">
        <v>8.7007999999999992</v>
      </c>
      <c r="CW42" s="167">
        <v>1.1658999999999999</v>
      </c>
      <c r="CX42" s="167">
        <v>0.44419999999999998</v>
      </c>
      <c r="CY42" s="167">
        <v>0.38519999999999999</v>
      </c>
      <c r="DB42" s="168">
        <v>9871</v>
      </c>
      <c r="DC42" s="167">
        <v>8.7189999999999994</v>
      </c>
      <c r="DD42" s="167">
        <v>1.1683999999999999</v>
      </c>
      <c r="DE42" s="167">
        <v>0.44519999999999998</v>
      </c>
      <c r="DF42" s="167">
        <v>0.38600000000000001</v>
      </c>
      <c r="DI42" s="168">
        <v>9871</v>
      </c>
      <c r="DJ42" s="167">
        <v>8.7342999999999993</v>
      </c>
      <c r="DK42" s="167">
        <v>1.1704000000000001</v>
      </c>
      <c r="DL42" s="167">
        <v>0.44590000000000002</v>
      </c>
      <c r="DM42" s="167">
        <v>0.38669999999999999</v>
      </c>
      <c r="DN42" s="231"/>
      <c r="DO42" s="231"/>
      <c r="DP42" s="168">
        <v>9871</v>
      </c>
      <c r="DQ42" s="167">
        <v>8.7556999999999992</v>
      </c>
      <c r="DR42" s="167">
        <v>1.1733</v>
      </c>
      <c r="DS42" s="167">
        <v>0.44700000000000001</v>
      </c>
      <c r="DT42" s="167">
        <v>0.3876</v>
      </c>
      <c r="DW42" s="168">
        <v>9871</v>
      </c>
      <c r="DX42" s="167">
        <v>8.7797000000000001</v>
      </c>
      <c r="DY42" s="167">
        <v>1.1765000000000001</v>
      </c>
      <c r="DZ42" s="167">
        <v>0.44829999999999998</v>
      </c>
      <c r="EA42" s="167">
        <v>0.38869999999999999</v>
      </c>
      <c r="ED42" s="168">
        <v>9871</v>
      </c>
      <c r="EE42" s="167">
        <v>8.8033999999999999</v>
      </c>
      <c r="EF42" s="167">
        <v>1.1797</v>
      </c>
      <c r="EG42" s="167">
        <v>0.44950000000000001</v>
      </c>
      <c r="EH42" s="167">
        <v>0.38969999999999999</v>
      </c>
      <c r="EK42" s="168">
        <v>9871</v>
      </c>
      <c r="EL42" s="167">
        <v>8.8485999999999994</v>
      </c>
      <c r="EM42" s="167">
        <v>1.1857</v>
      </c>
      <c r="EN42" s="167">
        <v>0.45179999999999998</v>
      </c>
      <c r="EO42" s="167">
        <v>0.39169999999999999</v>
      </c>
      <c r="ER42" s="168">
        <v>9871</v>
      </c>
      <c r="ES42" s="167">
        <v>8.8948</v>
      </c>
      <c r="ET42" s="167">
        <v>1.1919</v>
      </c>
      <c r="EU42" s="167">
        <v>0.4541</v>
      </c>
      <c r="EV42" s="167">
        <v>0.39379999999999998</v>
      </c>
      <c r="EY42" s="168">
        <v>9871</v>
      </c>
      <c r="EZ42" s="167">
        <v>8.9084000000000003</v>
      </c>
      <c r="FA42" s="167">
        <v>1.1938</v>
      </c>
      <c r="FB42" s="167">
        <v>0.45479999999999998</v>
      </c>
      <c r="FC42" s="167">
        <v>0.39439999999999997</v>
      </c>
      <c r="FF42" s="168">
        <v>9871</v>
      </c>
      <c r="FG42" s="167">
        <v>8.93</v>
      </c>
      <c r="FH42" s="167">
        <v>1.1967000000000001</v>
      </c>
      <c r="FI42" s="167">
        <v>0.45590000000000003</v>
      </c>
      <c r="FJ42" s="167">
        <v>0.39539999999999997</v>
      </c>
      <c r="FM42" s="168">
        <v>9871</v>
      </c>
      <c r="FN42" s="167">
        <v>8.9407999999999994</v>
      </c>
      <c r="FO42" s="167">
        <v>1.1980999999999999</v>
      </c>
      <c r="FP42" s="167">
        <v>0.45650000000000002</v>
      </c>
      <c r="FQ42" s="167">
        <v>0.39579999999999999</v>
      </c>
      <c r="FT42" s="168">
        <v>9871</v>
      </c>
      <c r="FU42" s="167">
        <f>VLOOKUP(FT42,Sheet4!A44:F120,3,0)</f>
        <v>8.9656000000000002</v>
      </c>
      <c r="FV42" s="167">
        <f>VLOOKUP(FT42,Sheet4!A44:F120,4,0)</f>
        <v>1.2014</v>
      </c>
      <c r="FW42" s="167">
        <f>VLOOKUP(FT42,Sheet4!A44:F120,5,0)</f>
        <v>0.4577</v>
      </c>
      <c r="FX42" s="167">
        <f>VLOOKUP(FT42,Sheet4!A44:F120,6,0)</f>
        <v>0.39689999999999998</v>
      </c>
    </row>
    <row r="43" spans="1:180" x14ac:dyDescent="0.25">
      <c r="A43" s="9">
        <v>9872</v>
      </c>
      <c r="B43" s="9">
        <v>7.0101000000000004</v>
      </c>
      <c r="C43" s="9">
        <v>0.93940000000000001</v>
      </c>
      <c r="D43" s="9">
        <v>0.3579</v>
      </c>
      <c r="E43" s="9">
        <v>0.31040000000000001</v>
      </c>
      <c r="H43" s="9">
        <v>9872</v>
      </c>
      <c r="I43" s="9">
        <v>7.3339999999999996</v>
      </c>
      <c r="J43" s="9">
        <v>0.98280000000000001</v>
      </c>
      <c r="K43" s="9">
        <v>0.37440000000000001</v>
      </c>
      <c r="L43" s="9">
        <v>0.32469999999999999</v>
      </c>
      <c r="O43" s="154">
        <v>9872</v>
      </c>
      <c r="P43" s="154">
        <v>7.3501000000000003</v>
      </c>
      <c r="Q43" s="154">
        <v>0.9849</v>
      </c>
      <c r="R43" s="154">
        <v>0.37530000000000002</v>
      </c>
      <c r="S43" s="154">
        <v>0.32540000000000002</v>
      </c>
      <c r="V43" s="151">
        <v>9872</v>
      </c>
      <c r="W43" s="151">
        <v>7.3898999999999999</v>
      </c>
      <c r="X43" s="151">
        <v>0.99029999999999996</v>
      </c>
      <c r="Y43" s="151">
        <v>0.37730000000000002</v>
      </c>
      <c r="Z43" s="151">
        <v>0.32719999999999999</v>
      </c>
      <c r="AC43" s="155">
        <v>9872</v>
      </c>
      <c r="AD43" s="155">
        <v>7.4741999999999997</v>
      </c>
      <c r="AE43" s="155">
        <v>1.0016</v>
      </c>
      <c r="AF43" s="155">
        <v>0.38159999999999999</v>
      </c>
      <c r="AG43" s="155">
        <v>0.33090000000000003</v>
      </c>
      <c r="AJ43" s="160">
        <v>9872</v>
      </c>
      <c r="AK43" s="6">
        <v>7.5811999999999999</v>
      </c>
      <c r="AL43" s="6">
        <v>1.0159</v>
      </c>
      <c r="AM43" s="6">
        <v>0.3871</v>
      </c>
      <c r="AN43" s="6">
        <v>0.33560000000000001</v>
      </c>
      <c r="AQ43" s="129">
        <v>9872</v>
      </c>
      <c r="AR43" s="53">
        <v>7.6243999999999996</v>
      </c>
      <c r="AS43" s="53">
        <v>1.0217000000000001</v>
      </c>
      <c r="AT43" s="53">
        <v>0.38929999999999998</v>
      </c>
      <c r="AU43" s="53">
        <v>0.33750000000000002</v>
      </c>
      <c r="AX43" s="129">
        <v>9872</v>
      </c>
      <c r="AY43" s="53">
        <v>7.6524999999999999</v>
      </c>
      <c r="AZ43" s="53">
        <v>1.0255000000000001</v>
      </c>
      <c r="BA43" s="53">
        <v>0.39069999999999999</v>
      </c>
      <c r="BB43" s="53">
        <v>0.33879999999999999</v>
      </c>
      <c r="BC43" s="3"/>
      <c r="BD43" s="182"/>
      <c r="BE43" s="129">
        <v>9872</v>
      </c>
      <c r="BF43" s="53">
        <v>7.6646999999999998</v>
      </c>
      <c r="BG43" s="53">
        <v>1.0270999999999999</v>
      </c>
      <c r="BH43" s="53">
        <v>0.39129999999999998</v>
      </c>
      <c r="BI43" s="53">
        <v>0.33929999999999999</v>
      </c>
      <c r="BL43" s="129">
        <v>9872</v>
      </c>
      <c r="BM43" s="53">
        <v>7.7289000000000003</v>
      </c>
      <c r="BN43" s="53">
        <v>1.0357000000000001</v>
      </c>
      <c r="BO43" s="53">
        <v>0.39460000000000001</v>
      </c>
      <c r="BP43" s="53">
        <v>0.3422</v>
      </c>
      <c r="BS43" s="129">
        <v>9872</v>
      </c>
      <c r="BT43" s="53">
        <v>7.8155000000000001</v>
      </c>
      <c r="BU43" s="53">
        <v>1.0472999999999999</v>
      </c>
      <c r="BV43" s="53">
        <v>0.39900000000000002</v>
      </c>
      <c r="BW43" s="53">
        <v>0.34599999999999997</v>
      </c>
      <c r="BZ43" s="129">
        <v>9872</v>
      </c>
      <c r="CA43" s="53">
        <v>7.843</v>
      </c>
      <c r="CB43" s="53">
        <v>1.0509999999999999</v>
      </c>
      <c r="CC43" s="53">
        <v>0.40039999999999998</v>
      </c>
      <c r="CD43" s="53">
        <v>0.34720000000000001</v>
      </c>
      <c r="CG43" s="129">
        <v>9872</v>
      </c>
      <c r="CH43" s="53">
        <v>7.8651</v>
      </c>
      <c r="CI43" s="53">
        <v>1.054</v>
      </c>
      <c r="CJ43" s="53">
        <v>0.40160000000000001</v>
      </c>
      <c r="CK43" s="53">
        <v>0.34820000000000001</v>
      </c>
      <c r="CN43" s="207">
        <v>9872</v>
      </c>
      <c r="CO43" s="53">
        <v>7.9169999999999998</v>
      </c>
      <c r="CP43" s="53">
        <v>1.0609</v>
      </c>
      <c r="CQ43" s="53">
        <v>0.4042</v>
      </c>
      <c r="CR43" s="53">
        <v>0.35049999999999998</v>
      </c>
      <c r="CU43" s="215">
        <v>9872</v>
      </c>
      <c r="CV43" s="53">
        <v>7.9343000000000004</v>
      </c>
      <c r="CW43" s="53">
        <v>1.0631999999999999</v>
      </c>
      <c r="CX43" s="53">
        <v>0.40510000000000002</v>
      </c>
      <c r="CY43" s="53">
        <v>0.3513</v>
      </c>
      <c r="DB43" s="217">
        <v>9872</v>
      </c>
      <c r="DC43" s="53">
        <v>7.9525000000000006</v>
      </c>
      <c r="DD43" s="53">
        <v>1.0657000000000001</v>
      </c>
      <c r="DE43" s="53">
        <v>0.40600000000000003</v>
      </c>
      <c r="DF43" s="53">
        <v>0.35210000000000002</v>
      </c>
      <c r="DI43" s="222">
        <v>9872</v>
      </c>
      <c r="DJ43" s="53">
        <v>7.9678000000000004</v>
      </c>
      <c r="DK43" s="53">
        <v>1.0677000000000001</v>
      </c>
      <c r="DL43" s="53">
        <v>0.40679999999999999</v>
      </c>
      <c r="DM43" s="53">
        <v>0.3528</v>
      </c>
      <c r="DN43" s="231"/>
      <c r="DO43" s="231"/>
      <c r="DP43" s="227">
        <v>9872</v>
      </c>
      <c r="DQ43" s="53">
        <v>7.9892000000000003</v>
      </c>
      <c r="DR43" s="53">
        <v>1.0706</v>
      </c>
      <c r="DS43" s="53">
        <v>0.40789999999999998</v>
      </c>
      <c r="DT43" s="53">
        <v>0.35370000000000001</v>
      </c>
      <c r="DW43" s="235">
        <v>9872</v>
      </c>
      <c r="DX43" s="53">
        <v>8.0131999999999994</v>
      </c>
      <c r="DY43" s="53">
        <v>1.0738000000000001</v>
      </c>
      <c r="DZ43" s="53">
        <v>0.40910000000000002</v>
      </c>
      <c r="EA43" s="53">
        <v>0.3548</v>
      </c>
      <c r="ED43" s="237">
        <v>9872</v>
      </c>
      <c r="EE43" s="53">
        <v>8.0368999999999993</v>
      </c>
      <c r="EF43" s="53">
        <v>1.077</v>
      </c>
      <c r="EG43" s="53">
        <v>0.4103</v>
      </c>
      <c r="EH43" s="53">
        <v>0.35580000000000001</v>
      </c>
      <c r="EK43" s="239">
        <v>9872</v>
      </c>
      <c r="EL43" s="53">
        <v>8.0821000000000005</v>
      </c>
      <c r="EM43" s="53">
        <v>1.083</v>
      </c>
      <c r="EN43" s="53">
        <v>0.41260000000000002</v>
      </c>
      <c r="EO43" s="53">
        <v>0.35780000000000001</v>
      </c>
      <c r="ER43" s="243">
        <v>9872</v>
      </c>
      <c r="ES43" s="53">
        <v>8.1282999999999994</v>
      </c>
      <c r="ET43" s="53">
        <v>1.0891999999999999</v>
      </c>
      <c r="EU43" s="53">
        <v>0.41499999999999998</v>
      </c>
      <c r="EV43" s="53">
        <v>0.3599</v>
      </c>
      <c r="EY43" s="245">
        <v>9872</v>
      </c>
      <c r="EZ43" s="53">
        <v>8.1418999999999997</v>
      </c>
      <c r="FA43" s="53">
        <v>1.091</v>
      </c>
      <c r="FB43" s="53">
        <v>0.41570000000000001</v>
      </c>
      <c r="FC43" s="53">
        <v>0.36049999999999999</v>
      </c>
      <c r="FF43" s="249">
        <v>9872</v>
      </c>
      <c r="FG43" s="53">
        <v>8.1635000000000009</v>
      </c>
      <c r="FH43" s="53">
        <v>1.0939000000000001</v>
      </c>
      <c r="FI43" s="53">
        <v>0.4168</v>
      </c>
      <c r="FJ43" s="53">
        <v>0.3614</v>
      </c>
      <c r="FM43" s="252">
        <v>9872</v>
      </c>
      <c r="FN43" s="53">
        <v>8.1743000000000006</v>
      </c>
      <c r="FO43" s="53">
        <v>1.0953999999999999</v>
      </c>
      <c r="FP43" s="53">
        <v>0.4173</v>
      </c>
      <c r="FQ43" s="53">
        <v>0.3619</v>
      </c>
      <c r="FT43" s="254">
        <v>9872</v>
      </c>
      <c r="FU43" s="53">
        <f>VLOOKUP(FT43,Sheet4!A45:F121,3,0)</f>
        <v>8.1990999999999996</v>
      </c>
      <c r="FV43" s="53">
        <f>VLOOKUP(FT43,Sheet4!A45:F121,4,0)</f>
        <v>1.0987</v>
      </c>
      <c r="FW43" s="53">
        <f>VLOOKUP(FT43,Sheet4!A45:F121,5,0)</f>
        <v>0.41860000000000003</v>
      </c>
      <c r="FX43" s="53">
        <f>VLOOKUP(FT43,Sheet4!A45:F121,6,0)</f>
        <v>0.36299999999999999</v>
      </c>
    </row>
    <row r="44" spans="1:180" x14ac:dyDescent="0.25">
      <c r="A44" s="9">
        <v>9873</v>
      </c>
      <c r="B44" s="9">
        <v>8.4641999999999999</v>
      </c>
      <c r="C44" s="9">
        <v>1.1342000000000001</v>
      </c>
      <c r="D44" s="9">
        <v>0.43209999999999998</v>
      </c>
      <c r="E44" s="9">
        <v>0.37469999999999998</v>
      </c>
      <c r="H44" s="9">
        <v>9873</v>
      </c>
      <c r="I44" s="9">
        <v>8.8765000000000001</v>
      </c>
      <c r="J44" s="9">
        <v>1.1895</v>
      </c>
      <c r="K44" s="9">
        <v>0.45319999999999999</v>
      </c>
      <c r="L44" s="9">
        <v>0.39300000000000002</v>
      </c>
      <c r="O44" s="148">
        <v>9873</v>
      </c>
      <c r="P44" s="148">
        <v>8.8970000000000002</v>
      </c>
      <c r="Q44" s="148">
        <v>1.1921999999999999</v>
      </c>
      <c r="R44" s="148">
        <v>0.45419999999999999</v>
      </c>
      <c r="S44" s="148">
        <v>0.39389999999999997</v>
      </c>
      <c r="V44" s="151">
        <v>9873</v>
      </c>
      <c r="W44" s="151">
        <v>8.9476999999999993</v>
      </c>
      <c r="X44" s="151">
        <v>1.1990000000000001</v>
      </c>
      <c r="Y44" s="151">
        <v>0.45679999999999998</v>
      </c>
      <c r="Z44" s="151">
        <v>0.39610000000000001</v>
      </c>
      <c r="AC44" s="155">
        <v>9873</v>
      </c>
      <c r="AD44" s="155">
        <v>9.0549999999999997</v>
      </c>
      <c r="AE44" s="155">
        <v>1.2134</v>
      </c>
      <c r="AF44" s="155">
        <v>0.46229999999999999</v>
      </c>
      <c r="AG44" s="155">
        <v>0.40089999999999998</v>
      </c>
      <c r="AJ44" s="168">
        <v>9873</v>
      </c>
      <c r="AK44" s="169">
        <v>9.1912000000000003</v>
      </c>
      <c r="AL44" s="169">
        <v>1.2317</v>
      </c>
      <c r="AM44" s="169">
        <v>0.46929999999999999</v>
      </c>
      <c r="AN44" s="169">
        <v>0.40689999999999998</v>
      </c>
      <c r="AQ44" s="165">
        <v>9873</v>
      </c>
      <c r="AR44" s="167">
        <v>9.2462</v>
      </c>
      <c r="AS44" s="167">
        <v>1.2390000000000001</v>
      </c>
      <c r="AT44" s="167">
        <v>0.47210000000000002</v>
      </c>
      <c r="AU44" s="167">
        <v>0.4093</v>
      </c>
      <c r="AX44" s="165">
        <v>9873</v>
      </c>
      <c r="AY44" s="167">
        <v>9.282</v>
      </c>
      <c r="AZ44" s="167">
        <v>1.2438</v>
      </c>
      <c r="BA44" s="167">
        <v>0.47389999999999999</v>
      </c>
      <c r="BB44" s="167">
        <v>0.41089999999999999</v>
      </c>
      <c r="BC44" s="3"/>
      <c r="BD44" s="182"/>
      <c r="BE44" s="165">
        <v>9873</v>
      </c>
      <c r="BF44" s="167">
        <v>9.2974999999999994</v>
      </c>
      <c r="BG44" s="167">
        <v>1.2459</v>
      </c>
      <c r="BH44" s="167">
        <v>0.47470000000000001</v>
      </c>
      <c r="BI44" s="167">
        <v>0.41160000000000002</v>
      </c>
      <c r="BL44" s="165">
        <v>9873</v>
      </c>
      <c r="BM44" s="167">
        <v>9.3790999999999993</v>
      </c>
      <c r="BN44" s="167">
        <v>1.2567999999999999</v>
      </c>
      <c r="BO44" s="167">
        <v>0.47889999999999999</v>
      </c>
      <c r="BP44" s="167">
        <v>0.41520000000000001</v>
      </c>
      <c r="BS44" s="165">
        <v>9873</v>
      </c>
      <c r="BT44" s="167">
        <v>9.4893000000000001</v>
      </c>
      <c r="BU44" s="167">
        <v>1.2716000000000001</v>
      </c>
      <c r="BV44" s="167">
        <v>0.48449999999999999</v>
      </c>
      <c r="BW44" s="167">
        <v>0.42009999999999997</v>
      </c>
      <c r="BZ44" s="165">
        <v>9873</v>
      </c>
      <c r="CA44" s="167">
        <v>9.5243000000000002</v>
      </c>
      <c r="CB44" s="167">
        <v>1.2763</v>
      </c>
      <c r="CC44" s="167">
        <v>0.48630000000000001</v>
      </c>
      <c r="CD44" s="167">
        <v>0.42170000000000002</v>
      </c>
      <c r="CG44" s="165">
        <v>9873</v>
      </c>
      <c r="CH44" s="167">
        <v>9.5525000000000002</v>
      </c>
      <c r="CI44" s="167">
        <v>1.2801</v>
      </c>
      <c r="CJ44" s="167">
        <v>0.48770000000000002</v>
      </c>
      <c r="CK44" s="167">
        <v>0.4229</v>
      </c>
      <c r="CN44" s="168">
        <v>9873</v>
      </c>
      <c r="CO44" s="167">
        <v>9.6184999999999992</v>
      </c>
      <c r="CP44" s="167">
        <v>1.2888999999999999</v>
      </c>
      <c r="CQ44" s="167">
        <v>0.49109999999999998</v>
      </c>
      <c r="CR44" s="167">
        <v>0.42580000000000001</v>
      </c>
      <c r="CU44" s="168">
        <v>9873</v>
      </c>
      <c r="CV44" s="167">
        <v>9.6404999999999994</v>
      </c>
      <c r="CW44" s="167">
        <v>1.2919</v>
      </c>
      <c r="CX44" s="167">
        <v>0.49220000000000003</v>
      </c>
      <c r="CY44" s="167">
        <v>0.42680000000000001</v>
      </c>
      <c r="DB44" s="168">
        <v>9873</v>
      </c>
      <c r="DC44" s="167">
        <v>9.6637000000000004</v>
      </c>
      <c r="DD44" s="167">
        <v>1.2949999999999999</v>
      </c>
      <c r="DE44" s="167">
        <v>0.49340000000000001</v>
      </c>
      <c r="DF44" s="167">
        <v>0.42780000000000001</v>
      </c>
      <c r="DI44" s="168">
        <v>9873</v>
      </c>
      <c r="DJ44" s="167">
        <v>9.6830999999999996</v>
      </c>
      <c r="DK44" s="167">
        <v>1.2976000000000001</v>
      </c>
      <c r="DL44" s="167">
        <v>0.49440000000000001</v>
      </c>
      <c r="DM44" s="167">
        <v>0.42870000000000003</v>
      </c>
      <c r="DN44" s="231"/>
      <c r="DO44" s="231"/>
      <c r="DP44" s="168">
        <v>9873</v>
      </c>
      <c r="DQ44" s="167">
        <v>9.7103000000000002</v>
      </c>
      <c r="DR44" s="167">
        <v>1.3011999999999999</v>
      </c>
      <c r="DS44" s="167">
        <v>0.49580000000000002</v>
      </c>
      <c r="DT44" s="167">
        <v>0.4299</v>
      </c>
      <c r="DW44" s="168">
        <v>9873</v>
      </c>
      <c r="DX44" s="167">
        <v>9.7408999999999999</v>
      </c>
      <c r="DY44" s="167">
        <v>1.3052999999999999</v>
      </c>
      <c r="DZ44" s="167">
        <v>0.49730000000000002</v>
      </c>
      <c r="EA44" s="167">
        <v>0.43130000000000002</v>
      </c>
      <c r="ED44" s="168">
        <v>9873</v>
      </c>
      <c r="EE44" s="167">
        <v>9.7710000000000008</v>
      </c>
      <c r="EF44" s="167">
        <v>1.3093999999999999</v>
      </c>
      <c r="EG44" s="167">
        <v>0.49890000000000001</v>
      </c>
      <c r="EH44" s="167">
        <v>0.43259999999999998</v>
      </c>
      <c r="EK44" s="168">
        <v>9873</v>
      </c>
      <c r="EL44" s="167">
        <v>9.8285</v>
      </c>
      <c r="EM44" s="167">
        <v>1.3170999999999999</v>
      </c>
      <c r="EN44" s="167">
        <v>0.50180000000000002</v>
      </c>
      <c r="EO44" s="167">
        <v>0.43509999999999999</v>
      </c>
      <c r="ER44" s="168">
        <v>9873</v>
      </c>
      <c r="ES44" s="167">
        <v>9.8872999999999998</v>
      </c>
      <c r="ET44" s="167">
        <v>1.3249</v>
      </c>
      <c r="EU44" s="167">
        <v>0.50480000000000003</v>
      </c>
      <c r="EV44" s="167">
        <v>0.43769999999999998</v>
      </c>
      <c r="EY44" s="168">
        <v>9873</v>
      </c>
      <c r="EZ44" s="167">
        <v>9.9046000000000003</v>
      </c>
      <c r="FA44" s="167">
        <v>1.3272999999999999</v>
      </c>
      <c r="FB44" s="167">
        <v>0.50570000000000004</v>
      </c>
      <c r="FC44" s="167">
        <v>0.4385</v>
      </c>
      <c r="FF44" s="168">
        <v>9873</v>
      </c>
      <c r="FG44" s="167">
        <v>9.9320000000000004</v>
      </c>
      <c r="FH44" s="167">
        <v>1.3309</v>
      </c>
      <c r="FI44" s="167">
        <v>0.5071</v>
      </c>
      <c r="FJ44" s="167">
        <v>0.43969999999999998</v>
      </c>
      <c r="FM44" s="168">
        <v>9873</v>
      </c>
      <c r="FN44" s="167">
        <v>9.9458000000000002</v>
      </c>
      <c r="FO44" s="167">
        <v>1.3328</v>
      </c>
      <c r="FP44" s="167">
        <v>0.50780000000000003</v>
      </c>
      <c r="FQ44" s="167">
        <v>0.44030000000000002</v>
      </c>
      <c r="FT44" s="168">
        <v>9873</v>
      </c>
      <c r="FU44" s="167">
        <f>VLOOKUP(FT44,Sheet4!A46:F122,3,0)</f>
        <v>9.9773999999999994</v>
      </c>
      <c r="FV44" s="167">
        <f>VLOOKUP(FT44,Sheet4!A46:F122,4,0)</f>
        <v>1.337</v>
      </c>
      <c r="FW44" s="167">
        <f>VLOOKUP(FT44,Sheet4!A46:F122,5,0)</f>
        <v>0.50939999999999996</v>
      </c>
      <c r="FX44" s="167">
        <f>VLOOKUP(FT44,Sheet4!A46:F122,6,0)</f>
        <v>0.44169999999999998</v>
      </c>
    </row>
    <row r="45" spans="1:180" x14ac:dyDescent="0.25">
      <c r="A45" s="9">
        <v>9874</v>
      </c>
      <c r="B45" s="9">
        <v>6.6546000000000003</v>
      </c>
      <c r="C45" s="9">
        <v>0.89170000000000005</v>
      </c>
      <c r="D45" s="9">
        <v>0.33979999999999999</v>
      </c>
      <c r="E45" s="9">
        <v>0.29459999999999997</v>
      </c>
      <c r="H45" s="9">
        <v>9874</v>
      </c>
      <c r="I45" s="9">
        <v>6.9785000000000004</v>
      </c>
      <c r="J45" s="9">
        <v>0.93510000000000004</v>
      </c>
      <c r="K45" s="9">
        <v>0.35630000000000001</v>
      </c>
      <c r="L45" s="9">
        <v>0.309</v>
      </c>
      <c r="O45" s="154">
        <v>9874</v>
      </c>
      <c r="P45" s="154">
        <v>6.9946000000000002</v>
      </c>
      <c r="Q45" s="154">
        <v>0.93730000000000002</v>
      </c>
      <c r="R45" s="154">
        <v>0.35709999999999997</v>
      </c>
      <c r="S45" s="154">
        <v>0.30969999999999998</v>
      </c>
      <c r="V45" s="151">
        <v>9874</v>
      </c>
      <c r="W45" s="151">
        <v>7.0343999999999998</v>
      </c>
      <c r="X45" s="151">
        <v>0.94259999999999999</v>
      </c>
      <c r="Y45" s="151">
        <v>0.35909999999999997</v>
      </c>
      <c r="Z45" s="151">
        <v>0.31140000000000001</v>
      </c>
      <c r="AC45" s="155">
        <v>9874</v>
      </c>
      <c r="AD45" s="155">
        <v>7.1186999999999996</v>
      </c>
      <c r="AE45" s="155">
        <v>0.95389999999999997</v>
      </c>
      <c r="AF45" s="155">
        <v>0.3634</v>
      </c>
      <c r="AG45" s="155">
        <v>0.31519999999999998</v>
      </c>
      <c r="AJ45" s="170">
        <v>9874</v>
      </c>
      <c r="AK45" s="171">
        <v>7.2256999999999998</v>
      </c>
      <c r="AL45" s="171">
        <v>0.96830000000000005</v>
      </c>
      <c r="AM45" s="171">
        <v>0.36890000000000001</v>
      </c>
      <c r="AN45" s="171">
        <v>0.31990000000000002</v>
      </c>
      <c r="AQ45" s="129">
        <v>9874</v>
      </c>
      <c r="AR45" s="53">
        <v>7.2689000000000004</v>
      </c>
      <c r="AS45" s="53">
        <v>0.97409999999999997</v>
      </c>
      <c r="AT45" s="53">
        <v>0.37109999999999999</v>
      </c>
      <c r="AU45" s="53">
        <v>0.32179999999999997</v>
      </c>
      <c r="AX45" s="129">
        <v>9874</v>
      </c>
      <c r="AY45" s="53">
        <v>7.2969999999999997</v>
      </c>
      <c r="AZ45" s="53">
        <v>0.9778</v>
      </c>
      <c r="BA45" s="53">
        <v>0.37259999999999999</v>
      </c>
      <c r="BB45" s="53">
        <v>0.3231</v>
      </c>
      <c r="BC45" s="3"/>
      <c r="BD45" s="182"/>
      <c r="BE45" s="129">
        <v>9874</v>
      </c>
      <c r="BF45" s="53">
        <v>7.3091999999999997</v>
      </c>
      <c r="BG45" s="53">
        <v>0.97950000000000004</v>
      </c>
      <c r="BH45" s="53">
        <v>0.37319999999999998</v>
      </c>
      <c r="BI45" s="53">
        <v>0.3236</v>
      </c>
      <c r="BL45" s="129">
        <v>9874</v>
      </c>
      <c r="BM45" s="53">
        <v>7.3734000000000002</v>
      </c>
      <c r="BN45" s="53">
        <v>0.98809999999999998</v>
      </c>
      <c r="BO45" s="53">
        <v>0.3765</v>
      </c>
      <c r="BP45" s="53">
        <v>0.32640000000000002</v>
      </c>
      <c r="BS45" s="129">
        <v>9874</v>
      </c>
      <c r="BT45" s="53">
        <v>7.46</v>
      </c>
      <c r="BU45" s="53">
        <v>0.99970000000000003</v>
      </c>
      <c r="BV45" s="53">
        <v>0.38090000000000002</v>
      </c>
      <c r="BW45" s="53">
        <v>0.33029999999999998</v>
      </c>
      <c r="BZ45" s="129">
        <v>9874</v>
      </c>
      <c r="CA45" s="53">
        <v>7.4874999999999998</v>
      </c>
      <c r="CB45" s="53">
        <v>1.0034000000000001</v>
      </c>
      <c r="CC45" s="53">
        <v>0.38229999999999997</v>
      </c>
      <c r="CD45" s="53">
        <v>0.33150000000000002</v>
      </c>
      <c r="CG45" s="129">
        <v>9874</v>
      </c>
      <c r="CH45" s="53">
        <v>7.5095999999999998</v>
      </c>
      <c r="CI45" s="53">
        <v>1.0063</v>
      </c>
      <c r="CJ45" s="53">
        <v>0.38340000000000002</v>
      </c>
      <c r="CK45" s="53">
        <v>0.33250000000000002</v>
      </c>
      <c r="CN45" s="207">
        <v>9874</v>
      </c>
      <c r="CO45" s="53">
        <v>7.5614999999999997</v>
      </c>
      <c r="CP45" s="53">
        <v>1.0133000000000001</v>
      </c>
      <c r="CQ45" s="53">
        <v>0.3861</v>
      </c>
      <c r="CR45" s="53">
        <v>0.33479999999999999</v>
      </c>
      <c r="CU45" s="215">
        <v>9874</v>
      </c>
      <c r="CV45" s="53">
        <v>7.5788000000000002</v>
      </c>
      <c r="CW45" s="53">
        <v>1.0156000000000001</v>
      </c>
      <c r="CX45" s="53">
        <v>0.38690000000000002</v>
      </c>
      <c r="CY45" s="53">
        <v>0.33550000000000002</v>
      </c>
      <c r="DB45" s="217">
        <v>9874</v>
      </c>
      <c r="DC45" s="53">
        <v>7.5969999999999995</v>
      </c>
      <c r="DD45" s="53">
        <v>1.018</v>
      </c>
      <c r="DE45" s="53">
        <v>0.38790000000000002</v>
      </c>
      <c r="DF45" s="53">
        <v>0.33629999999999999</v>
      </c>
      <c r="DI45" s="222">
        <v>9874</v>
      </c>
      <c r="DJ45" s="53">
        <v>7.6123000000000003</v>
      </c>
      <c r="DK45" s="53">
        <v>1.0201</v>
      </c>
      <c r="DL45" s="53">
        <v>0.3886</v>
      </c>
      <c r="DM45" s="53">
        <v>0.33700000000000002</v>
      </c>
      <c r="DN45" s="231"/>
      <c r="DO45" s="231"/>
      <c r="DP45" s="227">
        <v>9874</v>
      </c>
      <c r="DQ45" s="53">
        <v>7.6337000000000002</v>
      </c>
      <c r="DR45" s="53">
        <v>1.0228999999999999</v>
      </c>
      <c r="DS45" s="53">
        <v>0.38969999999999999</v>
      </c>
      <c r="DT45" s="53">
        <v>0.33800000000000002</v>
      </c>
      <c r="DW45" s="235">
        <v>9874</v>
      </c>
      <c r="DX45" s="53">
        <v>7.6577000000000002</v>
      </c>
      <c r="DY45" s="53">
        <v>1.0262</v>
      </c>
      <c r="DZ45" s="53">
        <v>0.39100000000000001</v>
      </c>
      <c r="EA45" s="53">
        <v>0.33900000000000002</v>
      </c>
      <c r="ED45" s="237">
        <v>9874</v>
      </c>
      <c r="EE45" s="53">
        <v>7.6814</v>
      </c>
      <c r="EF45" s="53">
        <v>1.0293000000000001</v>
      </c>
      <c r="EG45" s="53">
        <v>0.39219999999999999</v>
      </c>
      <c r="EH45" s="53">
        <v>0.34010000000000001</v>
      </c>
      <c r="EK45" s="239">
        <v>9874</v>
      </c>
      <c r="EL45" s="53">
        <v>7.7266000000000004</v>
      </c>
      <c r="EM45" s="53">
        <v>1.0354000000000001</v>
      </c>
      <c r="EN45" s="53">
        <v>0.39450000000000002</v>
      </c>
      <c r="EO45" s="53">
        <v>0.34210000000000002</v>
      </c>
      <c r="ER45" s="243">
        <v>9874</v>
      </c>
      <c r="ES45" s="53">
        <v>7.7728000000000002</v>
      </c>
      <c r="ET45" s="53">
        <v>1.0416000000000001</v>
      </c>
      <c r="EU45" s="53">
        <v>0.39679999999999999</v>
      </c>
      <c r="EV45" s="53">
        <v>0.34410000000000002</v>
      </c>
      <c r="EY45" s="245">
        <v>9874</v>
      </c>
      <c r="EZ45" s="53">
        <v>7.7864000000000004</v>
      </c>
      <c r="FA45" s="53">
        <v>1.0434000000000001</v>
      </c>
      <c r="FB45" s="53">
        <v>0.39750000000000002</v>
      </c>
      <c r="FC45" s="53">
        <v>0.34470000000000001</v>
      </c>
      <c r="FF45" s="249">
        <v>9874</v>
      </c>
      <c r="FG45" s="53">
        <v>7.8079999999999998</v>
      </c>
      <c r="FH45" s="53">
        <v>1.0463</v>
      </c>
      <c r="FI45" s="53">
        <v>0.39860000000000001</v>
      </c>
      <c r="FJ45" s="53">
        <v>0.34570000000000001</v>
      </c>
      <c r="FM45" s="252">
        <v>9874</v>
      </c>
      <c r="FN45" s="53">
        <v>7.8188000000000004</v>
      </c>
      <c r="FO45" s="53">
        <v>1.0477000000000001</v>
      </c>
      <c r="FP45" s="53">
        <v>0.3992</v>
      </c>
      <c r="FQ45" s="53">
        <v>0.34620000000000001</v>
      </c>
      <c r="FT45" s="254">
        <v>9874</v>
      </c>
      <c r="FU45" s="53">
        <f>VLOOKUP(FT45,Sheet4!A47:F123,3,0)</f>
        <v>7.8436000000000003</v>
      </c>
      <c r="FV45" s="53">
        <f>VLOOKUP(FT45,Sheet4!A47:F123,4,0)</f>
        <v>1.0510999999999999</v>
      </c>
      <c r="FW45" s="53">
        <f>VLOOKUP(FT45,Sheet4!A47:F123,5,0)</f>
        <v>0.40050000000000002</v>
      </c>
      <c r="FX45" s="53">
        <f>VLOOKUP(FT45,Sheet4!A47:F123,6,0)</f>
        <v>0.3473</v>
      </c>
    </row>
    <row r="46" spans="1:180" x14ac:dyDescent="0.25">
      <c r="A46" s="9">
        <v>9875</v>
      </c>
      <c r="B46" s="9">
        <v>5.7596999999999996</v>
      </c>
      <c r="C46" s="9">
        <v>0.77180000000000004</v>
      </c>
      <c r="D46" s="9">
        <v>0.29409999999999997</v>
      </c>
      <c r="E46" s="9">
        <v>0.255</v>
      </c>
      <c r="H46" s="9">
        <v>9875</v>
      </c>
      <c r="I46" s="9">
        <v>6.0033000000000003</v>
      </c>
      <c r="J46" s="9">
        <v>0.80449999999999999</v>
      </c>
      <c r="K46" s="9">
        <v>0.30649999999999999</v>
      </c>
      <c r="L46" s="9">
        <v>0.26579999999999998</v>
      </c>
      <c r="O46" s="148">
        <v>9875</v>
      </c>
      <c r="P46" s="148">
        <v>6.0153999999999996</v>
      </c>
      <c r="Q46" s="148">
        <v>0.80610000000000004</v>
      </c>
      <c r="R46" s="148">
        <v>0.30709999999999998</v>
      </c>
      <c r="S46" s="148">
        <v>0.26629999999999998</v>
      </c>
      <c r="V46" s="151">
        <v>9875</v>
      </c>
      <c r="W46" s="151">
        <v>6.0453000000000001</v>
      </c>
      <c r="X46" s="151">
        <v>0.81010000000000004</v>
      </c>
      <c r="Y46" s="151">
        <v>0.30859999999999999</v>
      </c>
      <c r="Z46" s="151">
        <v>0.2676</v>
      </c>
      <c r="AC46" s="155">
        <v>9875</v>
      </c>
      <c r="AD46" s="155">
        <v>6.1086999999999998</v>
      </c>
      <c r="AE46" s="155">
        <v>0.81859999999999999</v>
      </c>
      <c r="AF46" s="155">
        <v>0.31190000000000001</v>
      </c>
      <c r="AG46" s="155">
        <v>0.27039999999999997</v>
      </c>
      <c r="AJ46" s="168">
        <v>9875</v>
      </c>
      <c r="AK46" s="169">
        <v>6.1891999999999996</v>
      </c>
      <c r="AL46" s="169">
        <v>0.82940000000000003</v>
      </c>
      <c r="AM46" s="169">
        <v>0.316</v>
      </c>
      <c r="AN46" s="169">
        <v>0.27400000000000002</v>
      </c>
      <c r="AQ46" s="165">
        <v>9875</v>
      </c>
      <c r="AR46" s="167">
        <v>6.2217000000000002</v>
      </c>
      <c r="AS46" s="167">
        <v>0.8337</v>
      </c>
      <c r="AT46" s="167">
        <v>0.31769999999999998</v>
      </c>
      <c r="AU46" s="167">
        <v>0.27539999999999998</v>
      </c>
      <c r="AX46" s="165">
        <v>9875</v>
      </c>
      <c r="AY46" s="167">
        <v>6.2428999999999997</v>
      </c>
      <c r="AZ46" s="167">
        <v>0.83660000000000001</v>
      </c>
      <c r="BA46" s="167">
        <v>0.31869999999999998</v>
      </c>
      <c r="BB46" s="167">
        <v>0.27639999999999998</v>
      </c>
      <c r="BC46" s="3"/>
      <c r="BD46" s="182"/>
      <c r="BE46" s="165">
        <v>9875</v>
      </c>
      <c r="BF46" s="167">
        <v>6.2521000000000004</v>
      </c>
      <c r="BG46" s="167">
        <v>0.83779999999999999</v>
      </c>
      <c r="BH46" s="167">
        <v>0.31919999999999998</v>
      </c>
      <c r="BI46" s="167">
        <v>0.27679999999999999</v>
      </c>
      <c r="BL46" s="165">
        <v>9875</v>
      </c>
      <c r="BM46" s="167">
        <v>6.3003</v>
      </c>
      <c r="BN46" s="167">
        <v>0.84430000000000005</v>
      </c>
      <c r="BO46" s="167">
        <v>0.32169999999999999</v>
      </c>
      <c r="BP46" s="167">
        <v>0.27889999999999998</v>
      </c>
      <c r="BS46" s="165">
        <v>9875</v>
      </c>
      <c r="BT46" s="167">
        <v>6.3654000000000002</v>
      </c>
      <c r="BU46" s="167">
        <v>0.85299999999999998</v>
      </c>
      <c r="BV46" s="167">
        <v>0.32500000000000001</v>
      </c>
      <c r="BW46" s="167">
        <v>0.28179999999999999</v>
      </c>
      <c r="BZ46" s="165">
        <v>9875</v>
      </c>
      <c r="CA46" s="167">
        <v>6.3860999999999999</v>
      </c>
      <c r="CB46" s="167">
        <v>0.85580000000000001</v>
      </c>
      <c r="CC46" s="167">
        <v>0.32600000000000001</v>
      </c>
      <c r="CD46" s="167">
        <v>0.28270000000000001</v>
      </c>
      <c r="CG46" s="165">
        <v>9875</v>
      </c>
      <c r="CH46" s="167">
        <v>6.4027000000000003</v>
      </c>
      <c r="CI46" s="167">
        <v>0.85799999999999998</v>
      </c>
      <c r="CJ46" s="167">
        <v>0.32690000000000002</v>
      </c>
      <c r="CK46" s="167">
        <v>0.28349999999999997</v>
      </c>
      <c r="CN46" s="168">
        <v>9875</v>
      </c>
      <c r="CO46" s="167">
        <v>6.4417</v>
      </c>
      <c r="CP46" s="167">
        <v>0.86319999999999997</v>
      </c>
      <c r="CQ46" s="167">
        <v>0.32890000000000003</v>
      </c>
      <c r="CR46" s="167">
        <v>0.28520000000000001</v>
      </c>
      <c r="CU46" s="168">
        <v>9875</v>
      </c>
      <c r="CV46" s="167">
        <v>6.4546999999999999</v>
      </c>
      <c r="CW46" s="167">
        <v>0.86499999999999999</v>
      </c>
      <c r="CX46" s="167">
        <v>0.32950000000000002</v>
      </c>
      <c r="CY46" s="167">
        <v>0.2858</v>
      </c>
      <c r="DB46" s="168">
        <v>9875</v>
      </c>
      <c r="DC46" s="167">
        <v>6.4683999999999999</v>
      </c>
      <c r="DD46" s="167">
        <v>0.86680000000000001</v>
      </c>
      <c r="DE46" s="167">
        <v>0.33019999999999999</v>
      </c>
      <c r="DF46" s="167">
        <v>0.28639999999999999</v>
      </c>
      <c r="DI46" s="168">
        <v>9875</v>
      </c>
      <c r="DJ46" s="167">
        <v>6.4798999999999998</v>
      </c>
      <c r="DK46" s="167">
        <v>0.86829999999999996</v>
      </c>
      <c r="DL46" s="167">
        <v>0.33079999999999998</v>
      </c>
      <c r="DM46" s="167">
        <v>0.28689999999999999</v>
      </c>
      <c r="DN46" s="231"/>
      <c r="DO46" s="231"/>
      <c r="DP46" s="168">
        <v>9875</v>
      </c>
      <c r="DQ46" s="167">
        <v>6.4960000000000004</v>
      </c>
      <c r="DR46" s="167">
        <v>0.87050000000000005</v>
      </c>
      <c r="DS46" s="167">
        <v>0.33169999999999999</v>
      </c>
      <c r="DT46" s="167">
        <v>0.28760000000000002</v>
      </c>
      <c r="DW46" s="168">
        <v>9875</v>
      </c>
      <c r="DX46" s="167">
        <v>6.5141</v>
      </c>
      <c r="DY46" s="167">
        <v>0.87290000000000001</v>
      </c>
      <c r="DZ46" s="167">
        <v>0.33260000000000001</v>
      </c>
      <c r="EA46" s="167">
        <v>0.28839999999999999</v>
      </c>
      <c r="ED46" s="168">
        <v>9875</v>
      </c>
      <c r="EE46" s="167">
        <v>6.5319000000000003</v>
      </c>
      <c r="EF46" s="167">
        <v>0.87529999999999997</v>
      </c>
      <c r="EG46" s="167">
        <v>0.33350000000000002</v>
      </c>
      <c r="EH46" s="167">
        <v>0.28920000000000001</v>
      </c>
      <c r="EK46" s="168">
        <v>9875</v>
      </c>
      <c r="EL46" s="167">
        <v>6.5659000000000001</v>
      </c>
      <c r="EM46" s="167">
        <v>0.87990000000000002</v>
      </c>
      <c r="EN46" s="167">
        <v>0.3352</v>
      </c>
      <c r="EO46" s="167">
        <v>0.29070000000000001</v>
      </c>
      <c r="ER46" s="168">
        <v>9875</v>
      </c>
      <c r="ES46" s="167">
        <v>6.6006</v>
      </c>
      <c r="ET46" s="167">
        <v>0.88449999999999995</v>
      </c>
      <c r="EU46" s="167">
        <v>0.33700000000000002</v>
      </c>
      <c r="EV46" s="167">
        <v>0.29220000000000002</v>
      </c>
      <c r="EY46" s="168">
        <v>9875</v>
      </c>
      <c r="EZ46" s="167">
        <v>6.6108000000000002</v>
      </c>
      <c r="FA46" s="167">
        <v>0.88590000000000002</v>
      </c>
      <c r="FB46" s="167">
        <v>0.33750000000000002</v>
      </c>
      <c r="FC46" s="167">
        <v>0.29270000000000002</v>
      </c>
      <c r="FF46" s="168">
        <v>9875</v>
      </c>
      <c r="FG46" s="167">
        <v>6.6269999999999998</v>
      </c>
      <c r="FH46" s="167">
        <v>0.88800000000000001</v>
      </c>
      <c r="FI46" s="167">
        <v>0.33829999999999999</v>
      </c>
      <c r="FJ46" s="167">
        <v>0.29339999999999999</v>
      </c>
      <c r="FM46" s="168">
        <v>9875</v>
      </c>
      <c r="FN46" s="167">
        <v>6.6351000000000004</v>
      </c>
      <c r="FO46" s="167">
        <v>0.8891</v>
      </c>
      <c r="FP46" s="167">
        <v>0.33879999999999999</v>
      </c>
      <c r="FQ46" s="167">
        <v>0.29380000000000001</v>
      </c>
      <c r="FT46" s="168">
        <v>9875</v>
      </c>
      <c r="FU46" s="167">
        <f>VLOOKUP(FT46,Sheet4!A48:F124,3,0)</f>
        <v>6.6536999999999997</v>
      </c>
      <c r="FV46" s="167">
        <f>VLOOKUP(FT46,Sheet4!A48:F124,4,0)</f>
        <v>0.89159999999999995</v>
      </c>
      <c r="FW46" s="167">
        <f>VLOOKUP(FT46,Sheet4!A48:F124,5,0)</f>
        <v>0.3397</v>
      </c>
      <c r="FX46" s="167">
        <f>VLOOKUP(FT46,Sheet4!A48:F124,6,0)</f>
        <v>0.29459999999999997</v>
      </c>
    </row>
    <row r="47" spans="1:180" x14ac:dyDescent="0.25">
      <c r="A47" s="9">
        <v>9876</v>
      </c>
      <c r="B47" s="9">
        <v>6.5213999999999999</v>
      </c>
      <c r="C47" s="9">
        <v>0.87390000000000001</v>
      </c>
      <c r="D47" s="9">
        <v>0.33300000000000002</v>
      </c>
      <c r="E47" s="9">
        <v>0.28870000000000001</v>
      </c>
      <c r="H47" s="9">
        <v>9876</v>
      </c>
      <c r="I47" s="9">
        <v>6.7649999999999997</v>
      </c>
      <c r="J47" s="9">
        <v>0.90649999999999997</v>
      </c>
      <c r="K47" s="9">
        <v>0.34539999999999998</v>
      </c>
      <c r="L47" s="9">
        <v>0.29949999999999999</v>
      </c>
      <c r="O47" s="154">
        <v>9876</v>
      </c>
      <c r="P47" s="154">
        <v>6.7770999999999999</v>
      </c>
      <c r="Q47" s="154">
        <v>0.90820000000000001</v>
      </c>
      <c r="R47" s="154">
        <v>0.34599999999999997</v>
      </c>
      <c r="S47" s="154">
        <v>0.3</v>
      </c>
      <c r="V47" s="151">
        <v>9876</v>
      </c>
      <c r="W47" s="151">
        <v>6.8070000000000004</v>
      </c>
      <c r="X47" s="151">
        <v>0.91220000000000001</v>
      </c>
      <c r="Y47" s="151">
        <v>0.34749999999999998</v>
      </c>
      <c r="Z47" s="151">
        <v>0.3014</v>
      </c>
      <c r="AC47" s="155">
        <v>9876</v>
      </c>
      <c r="AD47" s="155">
        <v>6.8704000000000001</v>
      </c>
      <c r="AE47" s="155">
        <v>0.92069999999999996</v>
      </c>
      <c r="AF47" s="155">
        <v>0.3508</v>
      </c>
      <c r="AG47" s="155">
        <v>0.30420000000000003</v>
      </c>
      <c r="AJ47" s="160">
        <v>9876</v>
      </c>
      <c r="AK47" s="6">
        <v>6.9508999999999999</v>
      </c>
      <c r="AL47" s="6">
        <v>0.93140000000000001</v>
      </c>
      <c r="AM47" s="6">
        <v>0.35489999999999999</v>
      </c>
      <c r="AN47" s="6">
        <v>0.30769999999999997</v>
      </c>
      <c r="AQ47" s="129">
        <v>9876</v>
      </c>
      <c r="AR47" s="53">
        <v>6.9833999999999996</v>
      </c>
      <c r="AS47" s="53">
        <v>0.93579999999999997</v>
      </c>
      <c r="AT47" s="53">
        <v>0.35649999999999998</v>
      </c>
      <c r="AU47" s="53">
        <v>0.30919999999999997</v>
      </c>
      <c r="AX47" s="129">
        <v>9876</v>
      </c>
      <c r="AY47" s="53">
        <v>7.0045999999999999</v>
      </c>
      <c r="AZ47" s="53">
        <v>0.93859999999999999</v>
      </c>
      <c r="BA47" s="53">
        <v>0.35759999999999997</v>
      </c>
      <c r="BB47" s="53">
        <v>0.31009999999999999</v>
      </c>
      <c r="BC47" s="3"/>
      <c r="BD47" s="182"/>
      <c r="BE47" s="129">
        <v>9876</v>
      </c>
      <c r="BF47" s="53">
        <v>7.0137999999999998</v>
      </c>
      <c r="BG47" s="53">
        <v>0.93989999999999996</v>
      </c>
      <c r="BH47" s="53">
        <v>0.35809999999999997</v>
      </c>
      <c r="BI47" s="53">
        <v>0.3105</v>
      </c>
      <c r="BL47" s="129">
        <v>9876</v>
      </c>
      <c r="BM47" s="53">
        <v>7.0620000000000003</v>
      </c>
      <c r="BN47" s="53">
        <v>0.94630000000000003</v>
      </c>
      <c r="BO47" s="53">
        <v>0.36059999999999998</v>
      </c>
      <c r="BP47" s="53">
        <v>0.31259999999999999</v>
      </c>
      <c r="BS47" s="129">
        <v>9876</v>
      </c>
      <c r="BT47" s="53">
        <v>7.1271000000000004</v>
      </c>
      <c r="BU47" s="53">
        <v>0.95509999999999995</v>
      </c>
      <c r="BV47" s="53">
        <v>0.3639</v>
      </c>
      <c r="BW47" s="53">
        <v>0.3155</v>
      </c>
      <c r="BZ47" s="129">
        <v>9876</v>
      </c>
      <c r="CA47" s="53">
        <v>7.1478000000000002</v>
      </c>
      <c r="CB47" s="53">
        <v>0.95779999999999998</v>
      </c>
      <c r="CC47" s="53">
        <v>0.3649</v>
      </c>
      <c r="CD47" s="53">
        <v>0.31640000000000001</v>
      </c>
      <c r="CG47" s="129">
        <v>9876</v>
      </c>
      <c r="CH47" s="53">
        <v>7.1643999999999997</v>
      </c>
      <c r="CI47" s="53">
        <v>0.96009999999999995</v>
      </c>
      <c r="CJ47" s="53">
        <v>0.36580000000000001</v>
      </c>
      <c r="CK47" s="53">
        <v>0.31719999999999998</v>
      </c>
      <c r="CN47" s="207">
        <v>9876</v>
      </c>
      <c r="CO47" s="53">
        <v>7.2034000000000002</v>
      </c>
      <c r="CP47" s="53">
        <v>0.96530000000000005</v>
      </c>
      <c r="CQ47" s="53">
        <v>0.36780000000000002</v>
      </c>
      <c r="CR47" s="53">
        <v>0.31890000000000002</v>
      </c>
      <c r="CU47" s="215">
        <v>9876</v>
      </c>
      <c r="CV47" s="53">
        <v>7.2164000000000001</v>
      </c>
      <c r="CW47" s="53">
        <v>0.96699999999999997</v>
      </c>
      <c r="CX47" s="53">
        <v>0.36840000000000001</v>
      </c>
      <c r="CY47" s="53">
        <v>0.31950000000000001</v>
      </c>
      <c r="DB47" s="217">
        <v>9876</v>
      </c>
      <c r="DC47" s="53">
        <v>7.2301000000000002</v>
      </c>
      <c r="DD47" s="53">
        <v>0.96889999999999998</v>
      </c>
      <c r="DE47" s="53">
        <v>0.36909999999999998</v>
      </c>
      <c r="DF47" s="53">
        <v>0.3201</v>
      </c>
      <c r="DI47" s="222">
        <v>9876</v>
      </c>
      <c r="DJ47" s="53">
        <v>7.2416</v>
      </c>
      <c r="DK47" s="53">
        <v>0.97040000000000004</v>
      </c>
      <c r="DL47" s="53">
        <v>0.36969999999999997</v>
      </c>
      <c r="DM47" s="53">
        <v>0.3206</v>
      </c>
      <c r="DN47" s="231"/>
      <c r="DO47" s="231"/>
      <c r="DP47" s="227">
        <v>9876</v>
      </c>
      <c r="DQ47" s="53">
        <v>7.2576999999999998</v>
      </c>
      <c r="DR47" s="53">
        <v>0.97260000000000002</v>
      </c>
      <c r="DS47" s="53">
        <v>0.3705</v>
      </c>
      <c r="DT47" s="53">
        <v>0.32129999999999997</v>
      </c>
      <c r="DW47" s="235">
        <v>9876</v>
      </c>
      <c r="DX47" s="53">
        <v>7.2758000000000003</v>
      </c>
      <c r="DY47" s="53">
        <v>0.97499999999999998</v>
      </c>
      <c r="DZ47" s="53">
        <v>0.3715</v>
      </c>
      <c r="EA47" s="53">
        <v>0.3221</v>
      </c>
      <c r="ED47" s="237">
        <v>9876</v>
      </c>
      <c r="EE47" s="53">
        <v>7.2935999999999996</v>
      </c>
      <c r="EF47" s="53">
        <v>0.97740000000000005</v>
      </c>
      <c r="EG47" s="53">
        <v>0.37240000000000001</v>
      </c>
      <c r="EH47" s="53">
        <v>0.32290000000000002</v>
      </c>
      <c r="EK47" s="239">
        <v>9876</v>
      </c>
      <c r="EL47" s="53">
        <v>7.3276000000000003</v>
      </c>
      <c r="EM47" s="53">
        <v>0.9819</v>
      </c>
      <c r="EN47" s="53">
        <v>0.37409999999999999</v>
      </c>
      <c r="EO47" s="53">
        <v>0.32440000000000002</v>
      </c>
      <c r="ER47" s="243">
        <v>9876</v>
      </c>
      <c r="ES47" s="53">
        <v>7.3623000000000003</v>
      </c>
      <c r="ET47" s="53">
        <v>0.98660000000000003</v>
      </c>
      <c r="EU47" s="53">
        <v>0.37590000000000001</v>
      </c>
      <c r="EV47" s="53">
        <v>0.32590000000000002</v>
      </c>
      <c r="EY47" s="245">
        <v>9876</v>
      </c>
      <c r="EZ47" s="53">
        <v>7.3724999999999996</v>
      </c>
      <c r="FA47" s="53">
        <v>0.9879</v>
      </c>
      <c r="FB47" s="53">
        <v>0.37640000000000001</v>
      </c>
      <c r="FC47" s="53">
        <v>0.32640000000000002</v>
      </c>
      <c r="FF47" s="249">
        <v>9876</v>
      </c>
      <c r="FG47" s="53">
        <v>7.3887</v>
      </c>
      <c r="FH47" s="53">
        <v>0.99009999999999998</v>
      </c>
      <c r="FI47" s="53">
        <v>0.37719999999999998</v>
      </c>
      <c r="FJ47" s="53">
        <v>0.3271</v>
      </c>
      <c r="FM47" s="252">
        <v>9876</v>
      </c>
      <c r="FN47" s="53">
        <v>7.3967999999999998</v>
      </c>
      <c r="FO47" s="53">
        <v>0.99119999999999997</v>
      </c>
      <c r="FP47" s="53">
        <v>0.37759999999999999</v>
      </c>
      <c r="FQ47" s="53">
        <v>0.32750000000000001</v>
      </c>
      <c r="FT47" s="254">
        <v>9876</v>
      </c>
      <c r="FU47" s="53">
        <f>VLOOKUP(FT47,Sheet4!A49:F125,3,0)</f>
        <v>7.4154</v>
      </c>
      <c r="FV47" s="53">
        <f>VLOOKUP(FT47,Sheet4!A49:F125,4,0)</f>
        <v>0.99370000000000003</v>
      </c>
      <c r="FW47" s="53">
        <f>VLOOKUP(FT47,Sheet4!A49:F125,5,0)</f>
        <v>0.37859999999999999</v>
      </c>
      <c r="FX47" s="53">
        <f>VLOOKUP(FT47,Sheet4!A49:F125,6,0)</f>
        <v>0.32829999999999998</v>
      </c>
    </row>
    <row r="48" spans="1:180" x14ac:dyDescent="0.25">
      <c r="A48" s="9">
        <v>9877</v>
      </c>
      <c r="B48" s="9">
        <v>8.9558</v>
      </c>
      <c r="C48" s="9">
        <v>1.2000999999999999</v>
      </c>
      <c r="D48" s="9">
        <v>0.4572</v>
      </c>
      <c r="E48" s="9">
        <v>0.39650000000000002</v>
      </c>
      <c r="H48" s="9">
        <v>9877</v>
      </c>
      <c r="I48" s="9">
        <v>9.3681000000000001</v>
      </c>
      <c r="J48" s="9">
        <v>1.2554000000000001</v>
      </c>
      <c r="K48" s="9">
        <v>0.4783</v>
      </c>
      <c r="L48" s="9">
        <v>0.41470000000000001</v>
      </c>
      <c r="O48" s="148">
        <v>9877</v>
      </c>
      <c r="P48" s="148">
        <v>9.3886000000000003</v>
      </c>
      <c r="Q48" s="148">
        <v>1.2581</v>
      </c>
      <c r="R48" s="148">
        <v>0.4793</v>
      </c>
      <c r="S48" s="148">
        <v>0.41570000000000001</v>
      </c>
      <c r="V48" s="151">
        <v>9877</v>
      </c>
      <c r="W48" s="151">
        <v>9.4392999999999994</v>
      </c>
      <c r="X48" s="151">
        <v>1.2648999999999999</v>
      </c>
      <c r="Y48" s="151">
        <v>0.4819</v>
      </c>
      <c r="Z48" s="151">
        <v>0.41789999999999999</v>
      </c>
      <c r="AC48" s="155">
        <v>9877</v>
      </c>
      <c r="AD48" s="155">
        <v>9.5465999999999998</v>
      </c>
      <c r="AE48" s="155">
        <v>1.2793000000000001</v>
      </c>
      <c r="AF48" s="155">
        <v>0.4874</v>
      </c>
      <c r="AG48" s="155">
        <v>0.42259999999999998</v>
      </c>
      <c r="AJ48" s="168">
        <v>9877</v>
      </c>
      <c r="AK48" s="169">
        <v>9.6828000000000003</v>
      </c>
      <c r="AL48" s="169">
        <v>1.2975000000000001</v>
      </c>
      <c r="AM48" s="169">
        <v>0.49440000000000001</v>
      </c>
      <c r="AN48" s="169">
        <v>0.42870000000000003</v>
      </c>
      <c r="AQ48" s="165">
        <v>9877</v>
      </c>
      <c r="AR48" s="167">
        <v>9.7378</v>
      </c>
      <c r="AS48" s="167">
        <v>1.3048999999999999</v>
      </c>
      <c r="AT48" s="167">
        <v>0.49719999999999998</v>
      </c>
      <c r="AU48" s="167">
        <v>0.43109999999999998</v>
      </c>
      <c r="AX48" s="165">
        <v>9877</v>
      </c>
      <c r="AY48" s="167">
        <v>9.7736000000000001</v>
      </c>
      <c r="AZ48" s="167">
        <v>1.3097000000000001</v>
      </c>
      <c r="BA48" s="167">
        <v>0.499</v>
      </c>
      <c r="BB48" s="167">
        <v>0.43269999999999997</v>
      </c>
      <c r="BC48" s="3"/>
      <c r="BD48" s="182"/>
      <c r="BE48" s="165">
        <v>9877</v>
      </c>
      <c r="BF48" s="167">
        <v>9.7890999999999995</v>
      </c>
      <c r="BG48" s="167">
        <v>1.3118000000000001</v>
      </c>
      <c r="BH48" s="167">
        <v>0.49980000000000002</v>
      </c>
      <c r="BI48" s="167">
        <v>0.43340000000000001</v>
      </c>
      <c r="BL48" s="165">
        <v>9877</v>
      </c>
      <c r="BM48" s="167">
        <v>9.8706999999999994</v>
      </c>
      <c r="BN48" s="167">
        <v>1.3227</v>
      </c>
      <c r="BO48" s="167">
        <v>0.504</v>
      </c>
      <c r="BP48" s="167">
        <v>0.437</v>
      </c>
      <c r="BS48" s="165">
        <v>9877</v>
      </c>
      <c r="BT48" s="167">
        <v>9.9809000000000001</v>
      </c>
      <c r="BU48" s="167">
        <v>1.3374999999999999</v>
      </c>
      <c r="BV48" s="167">
        <v>0.50960000000000005</v>
      </c>
      <c r="BW48" s="167">
        <v>0.44190000000000002</v>
      </c>
      <c r="BZ48" s="165">
        <v>9877</v>
      </c>
      <c r="CA48" s="167">
        <v>10.0159</v>
      </c>
      <c r="CB48" s="167">
        <v>1.3422000000000001</v>
      </c>
      <c r="CC48" s="167">
        <v>0.51139999999999997</v>
      </c>
      <c r="CD48" s="167">
        <v>0.44340000000000002</v>
      </c>
      <c r="CG48" s="165">
        <v>9877</v>
      </c>
      <c r="CH48" s="167">
        <v>10.0441</v>
      </c>
      <c r="CI48" s="167">
        <v>1.3459000000000001</v>
      </c>
      <c r="CJ48" s="167">
        <v>0.51280000000000003</v>
      </c>
      <c r="CK48" s="167">
        <v>0.44469999999999998</v>
      </c>
      <c r="CN48" s="168">
        <v>9877</v>
      </c>
      <c r="CO48" s="167">
        <v>10.110099999999999</v>
      </c>
      <c r="CP48" s="167">
        <v>1.3548</v>
      </c>
      <c r="CQ48" s="167">
        <v>0.51619999999999999</v>
      </c>
      <c r="CR48" s="167">
        <v>0.4476</v>
      </c>
      <c r="CU48" s="168">
        <v>9877</v>
      </c>
      <c r="CV48" s="167">
        <v>10.132099999999999</v>
      </c>
      <c r="CW48" s="167">
        <v>1.3576999999999999</v>
      </c>
      <c r="CX48" s="167">
        <v>0.51729999999999998</v>
      </c>
      <c r="CY48" s="167">
        <v>0.4486</v>
      </c>
      <c r="DB48" s="168">
        <v>9877</v>
      </c>
      <c r="DC48" s="167">
        <v>10.1553</v>
      </c>
      <c r="DD48" s="167">
        <v>1.3608</v>
      </c>
      <c r="DE48" s="167">
        <v>0.51849999999999996</v>
      </c>
      <c r="DF48" s="167">
        <v>0.4496</v>
      </c>
      <c r="DI48" s="168">
        <v>9877</v>
      </c>
      <c r="DJ48" s="167">
        <v>10.1747</v>
      </c>
      <c r="DK48" s="167">
        <v>1.3633999999999999</v>
      </c>
      <c r="DL48" s="167">
        <v>0.51949999999999996</v>
      </c>
      <c r="DM48" s="167">
        <v>0.45050000000000001</v>
      </c>
      <c r="DN48" s="231"/>
      <c r="DO48" s="231"/>
      <c r="DP48" s="168">
        <v>9877</v>
      </c>
      <c r="DQ48" s="167">
        <v>10.2019</v>
      </c>
      <c r="DR48" s="167">
        <v>1.3671</v>
      </c>
      <c r="DS48" s="167">
        <v>0.52090000000000003</v>
      </c>
      <c r="DT48" s="167">
        <v>0.45169999999999999</v>
      </c>
      <c r="DW48" s="168">
        <v>9877</v>
      </c>
      <c r="DX48" s="167">
        <v>10.2325</v>
      </c>
      <c r="DY48" s="167">
        <v>1.3712</v>
      </c>
      <c r="DZ48" s="167">
        <v>0.52239999999999998</v>
      </c>
      <c r="EA48" s="167">
        <v>0.45300000000000001</v>
      </c>
      <c r="ED48" s="168">
        <v>9877</v>
      </c>
      <c r="EE48" s="167">
        <v>10.262600000000001</v>
      </c>
      <c r="EF48" s="167">
        <v>1.3752</v>
      </c>
      <c r="EG48" s="167">
        <v>0.52400000000000002</v>
      </c>
      <c r="EH48" s="167">
        <v>0.45429999999999998</v>
      </c>
      <c r="EK48" s="168">
        <v>9877</v>
      </c>
      <c r="EL48" s="167">
        <v>10.3201</v>
      </c>
      <c r="EM48" s="167">
        <v>1.3829</v>
      </c>
      <c r="EN48" s="167">
        <v>0.52690000000000003</v>
      </c>
      <c r="EO48" s="167">
        <v>0.45689999999999997</v>
      </c>
      <c r="ER48" s="168">
        <v>9877</v>
      </c>
      <c r="ES48" s="167">
        <v>10.3789</v>
      </c>
      <c r="ET48" s="167">
        <v>1.3908</v>
      </c>
      <c r="EU48" s="167">
        <v>0.52990000000000004</v>
      </c>
      <c r="EV48" s="167">
        <v>0.45950000000000002</v>
      </c>
      <c r="EY48" s="168">
        <v>9877</v>
      </c>
      <c r="EZ48" s="167">
        <v>10.3962</v>
      </c>
      <c r="FA48" s="167">
        <v>1.3931</v>
      </c>
      <c r="FB48" s="167">
        <v>0.53080000000000005</v>
      </c>
      <c r="FC48" s="167">
        <v>0.46029999999999999</v>
      </c>
      <c r="FF48" s="168">
        <v>9877</v>
      </c>
      <c r="FG48" s="167">
        <v>10.4236</v>
      </c>
      <c r="FH48" s="167">
        <v>1.3968</v>
      </c>
      <c r="FI48" s="167">
        <v>0.53220000000000001</v>
      </c>
      <c r="FJ48" s="167">
        <v>0.46150000000000002</v>
      </c>
      <c r="FM48" s="168">
        <v>9877</v>
      </c>
      <c r="FN48" s="167">
        <v>10.4374</v>
      </c>
      <c r="FO48" s="167">
        <v>1.3987000000000001</v>
      </c>
      <c r="FP48" s="167">
        <v>0.53290000000000004</v>
      </c>
      <c r="FQ48" s="167">
        <v>0.46210000000000001</v>
      </c>
      <c r="FT48" s="168">
        <v>9877</v>
      </c>
      <c r="FU48" s="167">
        <f>VLOOKUP(FT48,Sheet4!A50:F126,3,0)</f>
        <v>10.468999999999999</v>
      </c>
      <c r="FV48" s="167">
        <f>VLOOKUP(FT48,Sheet4!A50:F126,4,0)</f>
        <v>1.4029</v>
      </c>
      <c r="FW48" s="167">
        <f>VLOOKUP(FT48,Sheet4!A50:F126,5,0)</f>
        <v>0.53449999999999998</v>
      </c>
      <c r="FX48" s="167">
        <f>VLOOKUP(FT48,Sheet4!A50:F126,6,0)</f>
        <v>0.46350000000000002</v>
      </c>
    </row>
    <row r="49" spans="1:180" x14ac:dyDescent="0.25">
      <c r="A49" s="9">
        <v>9878</v>
      </c>
      <c r="B49" s="9">
        <v>8.7042999999999999</v>
      </c>
      <c r="C49" s="9">
        <v>1.1664000000000001</v>
      </c>
      <c r="D49" s="9">
        <v>0.44440000000000002</v>
      </c>
      <c r="E49" s="9">
        <v>0.38540000000000002</v>
      </c>
      <c r="H49" s="9">
        <v>9878</v>
      </c>
      <c r="I49" s="9">
        <v>9.1166</v>
      </c>
      <c r="J49" s="9">
        <v>1.2217</v>
      </c>
      <c r="K49" s="9">
        <v>0.46550000000000002</v>
      </c>
      <c r="L49" s="9">
        <v>0.40360000000000001</v>
      </c>
      <c r="O49" s="154">
        <v>9878</v>
      </c>
      <c r="P49" s="154">
        <v>9.1371000000000002</v>
      </c>
      <c r="Q49" s="154">
        <v>1.2243999999999999</v>
      </c>
      <c r="R49" s="154">
        <v>0.46650000000000003</v>
      </c>
      <c r="S49" s="154">
        <v>0.40450000000000003</v>
      </c>
      <c r="V49" s="151">
        <v>9878</v>
      </c>
      <c r="W49" s="151">
        <v>9.1877999999999993</v>
      </c>
      <c r="X49" s="151">
        <v>1.2312000000000001</v>
      </c>
      <c r="Y49" s="151">
        <v>0.46910000000000002</v>
      </c>
      <c r="Z49" s="151">
        <v>0.40679999999999999</v>
      </c>
      <c r="AC49" s="155">
        <v>9878</v>
      </c>
      <c r="AD49" s="155">
        <v>9.2950999999999997</v>
      </c>
      <c r="AE49" s="155">
        <v>1.2456</v>
      </c>
      <c r="AF49" s="155">
        <v>0.47460000000000002</v>
      </c>
      <c r="AG49" s="155">
        <v>0.41149999999999998</v>
      </c>
      <c r="AJ49" s="160">
        <v>9878</v>
      </c>
      <c r="AK49" s="6">
        <v>9.4313000000000002</v>
      </c>
      <c r="AL49" s="6">
        <v>1.2638</v>
      </c>
      <c r="AM49" s="6">
        <v>0.48149999999999998</v>
      </c>
      <c r="AN49" s="6">
        <v>0.41749999999999998</v>
      </c>
      <c r="AQ49" s="129">
        <v>9878</v>
      </c>
      <c r="AR49" s="53">
        <v>9.4863</v>
      </c>
      <c r="AS49" s="53">
        <v>1.2712000000000001</v>
      </c>
      <c r="AT49" s="53">
        <v>0.48430000000000001</v>
      </c>
      <c r="AU49" s="53">
        <v>0.42</v>
      </c>
      <c r="AX49" s="129">
        <v>9878</v>
      </c>
      <c r="AY49" s="53">
        <v>9.5221</v>
      </c>
      <c r="AZ49" s="53">
        <v>1.276</v>
      </c>
      <c r="BA49" s="53">
        <v>0.48620000000000002</v>
      </c>
      <c r="BB49" s="53">
        <v>0.42159999999999997</v>
      </c>
      <c r="BC49" s="3"/>
      <c r="BD49" s="182"/>
      <c r="BE49" s="129">
        <v>9878</v>
      </c>
      <c r="BF49" s="53">
        <v>9.5375999999999994</v>
      </c>
      <c r="BG49" s="53">
        <v>1.2781</v>
      </c>
      <c r="BH49" s="53">
        <v>0.4869</v>
      </c>
      <c r="BI49" s="53">
        <v>0.42230000000000001</v>
      </c>
      <c r="BL49" s="129">
        <v>9878</v>
      </c>
      <c r="BM49" s="53">
        <v>9.6191999999999993</v>
      </c>
      <c r="BN49" s="53">
        <v>1.2889999999999999</v>
      </c>
      <c r="BO49" s="53">
        <v>0.49109999999999998</v>
      </c>
      <c r="BP49" s="53">
        <v>0.4259</v>
      </c>
      <c r="BS49" s="129">
        <v>9878</v>
      </c>
      <c r="BT49" s="53">
        <v>9.7294</v>
      </c>
      <c r="BU49" s="53">
        <v>1.3038000000000001</v>
      </c>
      <c r="BV49" s="53">
        <v>0.49669999999999997</v>
      </c>
      <c r="BW49" s="53">
        <v>0.43070000000000003</v>
      </c>
      <c r="BZ49" s="129">
        <v>9878</v>
      </c>
      <c r="CA49" s="53">
        <v>9.7644000000000002</v>
      </c>
      <c r="CB49" s="53">
        <v>1.3085</v>
      </c>
      <c r="CC49" s="53">
        <v>0.4985</v>
      </c>
      <c r="CD49" s="53">
        <v>0.43230000000000002</v>
      </c>
      <c r="CG49" s="129">
        <v>9878</v>
      </c>
      <c r="CH49" s="53">
        <v>9.7926000000000002</v>
      </c>
      <c r="CI49" s="53">
        <v>1.3122</v>
      </c>
      <c r="CJ49" s="53">
        <v>0.5</v>
      </c>
      <c r="CK49" s="53">
        <v>0.4335</v>
      </c>
      <c r="CN49" s="207">
        <v>9878</v>
      </c>
      <c r="CO49" s="53">
        <v>9.8585999999999991</v>
      </c>
      <c r="CP49" s="53">
        <v>1.3210999999999999</v>
      </c>
      <c r="CQ49" s="53">
        <v>0.50329999999999997</v>
      </c>
      <c r="CR49" s="53">
        <v>0.4365</v>
      </c>
      <c r="CU49" s="215">
        <v>9878</v>
      </c>
      <c r="CV49" s="53">
        <v>9.8805999999999994</v>
      </c>
      <c r="CW49" s="53">
        <v>1.3240000000000001</v>
      </c>
      <c r="CX49" s="53">
        <v>0.50449999999999995</v>
      </c>
      <c r="CY49" s="53">
        <v>0.43740000000000001</v>
      </c>
      <c r="DB49" s="217">
        <v>9878</v>
      </c>
      <c r="DC49" s="53">
        <v>9.9038000000000004</v>
      </c>
      <c r="DD49" s="53">
        <v>1.3271000000000002</v>
      </c>
      <c r="DE49" s="53">
        <v>0.50560000000000005</v>
      </c>
      <c r="DF49" s="53">
        <v>0.4385</v>
      </c>
      <c r="DI49" s="222">
        <v>9878</v>
      </c>
      <c r="DJ49" s="53">
        <v>9.9231999999999996</v>
      </c>
      <c r="DK49" s="53">
        <v>1.3297000000000001</v>
      </c>
      <c r="DL49" s="53">
        <v>0.50660000000000005</v>
      </c>
      <c r="DM49" s="53">
        <v>0.43930000000000002</v>
      </c>
      <c r="DN49" s="231"/>
      <c r="DO49" s="231"/>
      <c r="DP49" s="227">
        <v>9878</v>
      </c>
      <c r="DQ49" s="53">
        <v>9.9504000000000001</v>
      </c>
      <c r="DR49" s="53">
        <v>1.3333999999999999</v>
      </c>
      <c r="DS49" s="53">
        <v>0.50800000000000001</v>
      </c>
      <c r="DT49" s="53">
        <v>0.4405</v>
      </c>
      <c r="DW49" s="235">
        <v>9878</v>
      </c>
      <c r="DX49" s="53">
        <v>9.9809999999999999</v>
      </c>
      <c r="DY49" s="53">
        <v>1.3374999999999999</v>
      </c>
      <c r="DZ49" s="53">
        <v>0.50960000000000005</v>
      </c>
      <c r="EA49" s="53">
        <v>0.44190000000000002</v>
      </c>
      <c r="ED49" s="237">
        <v>9878</v>
      </c>
      <c r="EE49" s="53">
        <v>10.011100000000001</v>
      </c>
      <c r="EF49" s="53">
        <v>1.3414999999999999</v>
      </c>
      <c r="EG49" s="53">
        <v>0.5111</v>
      </c>
      <c r="EH49" s="53">
        <v>0.44319999999999998</v>
      </c>
      <c r="EK49" s="239">
        <v>9878</v>
      </c>
      <c r="EL49" s="53">
        <v>10.0686</v>
      </c>
      <c r="EM49" s="53">
        <v>1.3492</v>
      </c>
      <c r="EN49" s="53">
        <v>0.5141</v>
      </c>
      <c r="EO49" s="53">
        <v>0.44579999999999997</v>
      </c>
      <c r="ER49" s="243">
        <v>9878</v>
      </c>
      <c r="ES49" s="53">
        <v>10.1274</v>
      </c>
      <c r="ET49" s="53">
        <v>1.3571</v>
      </c>
      <c r="EU49" s="53">
        <v>0.5171</v>
      </c>
      <c r="EV49" s="53">
        <v>0.44840000000000002</v>
      </c>
      <c r="EY49" s="245">
        <v>9878</v>
      </c>
      <c r="EZ49" s="53">
        <v>10.1447</v>
      </c>
      <c r="FA49" s="53">
        <v>1.3593999999999999</v>
      </c>
      <c r="FB49" s="53">
        <v>0.51790000000000003</v>
      </c>
      <c r="FC49" s="53">
        <v>0.4491</v>
      </c>
      <c r="FF49" s="249">
        <v>9878</v>
      </c>
      <c r="FG49" s="53">
        <v>10.1721</v>
      </c>
      <c r="FH49" s="53">
        <v>1.3631</v>
      </c>
      <c r="FI49" s="53">
        <v>0.51929999999999998</v>
      </c>
      <c r="FJ49" s="53">
        <v>0.45029999999999998</v>
      </c>
      <c r="FM49" s="252">
        <v>9878</v>
      </c>
      <c r="FN49" s="53">
        <v>10.1859</v>
      </c>
      <c r="FO49" s="53">
        <v>1.365</v>
      </c>
      <c r="FP49" s="53">
        <v>0.52</v>
      </c>
      <c r="FQ49" s="53">
        <v>0.45100000000000001</v>
      </c>
      <c r="FT49" s="254">
        <v>9878</v>
      </c>
      <c r="FU49" s="53">
        <f>VLOOKUP(FT49,Sheet4!A51:F127,3,0)</f>
        <v>10.217499999999999</v>
      </c>
      <c r="FV49" s="53">
        <f>VLOOKUP(FT49,Sheet4!A51:F127,4,0)</f>
        <v>1.3692</v>
      </c>
      <c r="FW49" s="53">
        <f>VLOOKUP(FT49,Sheet4!A51:F127,5,0)</f>
        <v>0.52170000000000005</v>
      </c>
      <c r="FX49" s="53">
        <f>VLOOKUP(FT49,Sheet4!A51:F127,6,0)</f>
        <v>0.45240000000000002</v>
      </c>
    </row>
    <row r="50" spans="1:180" x14ac:dyDescent="0.25">
      <c r="A50" s="9">
        <v>9879</v>
      </c>
      <c r="B50" s="9">
        <v>8.9859000000000009</v>
      </c>
      <c r="C50" s="9">
        <v>1.2040999999999999</v>
      </c>
      <c r="D50" s="9">
        <v>0.45879999999999999</v>
      </c>
      <c r="E50" s="9">
        <v>0.39779999999999999</v>
      </c>
      <c r="H50" s="9">
        <v>9879</v>
      </c>
      <c r="I50" s="9">
        <v>9.3981999999999992</v>
      </c>
      <c r="J50" s="9">
        <v>1.2594000000000001</v>
      </c>
      <c r="K50" s="9">
        <v>0.4798</v>
      </c>
      <c r="L50" s="9">
        <v>0.41610000000000003</v>
      </c>
      <c r="O50" s="148">
        <v>9879</v>
      </c>
      <c r="P50" s="148">
        <v>9.4186999999999994</v>
      </c>
      <c r="Q50" s="148">
        <v>1.2621</v>
      </c>
      <c r="R50" s="148">
        <v>0.48089999999999999</v>
      </c>
      <c r="S50" s="148">
        <v>0.41699999999999998</v>
      </c>
      <c r="V50" s="151">
        <v>9879</v>
      </c>
      <c r="W50" s="151">
        <v>9.4694000000000003</v>
      </c>
      <c r="X50" s="151">
        <v>1.2688999999999999</v>
      </c>
      <c r="Y50" s="151">
        <v>0.48349999999999999</v>
      </c>
      <c r="Z50" s="151">
        <v>0.41920000000000002</v>
      </c>
      <c r="AC50" s="155">
        <v>9879</v>
      </c>
      <c r="AD50" s="155">
        <v>9.5767000000000007</v>
      </c>
      <c r="AE50" s="155">
        <v>1.2833000000000001</v>
      </c>
      <c r="AF50" s="155">
        <v>0.4889</v>
      </c>
      <c r="AG50" s="155">
        <v>0.42399999999999999</v>
      </c>
      <c r="AJ50" s="168">
        <v>9879</v>
      </c>
      <c r="AK50" s="169">
        <v>9.7128999999999994</v>
      </c>
      <c r="AL50" s="169">
        <v>1.3016000000000001</v>
      </c>
      <c r="AM50" s="169">
        <v>0.49590000000000001</v>
      </c>
      <c r="AN50" s="169">
        <v>0.43</v>
      </c>
      <c r="AQ50" s="165">
        <v>9879</v>
      </c>
      <c r="AR50" s="167">
        <v>9.7678999999999991</v>
      </c>
      <c r="AS50" s="167">
        <v>1.3089</v>
      </c>
      <c r="AT50" s="167">
        <v>0.49869999999999998</v>
      </c>
      <c r="AU50" s="167">
        <v>0.43240000000000001</v>
      </c>
      <c r="AX50" s="165">
        <v>9879</v>
      </c>
      <c r="AY50" s="167">
        <v>9.8036999999999992</v>
      </c>
      <c r="AZ50" s="167">
        <v>1.3137000000000001</v>
      </c>
      <c r="BA50" s="167">
        <v>0.50049999999999994</v>
      </c>
      <c r="BB50" s="167">
        <v>0.434</v>
      </c>
      <c r="BC50" s="3"/>
      <c r="BD50" s="182"/>
      <c r="BE50" s="165">
        <v>9879</v>
      </c>
      <c r="BF50" s="167">
        <v>9.8192000000000004</v>
      </c>
      <c r="BG50" s="167">
        <v>1.3158000000000001</v>
      </c>
      <c r="BH50" s="167">
        <v>0.50129999999999997</v>
      </c>
      <c r="BI50" s="167">
        <v>0.43469999999999998</v>
      </c>
      <c r="BL50" s="165">
        <v>9879</v>
      </c>
      <c r="BM50" s="167">
        <v>9.9008000000000003</v>
      </c>
      <c r="BN50" s="167">
        <v>1.3267</v>
      </c>
      <c r="BO50" s="167">
        <v>0.50549999999999995</v>
      </c>
      <c r="BP50" s="167">
        <v>0.43830000000000002</v>
      </c>
      <c r="BS50" s="165">
        <v>9879</v>
      </c>
      <c r="BT50" s="167">
        <v>10.010999999999999</v>
      </c>
      <c r="BU50" s="167">
        <v>1.3414999999999999</v>
      </c>
      <c r="BV50" s="167">
        <v>0.5111</v>
      </c>
      <c r="BW50" s="167">
        <v>0.44319999999999998</v>
      </c>
      <c r="BZ50" s="165">
        <v>9879</v>
      </c>
      <c r="CA50" s="167">
        <v>10.045999999999999</v>
      </c>
      <c r="CB50" s="167">
        <v>1.3462000000000001</v>
      </c>
      <c r="CC50" s="167">
        <v>0.51290000000000002</v>
      </c>
      <c r="CD50" s="167">
        <v>0.44479999999999997</v>
      </c>
      <c r="CG50" s="165">
        <v>9879</v>
      </c>
      <c r="CH50" s="167">
        <v>10.074199999999999</v>
      </c>
      <c r="CI50" s="167">
        <v>1.35</v>
      </c>
      <c r="CJ50" s="167">
        <v>0.51429999999999998</v>
      </c>
      <c r="CK50" s="167">
        <v>0.44600000000000001</v>
      </c>
      <c r="CN50" s="168">
        <v>9879</v>
      </c>
      <c r="CO50" s="167">
        <v>10.1402</v>
      </c>
      <c r="CP50" s="167">
        <v>1.3588</v>
      </c>
      <c r="CQ50" s="167">
        <v>0.51770000000000005</v>
      </c>
      <c r="CR50" s="167">
        <v>0.44890000000000002</v>
      </c>
      <c r="CU50" s="168">
        <v>9879</v>
      </c>
      <c r="CV50" s="167">
        <v>10.1622</v>
      </c>
      <c r="CW50" s="167">
        <v>1.3617999999999999</v>
      </c>
      <c r="CX50" s="167">
        <v>0.51880000000000004</v>
      </c>
      <c r="CY50" s="167">
        <v>0.44990000000000002</v>
      </c>
      <c r="DB50" s="168">
        <v>9879</v>
      </c>
      <c r="DC50" s="167">
        <v>10.1854</v>
      </c>
      <c r="DD50" s="167">
        <v>1.3649</v>
      </c>
      <c r="DE50" s="167">
        <v>0.52</v>
      </c>
      <c r="DF50" s="167">
        <v>0.45090000000000002</v>
      </c>
      <c r="DI50" s="168">
        <v>9879</v>
      </c>
      <c r="DJ50" s="167">
        <v>10.204800000000001</v>
      </c>
      <c r="DK50" s="167">
        <v>1.3674999999999999</v>
      </c>
      <c r="DL50" s="167">
        <v>0.52100000000000002</v>
      </c>
      <c r="DM50" s="167">
        <v>0.45179999999999998</v>
      </c>
      <c r="DN50" s="231"/>
      <c r="DO50" s="231"/>
      <c r="DP50" s="168">
        <v>9879</v>
      </c>
      <c r="DQ50" s="167">
        <v>10.231999999999999</v>
      </c>
      <c r="DR50" s="167">
        <v>1.3711</v>
      </c>
      <c r="DS50" s="167">
        <v>0.52239999999999998</v>
      </c>
      <c r="DT50" s="167">
        <v>0.45300000000000001</v>
      </c>
      <c r="DW50" s="168">
        <v>9879</v>
      </c>
      <c r="DX50" s="167">
        <v>10.262600000000001</v>
      </c>
      <c r="DY50" s="167">
        <v>1.3752</v>
      </c>
      <c r="DZ50" s="167">
        <v>0.52400000000000002</v>
      </c>
      <c r="EA50" s="167">
        <v>0.45429999999999998</v>
      </c>
      <c r="ED50" s="168">
        <v>9879</v>
      </c>
      <c r="EE50" s="167">
        <v>10.2927</v>
      </c>
      <c r="EF50" s="167">
        <v>1.3793</v>
      </c>
      <c r="EG50" s="167">
        <v>0.52549999999999997</v>
      </c>
      <c r="EH50" s="167">
        <v>0.45569999999999999</v>
      </c>
      <c r="EK50" s="168">
        <v>9879</v>
      </c>
      <c r="EL50" s="167">
        <v>10.350199999999999</v>
      </c>
      <c r="EM50" s="167">
        <v>1.387</v>
      </c>
      <c r="EN50" s="167">
        <v>0.52839999999999998</v>
      </c>
      <c r="EO50" s="167">
        <v>0.4582</v>
      </c>
      <c r="ER50" s="168">
        <v>9879</v>
      </c>
      <c r="ES50" s="167">
        <v>10.409000000000001</v>
      </c>
      <c r="ET50" s="167">
        <v>1.3948</v>
      </c>
      <c r="EU50" s="167">
        <v>0.53139999999999998</v>
      </c>
      <c r="EV50" s="167">
        <v>0.46079999999999999</v>
      </c>
      <c r="EY50" s="168">
        <v>9879</v>
      </c>
      <c r="EZ50" s="167">
        <v>10.426299999999999</v>
      </c>
      <c r="FA50" s="167">
        <v>1.3972</v>
      </c>
      <c r="FB50" s="167">
        <v>0.5323</v>
      </c>
      <c r="FC50" s="167">
        <v>0.46160000000000001</v>
      </c>
      <c r="FF50" s="168">
        <v>9879</v>
      </c>
      <c r="FG50" s="167">
        <v>10.4537</v>
      </c>
      <c r="FH50" s="167">
        <v>1.4008</v>
      </c>
      <c r="FI50" s="167">
        <v>0.53369999999999995</v>
      </c>
      <c r="FJ50" s="167">
        <v>0.46279999999999999</v>
      </c>
      <c r="FM50" s="168">
        <v>9879</v>
      </c>
      <c r="FN50" s="167">
        <v>10.467499999999999</v>
      </c>
      <c r="FO50" s="167">
        <v>1.4027000000000001</v>
      </c>
      <c r="FP50" s="167">
        <v>0.53439999999999999</v>
      </c>
      <c r="FQ50" s="167">
        <v>0.46339999999999998</v>
      </c>
      <c r="FT50" s="168">
        <v>9879</v>
      </c>
      <c r="FU50" s="167">
        <f>VLOOKUP(FT50,Sheet4!A52:F128,3,0)</f>
        <v>10.4991</v>
      </c>
      <c r="FV50" s="167">
        <f>VLOOKUP(FT50,Sheet4!A52:F128,4,0)</f>
        <v>1.4069</v>
      </c>
      <c r="FW50" s="167">
        <f>VLOOKUP(FT50,Sheet4!A52:F128,5,0)</f>
        <v>0.53600000000000003</v>
      </c>
      <c r="FX50" s="167">
        <f>VLOOKUP(FT50,Sheet4!A52:F128,6,0)</f>
        <v>0.46479999999999999</v>
      </c>
    </row>
    <row r="51" spans="1:180" x14ac:dyDescent="0.25">
      <c r="A51" s="9">
        <v>9880</v>
      </c>
      <c r="B51" s="9">
        <v>8.9859000000000009</v>
      </c>
      <c r="C51" s="9">
        <v>1.2040999999999999</v>
      </c>
      <c r="D51" s="9">
        <v>0.45879999999999999</v>
      </c>
      <c r="E51" s="9">
        <v>0.39779999999999999</v>
      </c>
      <c r="H51" s="9">
        <v>9880</v>
      </c>
      <c r="I51" s="9">
        <v>9.3981999999999992</v>
      </c>
      <c r="J51" s="9">
        <v>1.2594000000000001</v>
      </c>
      <c r="K51" s="9">
        <v>0.4798</v>
      </c>
      <c r="L51" s="9">
        <v>0.41610000000000003</v>
      </c>
      <c r="O51" s="154">
        <v>9880</v>
      </c>
      <c r="P51" s="154">
        <v>9.4186999999999994</v>
      </c>
      <c r="Q51" s="154">
        <v>1.2621</v>
      </c>
      <c r="R51" s="154">
        <v>0.48089999999999999</v>
      </c>
      <c r="S51" s="154">
        <v>0.41699999999999998</v>
      </c>
      <c r="V51" s="151">
        <v>9880</v>
      </c>
      <c r="W51" s="151">
        <v>9.4694000000000003</v>
      </c>
      <c r="X51" s="151">
        <v>1.2688999999999999</v>
      </c>
      <c r="Y51" s="151">
        <v>0.48349999999999999</v>
      </c>
      <c r="Z51" s="151">
        <v>0.41920000000000002</v>
      </c>
      <c r="AC51" s="155">
        <v>9880</v>
      </c>
      <c r="AD51" s="155">
        <v>9.5767000000000007</v>
      </c>
      <c r="AE51" s="155">
        <v>1.2833000000000001</v>
      </c>
      <c r="AF51" s="155">
        <v>0.4889</v>
      </c>
      <c r="AG51" s="155">
        <v>0.42399999999999999</v>
      </c>
      <c r="AJ51" s="160">
        <v>9880</v>
      </c>
      <c r="AK51" s="6">
        <v>9.7128999999999994</v>
      </c>
      <c r="AL51" s="6">
        <v>1.3016000000000001</v>
      </c>
      <c r="AM51" s="6">
        <v>0.49590000000000001</v>
      </c>
      <c r="AN51" s="6">
        <v>0.43</v>
      </c>
      <c r="AQ51" s="129">
        <v>9880</v>
      </c>
      <c r="AR51" s="53">
        <v>9.7678999999999991</v>
      </c>
      <c r="AS51" s="53">
        <v>1.3089</v>
      </c>
      <c r="AT51" s="53">
        <v>0.49869999999999998</v>
      </c>
      <c r="AU51" s="53">
        <v>0.43240000000000001</v>
      </c>
      <c r="AX51" s="129">
        <v>9880</v>
      </c>
      <c r="AY51" s="53">
        <v>9.8036999999999992</v>
      </c>
      <c r="AZ51" s="53">
        <v>1.3137000000000001</v>
      </c>
      <c r="BA51" s="53">
        <v>0.50049999999999994</v>
      </c>
      <c r="BB51" s="53">
        <v>0.434</v>
      </c>
      <c r="BC51" s="3"/>
      <c r="BD51" s="182"/>
      <c r="BE51" s="129">
        <v>9880</v>
      </c>
      <c r="BF51" s="53">
        <v>9.8192000000000004</v>
      </c>
      <c r="BG51" s="53">
        <v>1.3158000000000001</v>
      </c>
      <c r="BH51" s="53">
        <v>0.50129999999999997</v>
      </c>
      <c r="BI51" s="53">
        <v>0.43469999999999998</v>
      </c>
      <c r="BL51" s="129">
        <v>9880</v>
      </c>
      <c r="BM51" s="53">
        <v>9.9008000000000003</v>
      </c>
      <c r="BN51" s="53">
        <v>1.3267</v>
      </c>
      <c r="BO51" s="53">
        <v>0.50549999999999995</v>
      </c>
      <c r="BP51" s="53">
        <v>0.43830000000000002</v>
      </c>
      <c r="BS51" s="129">
        <v>9880</v>
      </c>
      <c r="BT51" s="53">
        <v>10.010999999999999</v>
      </c>
      <c r="BU51" s="53">
        <v>1.3414999999999999</v>
      </c>
      <c r="BV51" s="53">
        <v>0.5111</v>
      </c>
      <c r="BW51" s="53">
        <v>0.44319999999999998</v>
      </c>
      <c r="BZ51" s="129">
        <v>9880</v>
      </c>
      <c r="CA51" s="53">
        <v>10.045999999999999</v>
      </c>
      <c r="CB51" s="53">
        <v>1.3462000000000001</v>
      </c>
      <c r="CC51" s="53">
        <v>0.51290000000000002</v>
      </c>
      <c r="CD51" s="53">
        <v>0.44479999999999997</v>
      </c>
      <c r="CG51" s="129">
        <v>9880</v>
      </c>
      <c r="CH51" s="53">
        <v>10.074199999999999</v>
      </c>
      <c r="CI51" s="53">
        <v>1.35</v>
      </c>
      <c r="CJ51" s="53">
        <v>0.51429999999999998</v>
      </c>
      <c r="CK51" s="53">
        <v>0.44600000000000001</v>
      </c>
      <c r="CN51" s="207">
        <v>9880</v>
      </c>
      <c r="CO51" s="53">
        <v>10.1402</v>
      </c>
      <c r="CP51" s="53">
        <v>1.3588</v>
      </c>
      <c r="CQ51" s="53">
        <v>0.51770000000000005</v>
      </c>
      <c r="CR51" s="53">
        <v>0.44890000000000002</v>
      </c>
      <c r="CU51" s="215">
        <v>9880</v>
      </c>
      <c r="CV51" s="53">
        <v>10.1622</v>
      </c>
      <c r="CW51" s="53">
        <v>1.3617999999999999</v>
      </c>
      <c r="CX51" s="53">
        <v>0.51880000000000004</v>
      </c>
      <c r="CY51" s="53">
        <v>0.44990000000000002</v>
      </c>
      <c r="DB51" s="217">
        <v>9880</v>
      </c>
      <c r="DC51" s="53">
        <v>10.1854</v>
      </c>
      <c r="DD51" s="53">
        <v>1.3649</v>
      </c>
      <c r="DE51" s="53">
        <v>0.52</v>
      </c>
      <c r="DF51" s="53">
        <v>0.45090000000000002</v>
      </c>
      <c r="DI51" s="222">
        <v>9880</v>
      </c>
      <c r="DJ51" s="53">
        <v>10.204800000000001</v>
      </c>
      <c r="DK51" s="53">
        <v>1.3674999999999999</v>
      </c>
      <c r="DL51" s="53">
        <v>0.52100000000000002</v>
      </c>
      <c r="DM51" s="53">
        <v>0.45179999999999998</v>
      </c>
      <c r="DN51" s="231"/>
      <c r="DO51" s="231"/>
      <c r="DP51" s="227">
        <v>9880</v>
      </c>
      <c r="DQ51" s="53">
        <v>10.231999999999999</v>
      </c>
      <c r="DR51" s="53">
        <v>1.3711</v>
      </c>
      <c r="DS51" s="53">
        <v>0.52239999999999998</v>
      </c>
      <c r="DT51" s="53">
        <v>0.45300000000000001</v>
      </c>
      <c r="DW51" s="235">
        <v>9880</v>
      </c>
      <c r="DX51" s="53">
        <v>10.262600000000001</v>
      </c>
      <c r="DY51" s="53">
        <v>1.3752</v>
      </c>
      <c r="DZ51" s="53">
        <v>0.52400000000000002</v>
      </c>
      <c r="EA51" s="53">
        <v>0.45429999999999998</v>
      </c>
      <c r="ED51" s="237">
        <v>9880</v>
      </c>
      <c r="EE51" s="53">
        <v>10.2927</v>
      </c>
      <c r="EF51" s="53">
        <v>1.3793</v>
      </c>
      <c r="EG51" s="53">
        <v>0.52549999999999997</v>
      </c>
      <c r="EH51" s="53">
        <v>0.45569999999999999</v>
      </c>
      <c r="EK51" s="239">
        <v>9880</v>
      </c>
      <c r="EL51" s="53">
        <v>10.350199999999999</v>
      </c>
      <c r="EM51" s="53">
        <v>1.387</v>
      </c>
      <c r="EN51" s="53">
        <v>0.52839999999999998</v>
      </c>
      <c r="EO51" s="53">
        <v>0.4582</v>
      </c>
      <c r="ER51" s="243">
        <v>9880</v>
      </c>
      <c r="ES51" s="53">
        <v>10.409000000000001</v>
      </c>
      <c r="ET51" s="53">
        <v>1.3948</v>
      </c>
      <c r="EU51" s="53">
        <v>0.53139999999999998</v>
      </c>
      <c r="EV51" s="53">
        <v>0.46079999999999999</v>
      </c>
      <c r="EY51" s="245">
        <v>9880</v>
      </c>
      <c r="EZ51" s="53">
        <v>10.426299999999999</v>
      </c>
      <c r="FA51" s="53">
        <v>1.3972</v>
      </c>
      <c r="FB51" s="53">
        <v>0.5323</v>
      </c>
      <c r="FC51" s="53">
        <v>0.46160000000000001</v>
      </c>
      <c r="FF51" s="249">
        <v>9880</v>
      </c>
      <c r="FG51" s="53">
        <v>10.4537</v>
      </c>
      <c r="FH51" s="53">
        <v>1.4008</v>
      </c>
      <c r="FI51" s="53">
        <v>0.53369999999999995</v>
      </c>
      <c r="FJ51" s="53">
        <v>0.46279999999999999</v>
      </c>
      <c r="FM51" s="252">
        <v>9880</v>
      </c>
      <c r="FN51" s="53">
        <v>10.467499999999999</v>
      </c>
      <c r="FO51" s="53">
        <v>1.4027000000000001</v>
      </c>
      <c r="FP51" s="53">
        <v>0.53439999999999999</v>
      </c>
      <c r="FQ51" s="53">
        <v>0.46339999999999998</v>
      </c>
      <c r="FT51" s="254">
        <v>9880</v>
      </c>
      <c r="FU51" s="53">
        <f>VLOOKUP(FT51,Sheet4!A53:F129,3,0)</f>
        <v>10.4991</v>
      </c>
      <c r="FV51" s="53">
        <f>VLOOKUP(FT51,Sheet4!A53:F129,4,0)</f>
        <v>1.4069</v>
      </c>
      <c r="FW51" s="53">
        <f>VLOOKUP(FT51,Sheet4!A53:F129,5,0)</f>
        <v>0.53600000000000003</v>
      </c>
      <c r="FX51" s="53">
        <f>VLOOKUP(FT51,Sheet4!A53:F129,6,0)</f>
        <v>0.46479999999999999</v>
      </c>
    </row>
    <row r="52" spans="1:180" x14ac:dyDescent="0.25">
      <c r="A52" s="9">
        <v>9881</v>
      </c>
      <c r="B52" s="9">
        <v>8.9859000000000009</v>
      </c>
      <c r="C52" s="9">
        <v>1.2040999999999999</v>
      </c>
      <c r="D52" s="9">
        <v>0.45879999999999999</v>
      </c>
      <c r="E52" s="9">
        <v>0.39779999999999999</v>
      </c>
      <c r="H52" s="9">
        <v>9881</v>
      </c>
      <c r="I52" s="9">
        <v>9.3981999999999992</v>
      </c>
      <c r="J52" s="9">
        <v>1.2594000000000001</v>
      </c>
      <c r="K52" s="9">
        <v>0.4798</v>
      </c>
      <c r="L52" s="9">
        <v>0.41610000000000003</v>
      </c>
      <c r="O52" s="148">
        <v>9881</v>
      </c>
      <c r="P52" s="148">
        <v>9.4186999999999994</v>
      </c>
      <c r="Q52" s="148">
        <v>1.2621</v>
      </c>
      <c r="R52" s="148">
        <v>0.48089999999999999</v>
      </c>
      <c r="S52" s="148">
        <v>0.41699999999999998</v>
      </c>
      <c r="V52" s="151">
        <v>9881</v>
      </c>
      <c r="W52" s="151">
        <v>9.4694000000000003</v>
      </c>
      <c r="X52" s="151">
        <v>1.2688999999999999</v>
      </c>
      <c r="Y52" s="151">
        <v>0.48349999999999999</v>
      </c>
      <c r="Z52" s="151">
        <v>0.41920000000000002</v>
      </c>
      <c r="AC52" s="155">
        <v>9881</v>
      </c>
      <c r="AD52" s="155">
        <v>9.5767000000000007</v>
      </c>
      <c r="AE52" s="155">
        <v>1.2833000000000001</v>
      </c>
      <c r="AF52" s="155">
        <v>0.4889</v>
      </c>
      <c r="AG52" s="155">
        <v>0.42399999999999999</v>
      </c>
      <c r="AJ52" s="168">
        <v>9881</v>
      </c>
      <c r="AK52" s="169">
        <v>9.7128999999999994</v>
      </c>
      <c r="AL52" s="169">
        <v>1.3016000000000001</v>
      </c>
      <c r="AM52" s="169">
        <v>0.49590000000000001</v>
      </c>
      <c r="AN52" s="169">
        <v>0.43</v>
      </c>
      <c r="AQ52" s="165">
        <v>9881</v>
      </c>
      <c r="AR52" s="167">
        <v>9.7678999999999991</v>
      </c>
      <c r="AS52" s="167">
        <v>1.3089</v>
      </c>
      <c r="AT52" s="167">
        <v>0.49869999999999998</v>
      </c>
      <c r="AU52" s="167">
        <v>0.43240000000000001</v>
      </c>
      <c r="AX52" s="165">
        <v>9881</v>
      </c>
      <c r="AY52" s="167">
        <v>9.8036999999999992</v>
      </c>
      <c r="AZ52" s="167">
        <v>1.3137000000000001</v>
      </c>
      <c r="BA52" s="167">
        <v>0.50049999999999994</v>
      </c>
      <c r="BB52" s="167">
        <v>0.434</v>
      </c>
      <c r="BC52" s="3"/>
      <c r="BD52" s="182"/>
      <c r="BE52" s="165">
        <v>9881</v>
      </c>
      <c r="BF52" s="167">
        <v>9.8192000000000004</v>
      </c>
      <c r="BG52" s="167">
        <v>1.3158000000000001</v>
      </c>
      <c r="BH52" s="167">
        <v>0.50129999999999997</v>
      </c>
      <c r="BI52" s="167">
        <v>0.43469999999999998</v>
      </c>
      <c r="BL52" s="165">
        <v>9881</v>
      </c>
      <c r="BM52" s="53">
        <v>9.9008000000000003</v>
      </c>
      <c r="BN52" s="53">
        <v>1.3267</v>
      </c>
      <c r="BO52" s="53">
        <v>0.50549999999999995</v>
      </c>
      <c r="BP52" s="53">
        <v>0.43830000000000002</v>
      </c>
      <c r="BS52" s="165">
        <v>9881</v>
      </c>
      <c r="BT52" s="167">
        <v>10.010999999999999</v>
      </c>
      <c r="BU52" s="167">
        <v>1.3414999999999999</v>
      </c>
      <c r="BV52" s="167">
        <v>0.5111</v>
      </c>
      <c r="BW52" s="167">
        <v>0.44319999999999998</v>
      </c>
      <c r="BZ52" s="165">
        <v>9881</v>
      </c>
      <c r="CA52" s="167">
        <v>10.045999999999999</v>
      </c>
      <c r="CB52" s="167">
        <v>1.3462000000000001</v>
      </c>
      <c r="CC52" s="167">
        <v>0.51290000000000002</v>
      </c>
      <c r="CD52" s="167">
        <v>0.44479999999999997</v>
      </c>
      <c r="CG52" s="165">
        <v>9881</v>
      </c>
      <c r="CH52" s="167">
        <v>10.074199999999999</v>
      </c>
      <c r="CI52" s="167">
        <v>1.35</v>
      </c>
      <c r="CJ52" s="167">
        <v>0.51429999999999998</v>
      </c>
      <c r="CK52" s="167">
        <v>0.44600000000000001</v>
      </c>
      <c r="CN52" s="168">
        <v>9881</v>
      </c>
      <c r="CO52" s="167">
        <v>10.1402</v>
      </c>
      <c r="CP52" s="167">
        <v>1.3588</v>
      </c>
      <c r="CQ52" s="167">
        <v>0.51770000000000005</v>
      </c>
      <c r="CR52" s="167">
        <v>0.44890000000000002</v>
      </c>
      <c r="CU52" s="168">
        <v>9881</v>
      </c>
      <c r="CV52" s="167">
        <v>10.1622</v>
      </c>
      <c r="CW52" s="167">
        <v>1.3617999999999999</v>
      </c>
      <c r="CX52" s="167">
        <v>0.51880000000000004</v>
      </c>
      <c r="CY52" s="167">
        <v>0.44990000000000002</v>
      </c>
      <c r="DB52" s="168">
        <v>9881</v>
      </c>
      <c r="DC52" s="167">
        <v>10.1854</v>
      </c>
      <c r="DD52" s="167">
        <v>1.3649</v>
      </c>
      <c r="DE52" s="167">
        <v>0.52</v>
      </c>
      <c r="DF52" s="167">
        <v>0.45090000000000002</v>
      </c>
      <c r="DI52" s="168">
        <v>9881</v>
      </c>
      <c r="DJ52" s="167">
        <v>10.204800000000001</v>
      </c>
      <c r="DK52" s="167">
        <v>1.3674999999999999</v>
      </c>
      <c r="DL52" s="167">
        <v>0.52100000000000002</v>
      </c>
      <c r="DM52" s="167">
        <v>0.45179999999999998</v>
      </c>
      <c r="DN52" s="231"/>
      <c r="DO52" s="231"/>
      <c r="DP52" s="168">
        <v>9881</v>
      </c>
      <c r="DQ52" s="167">
        <v>10.231999999999999</v>
      </c>
      <c r="DR52" s="167">
        <v>1.3711</v>
      </c>
      <c r="DS52" s="167">
        <v>0.52239999999999998</v>
      </c>
      <c r="DT52" s="167">
        <v>0.45300000000000001</v>
      </c>
      <c r="DW52" s="168">
        <v>9881</v>
      </c>
      <c r="DX52" s="167">
        <v>10.262600000000001</v>
      </c>
      <c r="DY52" s="167">
        <v>1.3752</v>
      </c>
      <c r="DZ52" s="167">
        <v>0.52400000000000002</v>
      </c>
      <c r="EA52" s="167">
        <v>0.45429999999999998</v>
      </c>
      <c r="ED52" s="168">
        <v>9881</v>
      </c>
      <c r="EE52" s="167">
        <v>10.2927</v>
      </c>
      <c r="EF52" s="167">
        <v>1.3793</v>
      </c>
      <c r="EG52" s="167">
        <v>0.52549999999999997</v>
      </c>
      <c r="EH52" s="167">
        <v>0.45569999999999999</v>
      </c>
      <c r="EK52" s="168">
        <v>9881</v>
      </c>
      <c r="EL52" s="167">
        <v>10.350199999999999</v>
      </c>
      <c r="EM52" s="167">
        <v>1.387</v>
      </c>
      <c r="EN52" s="167">
        <v>0.52839999999999998</v>
      </c>
      <c r="EO52" s="167">
        <v>0.4582</v>
      </c>
      <c r="ER52" s="168">
        <v>9881</v>
      </c>
      <c r="ES52" s="167">
        <v>10.409000000000001</v>
      </c>
      <c r="ET52" s="167">
        <v>1.3948</v>
      </c>
      <c r="EU52" s="167">
        <v>0.53139999999999998</v>
      </c>
      <c r="EV52" s="167">
        <v>0.46079999999999999</v>
      </c>
      <c r="EY52" s="168">
        <v>9881</v>
      </c>
      <c r="EZ52" s="167">
        <v>10.426299999999999</v>
      </c>
      <c r="FA52" s="167">
        <v>1.3972</v>
      </c>
      <c r="FB52" s="167">
        <v>0.5323</v>
      </c>
      <c r="FC52" s="167">
        <v>0.46160000000000001</v>
      </c>
      <c r="FF52" s="168">
        <v>9881</v>
      </c>
      <c r="FG52" s="167">
        <v>10.4537</v>
      </c>
      <c r="FH52" s="167">
        <v>1.4008</v>
      </c>
      <c r="FI52" s="167">
        <v>0.53369999999999995</v>
      </c>
      <c r="FJ52" s="167">
        <v>0.46279999999999999</v>
      </c>
      <c r="FM52" s="168">
        <v>9881</v>
      </c>
      <c r="FN52" s="167">
        <v>10.467499999999999</v>
      </c>
      <c r="FO52" s="167">
        <v>1.4027000000000001</v>
      </c>
      <c r="FP52" s="167">
        <v>0.53439999999999999</v>
      </c>
      <c r="FQ52" s="167">
        <v>0.46339999999999998</v>
      </c>
      <c r="FT52" s="168">
        <v>9881</v>
      </c>
      <c r="FU52" s="167">
        <f>VLOOKUP(FT52,Sheet4!A54:F130,3,0)</f>
        <v>10.4991</v>
      </c>
      <c r="FV52" s="167">
        <f>VLOOKUP(FT52,Sheet4!A54:F130,4,0)</f>
        <v>1.4069</v>
      </c>
      <c r="FW52" s="167">
        <f>VLOOKUP(FT52,Sheet4!A54:F130,5,0)</f>
        <v>0.53600000000000003</v>
      </c>
      <c r="FX52" s="167">
        <f>VLOOKUP(FT52,Sheet4!A54:F130,6,0)</f>
        <v>0.46479999999999999</v>
      </c>
    </row>
    <row r="53" spans="1:180" x14ac:dyDescent="0.25">
      <c r="A53" s="9">
        <v>9882</v>
      </c>
      <c r="B53" s="9">
        <v>7.5317999999999996</v>
      </c>
      <c r="C53" s="9">
        <v>1.0093000000000001</v>
      </c>
      <c r="D53" s="9">
        <v>0.38450000000000001</v>
      </c>
      <c r="E53" s="9">
        <v>0.33339999999999997</v>
      </c>
      <c r="H53" s="9">
        <v>9882</v>
      </c>
      <c r="I53" s="9">
        <v>7.8556999999999997</v>
      </c>
      <c r="J53" s="9">
        <v>1.0527</v>
      </c>
      <c r="K53" s="9">
        <v>0.40110000000000001</v>
      </c>
      <c r="L53" s="9">
        <v>0.3478</v>
      </c>
      <c r="O53" s="154">
        <v>9882</v>
      </c>
      <c r="P53" s="154">
        <v>7.8718000000000004</v>
      </c>
      <c r="Q53" s="154">
        <v>1.0548999999999999</v>
      </c>
      <c r="R53" s="154">
        <v>0.40189999999999998</v>
      </c>
      <c r="S53" s="154">
        <v>0.34849999999999998</v>
      </c>
      <c r="V53" s="151">
        <v>9882</v>
      </c>
      <c r="W53" s="151">
        <v>7.9116</v>
      </c>
      <c r="X53" s="151">
        <v>1.0602</v>
      </c>
      <c r="Y53" s="151">
        <v>0.40389999999999998</v>
      </c>
      <c r="Z53" s="151">
        <v>0.3503</v>
      </c>
      <c r="AC53" s="155">
        <v>9882</v>
      </c>
      <c r="AD53" s="155">
        <v>7.9958999999999998</v>
      </c>
      <c r="AE53" s="155">
        <v>1.0714999999999999</v>
      </c>
      <c r="AF53" s="155">
        <v>0.40820000000000001</v>
      </c>
      <c r="AG53" s="155">
        <v>0.35399999999999998</v>
      </c>
      <c r="AJ53" s="160">
        <v>9882</v>
      </c>
      <c r="AK53" s="6">
        <v>8.1029</v>
      </c>
      <c r="AL53" s="6">
        <v>1.0858000000000001</v>
      </c>
      <c r="AM53" s="6">
        <v>0.41370000000000001</v>
      </c>
      <c r="AN53" s="6">
        <v>0.35870000000000002</v>
      </c>
      <c r="AQ53" s="129">
        <v>9882</v>
      </c>
      <c r="AR53" s="53">
        <v>8.1461000000000006</v>
      </c>
      <c r="AS53" s="53">
        <v>1.0915999999999999</v>
      </c>
      <c r="AT53" s="53">
        <v>0.41589999999999999</v>
      </c>
      <c r="AU53" s="53">
        <v>0.36059999999999998</v>
      </c>
      <c r="AX53" s="129">
        <v>9882</v>
      </c>
      <c r="AY53" s="53">
        <v>8.1742000000000008</v>
      </c>
      <c r="AZ53" s="53">
        <v>1.0953999999999999</v>
      </c>
      <c r="BA53" s="53">
        <v>0.4173</v>
      </c>
      <c r="BB53" s="53">
        <v>0.3619</v>
      </c>
      <c r="BC53" s="3"/>
      <c r="BD53" s="182"/>
      <c r="BE53" s="129">
        <v>9882</v>
      </c>
      <c r="BF53" s="53">
        <v>8.1864000000000008</v>
      </c>
      <c r="BG53" s="53">
        <v>1.097</v>
      </c>
      <c r="BH53" s="53">
        <v>0.41799999999999998</v>
      </c>
      <c r="BI53" s="53">
        <v>0.3624</v>
      </c>
      <c r="BL53" s="129">
        <v>9882</v>
      </c>
      <c r="BM53" s="53">
        <v>8.2506000000000004</v>
      </c>
      <c r="BN53" s="53">
        <v>1.1055999999999999</v>
      </c>
      <c r="BO53" s="53">
        <v>0.42120000000000002</v>
      </c>
      <c r="BP53" s="53">
        <v>0.36530000000000001</v>
      </c>
      <c r="BS53" s="129">
        <v>9882</v>
      </c>
      <c r="BT53" s="53">
        <v>8.3371999999999993</v>
      </c>
      <c r="BU53" s="53">
        <v>1.1172</v>
      </c>
      <c r="BV53" s="53">
        <v>0.42570000000000002</v>
      </c>
      <c r="BW53" s="53">
        <v>0.36909999999999998</v>
      </c>
      <c r="BZ53" s="129">
        <v>9882</v>
      </c>
      <c r="CA53" s="53">
        <v>8.3646999999999991</v>
      </c>
      <c r="CB53" s="53">
        <v>1.1209</v>
      </c>
      <c r="CC53" s="53">
        <v>0.42709999999999998</v>
      </c>
      <c r="CD53" s="53">
        <v>0.37030000000000002</v>
      </c>
      <c r="CG53" s="129">
        <v>9882</v>
      </c>
      <c r="CH53" s="53">
        <v>8.3867999999999991</v>
      </c>
      <c r="CI53" s="53">
        <v>1.1238999999999999</v>
      </c>
      <c r="CJ53" s="53">
        <v>0.42820000000000003</v>
      </c>
      <c r="CK53" s="53">
        <v>0.37130000000000002</v>
      </c>
      <c r="CN53" s="207">
        <v>9882</v>
      </c>
      <c r="CO53" s="53">
        <v>8.4387000000000008</v>
      </c>
      <c r="CP53" s="53">
        <v>1.1308</v>
      </c>
      <c r="CQ53" s="53">
        <v>0.43080000000000002</v>
      </c>
      <c r="CR53" s="53">
        <v>0.37359999999999999</v>
      </c>
      <c r="CU53" s="215">
        <v>9882</v>
      </c>
      <c r="CV53" s="53">
        <v>8.4559999999999995</v>
      </c>
      <c r="CW53" s="53">
        <v>1.1331</v>
      </c>
      <c r="CX53" s="53">
        <v>0.43169999999999997</v>
      </c>
      <c r="CY53" s="53">
        <v>0.37440000000000001</v>
      </c>
      <c r="DB53" s="217">
        <v>9882</v>
      </c>
      <c r="DC53" s="53">
        <v>8.4741999999999997</v>
      </c>
      <c r="DD53" s="53">
        <v>1.1355999999999999</v>
      </c>
      <c r="DE53" s="53">
        <v>0.43269999999999997</v>
      </c>
      <c r="DF53" s="53">
        <v>0.37519999999999998</v>
      </c>
      <c r="DI53" s="222">
        <v>9882</v>
      </c>
      <c r="DJ53" s="53">
        <v>8.4894999999999996</v>
      </c>
      <c r="DK53" s="53">
        <v>1.1375999999999999</v>
      </c>
      <c r="DL53" s="53">
        <v>0.43340000000000001</v>
      </c>
      <c r="DM53" s="53">
        <v>0.37580000000000002</v>
      </c>
      <c r="DN53" s="231"/>
      <c r="DO53" s="231"/>
      <c r="DP53" s="227">
        <v>9882</v>
      </c>
      <c r="DQ53" s="53">
        <v>8.5108999999999995</v>
      </c>
      <c r="DR53" s="53">
        <v>1.1405000000000001</v>
      </c>
      <c r="DS53" s="53">
        <v>0.4345</v>
      </c>
      <c r="DT53" s="53">
        <v>0.37680000000000002</v>
      </c>
      <c r="DW53" s="235">
        <v>9882</v>
      </c>
      <c r="DX53" s="53">
        <v>8.5349000000000004</v>
      </c>
      <c r="DY53" s="53">
        <v>1.1436999999999999</v>
      </c>
      <c r="DZ53" s="53">
        <v>0.43580000000000002</v>
      </c>
      <c r="EA53" s="53">
        <v>0.37790000000000001</v>
      </c>
      <c r="ED53" s="237">
        <v>9882</v>
      </c>
      <c r="EE53" s="53">
        <v>8.5586000000000002</v>
      </c>
      <c r="EF53" s="53">
        <v>1.1469</v>
      </c>
      <c r="EG53" s="53">
        <v>0.437</v>
      </c>
      <c r="EH53" s="53">
        <v>0.37890000000000001</v>
      </c>
      <c r="EK53" s="239">
        <v>9882</v>
      </c>
      <c r="EL53" s="53">
        <v>8.6037999999999997</v>
      </c>
      <c r="EM53" s="53">
        <v>1.1529</v>
      </c>
      <c r="EN53" s="53">
        <v>0.43930000000000002</v>
      </c>
      <c r="EO53" s="53">
        <v>0.38090000000000002</v>
      </c>
      <c r="EP53" s="231"/>
      <c r="EQ53" s="231"/>
      <c r="ER53" s="243">
        <v>9882</v>
      </c>
      <c r="ES53" s="53">
        <v>8.65</v>
      </c>
      <c r="ET53" s="53">
        <v>1.1591</v>
      </c>
      <c r="EU53" s="53">
        <v>0.44159999999999999</v>
      </c>
      <c r="EV53" s="53">
        <v>0.38300000000000001</v>
      </c>
      <c r="EY53" s="245">
        <v>9882</v>
      </c>
      <c r="EZ53" s="53">
        <v>8.6636000000000006</v>
      </c>
      <c r="FA53" s="53">
        <v>1.161</v>
      </c>
      <c r="FB53" s="53">
        <v>0.44230000000000003</v>
      </c>
      <c r="FC53" s="53">
        <v>0.3836</v>
      </c>
      <c r="FF53" s="249">
        <v>9882</v>
      </c>
      <c r="FG53" s="53">
        <v>8.6852</v>
      </c>
      <c r="FH53" s="53">
        <v>1.1638999999999999</v>
      </c>
      <c r="FI53" s="53">
        <v>0.44340000000000002</v>
      </c>
      <c r="FJ53" s="53">
        <v>0.38450000000000001</v>
      </c>
      <c r="FM53" s="252">
        <v>9882</v>
      </c>
      <c r="FN53" s="53">
        <v>8.6959999999999997</v>
      </c>
      <c r="FO53" s="53">
        <v>1.1653</v>
      </c>
      <c r="FP53" s="53">
        <v>0.44400000000000001</v>
      </c>
      <c r="FQ53" s="53">
        <v>0.38500000000000001</v>
      </c>
      <c r="FT53" s="254">
        <v>9882</v>
      </c>
      <c r="FU53" s="53">
        <f>VLOOKUP(FT53,Sheet4!A55:F131,3,0)</f>
        <v>8.7208000000000006</v>
      </c>
      <c r="FV53" s="53">
        <f>VLOOKUP(FT53,Sheet4!A55:F131,4,0)</f>
        <v>1.1686000000000001</v>
      </c>
      <c r="FW53" s="53">
        <f>VLOOKUP(FT53,Sheet4!A55:F131,5,0)</f>
        <v>0.44519999999999998</v>
      </c>
      <c r="FX53" s="53">
        <f>VLOOKUP(FT53,Sheet4!A55:F131,6,0)</f>
        <v>0.3861</v>
      </c>
    </row>
    <row r="54" spans="1:180" x14ac:dyDescent="0.25">
      <c r="A54" s="9">
        <v>9883</v>
      </c>
      <c r="B54" s="9">
        <v>16.940799999999999</v>
      </c>
      <c r="C54" s="9">
        <v>2.2700999999999998</v>
      </c>
      <c r="D54" s="9">
        <v>0.8649</v>
      </c>
      <c r="E54" s="9">
        <v>0.75</v>
      </c>
      <c r="H54" s="9">
        <v>9883</v>
      </c>
      <c r="I54" s="9">
        <v>17.4955</v>
      </c>
      <c r="J54" s="9">
        <v>2.3445</v>
      </c>
      <c r="K54" s="9">
        <v>0.89319999999999999</v>
      </c>
      <c r="L54" s="9">
        <v>0.77459999999999996</v>
      </c>
      <c r="O54" s="148">
        <v>9883</v>
      </c>
      <c r="P54" s="148">
        <v>17.523099999999999</v>
      </c>
      <c r="Q54" s="148">
        <v>2.3481999999999998</v>
      </c>
      <c r="R54" s="148">
        <v>0.89470000000000005</v>
      </c>
      <c r="S54" s="148">
        <v>0.77580000000000005</v>
      </c>
      <c r="V54" s="151">
        <v>9883</v>
      </c>
      <c r="W54" s="151">
        <v>17.5913</v>
      </c>
      <c r="X54" s="151">
        <v>2.3573</v>
      </c>
      <c r="Y54" s="151">
        <v>0.89810000000000001</v>
      </c>
      <c r="Z54" s="151">
        <v>0.77880000000000005</v>
      </c>
      <c r="AC54" s="155">
        <v>9883</v>
      </c>
      <c r="AD54" s="155">
        <v>17.735700000000001</v>
      </c>
      <c r="AE54" s="155">
        <v>2.3767</v>
      </c>
      <c r="AF54" s="155">
        <v>0.90549999999999997</v>
      </c>
      <c r="AG54" s="155">
        <v>0.78520000000000001</v>
      </c>
      <c r="AJ54" s="168">
        <v>9883</v>
      </c>
      <c r="AK54" s="169">
        <v>17.918900000000001</v>
      </c>
      <c r="AL54" s="169">
        <v>2.4011999999999998</v>
      </c>
      <c r="AM54" s="169">
        <v>0.91490000000000005</v>
      </c>
      <c r="AN54" s="169">
        <v>0.79330000000000001</v>
      </c>
      <c r="AQ54" s="165">
        <v>9883</v>
      </c>
      <c r="AR54" s="167">
        <v>17.992799999999999</v>
      </c>
      <c r="AS54" s="167">
        <v>2.4110999999999998</v>
      </c>
      <c r="AT54" s="167">
        <v>0.91859999999999997</v>
      </c>
      <c r="AU54" s="167">
        <v>0.79659999999999997</v>
      </c>
      <c r="AX54" s="165">
        <v>9883</v>
      </c>
      <c r="AY54" s="167">
        <v>18.041</v>
      </c>
      <c r="AZ54" s="167">
        <v>2.4176000000000002</v>
      </c>
      <c r="BA54" s="167">
        <v>0.92110000000000003</v>
      </c>
      <c r="BB54" s="167">
        <v>0.79869999999999997</v>
      </c>
      <c r="BC54" s="3"/>
      <c r="BD54" s="182"/>
      <c r="BE54" s="165">
        <v>9883</v>
      </c>
      <c r="BF54" s="167">
        <v>18.061900000000001</v>
      </c>
      <c r="BG54" s="167">
        <v>2.4203999999999999</v>
      </c>
      <c r="BH54" s="167">
        <v>0.92220000000000002</v>
      </c>
      <c r="BI54" s="167">
        <v>0.79959999999999998</v>
      </c>
      <c r="BL54" s="165">
        <v>9883</v>
      </c>
      <c r="BM54" s="53">
        <v>18.171700000000001</v>
      </c>
      <c r="BN54" s="53">
        <v>2.4350999999999998</v>
      </c>
      <c r="BO54" s="53">
        <v>0.92779999999999996</v>
      </c>
      <c r="BP54" s="53">
        <v>0.80449999999999999</v>
      </c>
      <c r="BS54" s="165">
        <v>9883</v>
      </c>
      <c r="BT54" s="167">
        <v>18.32</v>
      </c>
      <c r="BU54" s="167">
        <v>2.4550000000000001</v>
      </c>
      <c r="BV54" s="167">
        <v>0.93530000000000002</v>
      </c>
      <c r="BW54" s="167">
        <v>0.81110000000000004</v>
      </c>
      <c r="BZ54" s="165">
        <v>9883</v>
      </c>
      <c r="CA54" s="167">
        <v>18.367100000000001</v>
      </c>
      <c r="CB54" s="167">
        <v>2.4613</v>
      </c>
      <c r="CC54" s="167">
        <v>0.93769999999999998</v>
      </c>
      <c r="CD54" s="167">
        <v>0.81320000000000003</v>
      </c>
      <c r="CG54" s="165">
        <v>9883</v>
      </c>
      <c r="CH54" s="167">
        <v>18.405000000000001</v>
      </c>
      <c r="CI54" s="167">
        <v>2.4662999999999999</v>
      </c>
      <c r="CJ54" s="167">
        <v>0.93969999999999998</v>
      </c>
      <c r="CK54" s="167">
        <v>0.81479999999999997</v>
      </c>
      <c r="CN54" s="168">
        <v>9883</v>
      </c>
      <c r="CO54" s="167">
        <v>18.4938</v>
      </c>
      <c r="CP54" s="167">
        <v>2.4782000000000002</v>
      </c>
      <c r="CQ54" s="167">
        <v>0.94420000000000004</v>
      </c>
      <c r="CR54" s="167">
        <v>0.81879999999999997</v>
      </c>
      <c r="CU54" s="168">
        <v>9883</v>
      </c>
      <c r="CV54" s="167">
        <v>18.523499999999999</v>
      </c>
      <c r="CW54" s="167">
        <v>2.4822000000000002</v>
      </c>
      <c r="CX54" s="167">
        <v>0.94569999999999999</v>
      </c>
      <c r="CY54" s="167">
        <v>0.82010000000000005</v>
      </c>
      <c r="DB54" s="168">
        <v>9883</v>
      </c>
      <c r="DC54" s="167">
        <v>18.5547</v>
      </c>
      <c r="DD54" s="167">
        <v>2.4864000000000002</v>
      </c>
      <c r="DE54" s="167">
        <v>0.94730000000000003</v>
      </c>
      <c r="DF54" s="167">
        <v>0.82150000000000001</v>
      </c>
      <c r="DI54" s="168">
        <v>9883</v>
      </c>
      <c r="DJ54" s="167">
        <v>18.5808</v>
      </c>
      <c r="DK54" s="167">
        <v>2.4899</v>
      </c>
      <c r="DL54" s="167">
        <v>0.94869999999999999</v>
      </c>
      <c r="DM54" s="167">
        <v>0.8226</v>
      </c>
      <c r="DN54" s="231"/>
      <c r="DO54" s="231"/>
      <c r="DP54" s="168">
        <v>9883</v>
      </c>
      <c r="DQ54" s="167">
        <v>18.6174</v>
      </c>
      <c r="DR54" s="167">
        <v>2.4948000000000001</v>
      </c>
      <c r="DS54" s="167">
        <v>0.95050000000000001</v>
      </c>
      <c r="DT54" s="167">
        <v>0.82420000000000004</v>
      </c>
      <c r="DW54" s="168">
        <v>9883</v>
      </c>
      <c r="DX54" s="167">
        <v>18.6586</v>
      </c>
      <c r="DY54" s="167">
        <v>2.5003000000000002</v>
      </c>
      <c r="DZ54" s="167">
        <v>0.9526</v>
      </c>
      <c r="EA54" s="167">
        <v>0.82609999999999995</v>
      </c>
      <c r="ED54" s="168">
        <v>9883</v>
      </c>
      <c r="EE54" s="167">
        <v>18.699100000000001</v>
      </c>
      <c r="EF54" s="167">
        <v>2.5057999999999998</v>
      </c>
      <c r="EG54" s="167">
        <v>0.95469999999999999</v>
      </c>
      <c r="EH54" s="167">
        <v>0.82779999999999998</v>
      </c>
      <c r="EK54" s="168">
        <v>9883</v>
      </c>
      <c r="EL54" s="167">
        <v>18.776399999999999</v>
      </c>
      <c r="EM54" s="167">
        <v>2.5160999999999998</v>
      </c>
      <c r="EN54" s="167">
        <v>0.95860000000000001</v>
      </c>
      <c r="EO54" s="167">
        <v>0.83130000000000004</v>
      </c>
      <c r="ER54" s="168">
        <v>9883</v>
      </c>
      <c r="ES54" s="167">
        <v>18.855399999999999</v>
      </c>
      <c r="ET54" s="167">
        <v>2.5266999999999999</v>
      </c>
      <c r="EU54" s="167">
        <v>0.9627</v>
      </c>
      <c r="EV54" s="167">
        <v>0.83479999999999999</v>
      </c>
      <c r="EY54" s="168">
        <v>9883</v>
      </c>
      <c r="EZ54" s="167">
        <v>18.878699999999998</v>
      </c>
      <c r="FA54" s="167">
        <v>2.5297999999999998</v>
      </c>
      <c r="FB54" s="167">
        <v>0.96389999999999998</v>
      </c>
      <c r="FC54" s="167">
        <v>0.83579999999999999</v>
      </c>
      <c r="FF54" s="168">
        <v>9883</v>
      </c>
      <c r="FG54" s="167">
        <v>18.915600000000001</v>
      </c>
      <c r="FH54" s="167">
        <v>2.5348000000000002</v>
      </c>
      <c r="FI54" s="167">
        <v>0.9657</v>
      </c>
      <c r="FJ54" s="167">
        <v>0.83740000000000003</v>
      </c>
      <c r="FM54" s="168">
        <v>9883</v>
      </c>
      <c r="FN54" s="167">
        <v>18.934100000000001</v>
      </c>
      <c r="FO54" s="167">
        <v>2.5371999999999999</v>
      </c>
      <c r="FP54" s="167">
        <v>0.9667</v>
      </c>
      <c r="FQ54" s="167">
        <v>0.83830000000000005</v>
      </c>
      <c r="FT54" s="168">
        <v>9883</v>
      </c>
      <c r="FU54" s="167">
        <f>VLOOKUP(FT54,Sheet4!A56:F132,3,0)</f>
        <v>18.976500000000001</v>
      </c>
      <c r="FV54" s="167">
        <f>VLOOKUP(FT54,Sheet4!A56:F132,4,0)</f>
        <v>2.5428999999999999</v>
      </c>
      <c r="FW54" s="167">
        <f>VLOOKUP(FT54,Sheet4!A56:F132,5,0)</f>
        <v>0.96889999999999998</v>
      </c>
      <c r="FX54" s="167">
        <f>VLOOKUP(FT54,Sheet4!A56:F132,6,0)</f>
        <v>0.84009999999999996</v>
      </c>
    </row>
    <row r="55" spans="1:180" x14ac:dyDescent="0.25">
      <c r="A55" s="9">
        <v>9884</v>
      </c>
      <c r="B55" s="9">
        <v>0</v>
      </c>
      <c r="C55" s="9">
        <v>0</v>
      </c>
      <c r="D55" s="9">
        <v>0</v>
      </c>
      <c r="E55" s="9">
        <v>0</v>
      </c>
      <c r="H55" s="9">
        <v>9884</v>
      </c>
      <c r="I55" s="9">
        <v>0</v>
      </c>
      <c r="J55" s="9">
        <v>0</v>
      </c>
      <c r="K55" s="9">
        <v>0</v>
      </c>
      <c r="L55" s="9">
        <v>0</v>
      </c>
      <c r="O55" s="154">
        <v>9884</v>
      </c>
      <c r="P55" s="154">
        <v>0</v>
      </c>
      <c r="Q55" s="154">
        <v>0</v>
      </c>
      <c r="R55" s="154">
        <v>0</v>
      </c>
      <c r="S55" s="154">
        <v>0</v>
      </c>
      <c r="V55" s="151">
        <v>9884</v>
      </c>
      <c r="W55" s="151">
        <v>0</v>
      </c>
      <c r="X55" s="151">
        <v>0</v>
      </c>
      <c r="Y55" s="151">
        <v>0</v>
      </c>
      <c r="Z55" s="151">
        <v>0</v>
      </c>
      <c r="AC55" s="155">
        <v>9884</v>
      </c>
      <c r="AD55" s="155">
        <v>0</v>
      </c>
      <c r="AE55" s="155">
        <v>0</v>
      </c>
      <c r="AF55" s="155">
        <v>0</v>
      </c>
      <c r="AG55" s="155">
        <v>0</v>
      </c>
      <c r="AJ55" s="160">
        <v>9884</v>
      </c>
      <c r="AK55" s="160">
        <v>0</v>
      </c>
      <c r="AL55" s="160">
        <v>0</v>
      </c>
      <c r="AM55" s="160">
        <v>0</v>
      </c>
      <c r="AN55" s="160">
        <v>0</v>
      </c>
      <c r="AQ55" s="129">
        <v>9884</v>
      </c>
      <c r="AR55" s="9">
        <v>0</v>
      </c>
      <c r="AS55" s="9">
        <v>0</v>
      </c>
      <c r="AT55" s="9">
        <v>0</v>
      </c>
      <c r="AU55" s="9">
        <v>0</v>
      </c>
      <c r="AX55" s="129">
        <v>9884</v>
      </c>
      <c r="AY55" s="185">
        <v>0</v>
      </c>
      <c r="AZ55" s="185">
        <v>0</v>
      </c>
      <c r="BA55" s="185">
        <v>0</v>
      </c>
      <c r="BB55" s="185">
        <v>0</v>
      </c>
      <c r="BC55" s="3"/>
      <c r="BD55" s="182"/>
      <c r="BE55" s="129">
        <v>9884</v>
      </c>
      <c r="BF55" s="53">
        <v>0</v>
      </c>
      <c r="BG55" s="53">
        <v>0</v>
      </c>
      <c r="BH55" s="53">
        <v>0</v>
      </c>
      <c r="BI55" s="53">
        <v>0</v>
      </c>
      <c r="BL55" s="129">
        <v>9884</v>
      </c>
      <c r="BM55" s="53">
        <v>0</v>
      </c>
      <c r="BN55" s="53">
        <v>0</v>
      </c>
      <c r="BO55" s="53">
        <v>0</v>
      </c>
      <c r="BP55" s="53">
        <v>0</v>
      </c>
      <c r="BS55" s="129">
        <v>9884</v>
      </c>
      <c r="BT55" s="53">
        <v>0</v>
      </c>
      <c r="BU55" s="53">
        <v>0</v>
      </c>
      <c r="BV55" s="53">
        <v>0</v>
      </c>
      <c r="BW55" s="53">
        <v>0</v>
      </c>
      <c r="BZ55" s="129">
        <v>9884</v>
      </c>
      <c r="CA55" s="53">
        <v>0</v>
      </c>
      <c r="CB55" s="53">
        <v>0</v>
      </c>
      <c r="CC55" s="53">
        <v>0</v>
      </c>
      <c r="CD55" s="53">
        <v>0</v>
      </c>
      <c r="CE55" s="210"/>
      <c r="CF55" s="212"/>
      <c r="CG55" s="211">
        <v>9884</v>
      </c>
      <c r="CH55" s="53">
        <v>0</v>
      </c>
      <c r="CI55" s="53">
        <v>0</v>
      </c>
      <c r="CJ55" s="53">
        <v>0</v>
      </c>
      <c r="CK55" s="53">
        <v>0</v>
      </c>
      <c r="CN55" s="207">
        <v>9884</v>
      </c>
      <c r="CO55" s="53">
        <v>0</v>
      </c>
      <c r="CP55" s="53">
        <v>0</v>
      </c>
      <c r="CQ55" s="53">
        <v>0</v>
      </c>
      <c r="CR55" s="53">
        <v>0</v>
      </c>
      <c r="CU55" s="215">
        <v>9884</v>
      </c>
      <c r="CV55" s="53">
        <v>0</v>
      </c>
      <c r="CW55" s="53">
        <v>0</v>
      </c>
      <c r="CX55" s="53">
        <v>0</v>
      </c>
      <c r="CY55" s="53">
        <v>0</v>
      </c>
      <c r="DB55" s="217">
        <v>9884</v>
      </c>
      <c r="DC55" s="53">
        <v>0</v>
      </c>
      <c r="DD55" s="53">
        <v>0</v>
      </c>
      <c r="DE55" s="53">
        <v>0</v>
      </c>
      <c r="DF55" s="53">
        <v>0</v>
      </c>
      <c r="DI55" s="222">
        <v>9884</v>
      </c>
      <c r="DJ55" s="53">
        <v>0</v>
      </c>
      <c r="DK55" s="53">
        <v>0</v>
      </c>
      <c r="DL55" s="53">
        <v>0</v>
      </c>
      <c r="DM55" s="53">
        <v>0</v>
      </c>
      <c r="DN55" s="231"/>
      <c r="DO55" s="231"/>
      <c r="DP55" s="227">
        <v>9884</v>
      </c>
      <c r="DQ55" s="53">
        <v>0</v>
      </c>
      <c r="DR55" s="53">
        <v>0</v>
      </c>
      <c r="DS55" s="53">
        <v>0</v>
      </c>
      <c r="DT55" s="53">
        <v>0</v>
      </c>
      <c r="DW55" s="235">
        <v>9884</v>
      </c>
      <c r="DX55" s="53">
        <v>0</v>
      </c>
      <c r="DY55" s="53">
        <v>0</v>
      </c>
      <c r="DZ55" s="53">
        <v>0</v>
      </c>
      <c r="EA55" s="53">
        <v>0</v>
      </c>
      <c r="ED55" s="237">
        <v>9884</v>
      </c>
      <c r="EE55" s="53">
        <v>0</v>
      </c>
      <c r="EF55" s="53">
        <v>0</v>
      </c>
      <c r="EG55" s="53">
        <v>0</v>
      </c>
      <c r="EH55" s="53">
        <v>0</v>
      </c>
      <c r="EK55" s="239">
        <v>9884</v>
      </c>
      <c r="EL55" s="53">
        <v>0</v>
      </c>
      <c r="EM55" s="53">
        <v>0</v>
      </c>
      <c r="EN55" s="53">
        <v>0</v>
      </c>
      <c r="EO55" s="53">
        <v>0</v>
      </c>
      <c r="ER55" s="243">
        <v>9884</v>
      </c>
      <c r="ES55" s="53">
        <v>0</v>
      </c>
      <c r="ET55" s="53">
        <v>0</v>
      </c>
      <c r="EU55" s="53">
        <v>0</v>
      </c>
      <c r="EV55" s="53">
        <v>0</v>
      </c>
      <c r="EY55" s="245">
        <v>9884</v>
      </c>
      <c r="EZ55" s="53">
        <v>0</v>
      </c>
      <c r="FA55" s="53">
        <v>0</v>
      </c>
      <c r="FB55" s="53">
        <v>0</v>
      </c>
      <c r="FC55" s="53">
        <v>0</v>
      </c>
      <c r="FF55" s="249">
        <v>9884</v>
      </c>
      <c r="FG55" s="53">
        <v>0</v>
      </c>
      <c r="FH55" s="53">
        <v>0</v>
      </c>
      <c r="FI55" s="53">
        <v>0</v>
      </c>
      <c r="FJ55" s="53">
        <v>0</v>
      </c>
      <c r="FM55" s="252">
        <v>9884</v>
      </c>
      <c r="FN55" s="53">
        <v>0</v>
      </c>
      <c r="FO55" s="53">
        <v>0</v>
      </c>
      <c r="FP55" s="53">
        <v>0</v>
      </c>
      <c r="FQ55" s="53">
        <v>0</v>
      </c>
      <c r="FT55" s="254">
        <v>9884</v>
      </c>
      <c r="FU55" s="53">
        <f>VLOOKUP(FT55,Sheet4!A57:F133,3,0)</f>
        <v>0</v>
      </c>
      <c r="FV55" s="53">
        <f>VLOOKUP(FT55,Sheet4!A57:F133,4,0)</f>
        <v>0</v>
      </c>
      <c r="FW55" s="53">
        <f>VLOOKUP(FT55,Sheet4!A57:F133,5,0)</f>
        <v>0</v>
      </c>
      <c r="FX55" s="53">
        <f>VLOOKUP(FT55,Sheet4!A57:F133,6,0)</f>
        <v>0</v>
      </c>
    </row>
    <row r="56" spans="1:180" x14ac:dyDescent="0.25">
      <c r="A56" s="9">
        <v>9885</v>
      </c>
      <c r="B56" s="9">
        <v>7.5317999999999996</v>
      </c>
      <c r="C56" s="9">
        <v>1.0093000000000001</v>
      </c>
      <c r="D56" s="9">
        <v>0.38450000000000001</v>
      </c>
      <c r="E56" s="9">
        <v>0.33339999999999997</v>
      </c>
      <c r="H56" s="9">
        <v>9885</v>
      </c>
      <c r="I56" s="9">
        <v>7.8556999999999997</v>
      </c>
      <c r="J56" s="9">
        <v>1.0527</v>
      </c>
      <c r="K56" s="9">
        <v>0.40110000000000001</v>
      </c>
      <c r="L56" s="9">
        <v>0.3478</v>
      </c>
      <c r="O56" s="148">
        <v>9885</v>
      </c>
      <c r="P56" s="148">
        <v>7.8718000000000004</v>
      </c>
      <c r="Q56" s="148">
        <v>1.0548999999999999</v>
      </c>
      <c r="R56" s="148">
        <v>0.40189999999999998</v>
      </c>
      <c r="S56" s="148">
        <v>0.34849999999999998</v>
      </c>
      <c r="V56" s="151">
        <v>9885</v>
      </c>
      <c r="W56" s="151">
        <v>7.9116</v>
      </c>
      <c r="X56" s="151">
        <v>1.0602</v>
      </c>
      <c r="Y56" s="151">
        <v>0.40389999999999998</v>
      </c>
      <c r="Z56" s="151">
        <v>0.3503</v>
      </c>
      <c r="AC56" s="155">
        <v>9885</v>
      </c>
      <c r="AD56" s="155">
        <v>7.9958999999999998</v>
      </c>
      <c r="AE56" s="155">
        <v>1.0714999999999999</v>
      </c>
      <c r="AF56" s="155">
        <v>0.40820000000000001</v>
      </c>
      <c r="AG56" s="155">
        <v>0.35399999999999998</v>
      </c>
      <c r="AJ56" s="168">
        <v>9885</v>
      </c>
      <c r="AK56" s="169">
        <v>8.1029</v>
      </c>
      <c r="AL56" s="169">
        <v>1.0858000000000001</v>
      </c>
      <c r="AM56" s="169">
        <v>0.41370000000000001</v>
      </c>
      <c r="AN56" s="169">
        <v>0.35870000000000002</v>
      </c>
      <c r="AQ56" s="165">
        <v>9885</v>
      </c>
      <c r="AR56" s="167">
        <v>8.1461000000000006</v>
      </c>
      <c r="AS56" s="167">
        <v>1.0915999999999999</v>
      </c>
      <c r="AT56" s="167">
        <v>0.41589999999999999</v>
      </c>
      <c r="AU56" s="167">
        <v>0.36059999999999998</v>
      </c>
      <c r="AX56" s="165">
        <v>9885</v>
      </c>
      <c r="AY56" s="167">
        <v>8.1742000000000008</v>
      </c>
      <c r="AZ56" s="167">
        <v>1.0953999999999999</v>
      </c>
      <c r="BA56" s="167">
        <v>0.4173</v>
      </c>
      <c r="BB56" s="167">
        <v>0.3619</v>
      </c>
      <c r="BC56" s="3"/>
      <c r="BD56" s="182"/>
      <c r="BE56" s="165">
        <v>9885</v>
      </c>
      <c r="BF56" s="167">
        <v>8.1864000000000008</v>
      </c>
      <c r="BG56" s="167">
        <v>1.097</v>
      </c>
      <c r="BH56" s="167">
        <v>0.41799999999999998</v>
      </c>
      <c r="BI56" s="167">
        <v>0.3624</v>
      </c>
      <c r="BL56" s="165">
        <v>9885</v>
      </c>
      <c r="BM56" s="53">
        <v>8.2506000000000004</v>
      </c>
      <c r="BN56" s="53">
        <v>1.1055999999999999</v>
      </c>
      <c r="BO56" s="53">
        <v>0.42120000000000002</v>
      </c>
      <c r="BP56" s="53">
        <v>0.36530000000000001</v>
      </c>
      <c r="BS56" s="165">
        <v>9885</v>
      </c>
      <c r="BT56" s="167">
        <v>8.3371999999999993</v>
      </c>
      <c r="BU56" s="167">
        <v>1.1172</v>
      </c>
      <c r="BV56" s="167">
        <v>0.42570000000000002</v>
      </c>
      <c r="BW56" s="167">
        <v>0.36909999999999998</v>
      </c>
      <c r="BY56" s="17"/>
      <c r="BZ56" s="165">
        <v>9885</v>
      </c>
      <c r="CA56" s="167">
        <v>8.3646999999999991</v>
      </c>
      <c r="CB56" s="167">
        <v>1.1209</v>
      </c>
      <c r="CC56" s="167">
        <v>0.42709999999999998</v>
      </c>
      <c r="CD56" s="167">
        <v>0.37030000000000002</v>
      </c>
      <c r="CG56" s="165">
        <v>9885</v>
      </c>
      <c r="CH56" s="167">
        <v>8.3867999999999991</v>
      </c>
      <c r="CI56" s="167">
        <v>1.1238999999999999</v>
      </c>
      <c r="CJ56" s="167">
        <v>0.42820000000000003</v>
      </c>
      <c r="CK56" s="167">
        <v>0.37130000000000002</v>
      </c>
      <c r="CN56" s="168">
        <v>9885</v>
      </c>
      <c r="CO56" s="167">
        <v>8.4387000000000008</v>
      </c>
      <c r="CP56" s="167">
        <v>1.1308</v>
      </c>
      <c r="CQ56" s="167">
        <v>0.43080000000000002</v>
      </c>
      <c r="CR56" s="167">
        <v>0.37359999999999999</v>
      </c>
      <c r="CU56" s="168">
        <v>9885</v>
      </c>
      <c r="CV56" s="167">
        <v>8.4559999999999995</v>
      </c>
      <c r="CW56" s="167">
        <v>1.1331</v>
      </c>
      <c r="CX56" s="167">
        <v>0.43169999999999997</v>
      </c>
      <c r="CY56" s="167">
        <v>0.37440000000000001</v>
      </c>
      <c r="DB56" s="168">
        <v>9885</v>
      </c>
      <c r="DC56" s="167">
        <v>8.4741999999999997</v>
      </c>
      <c r="DD56" s="167">
        <v>1.1355999999999999</v>
      </c>
      <c r="DE56" s="167">
        <v>0.43269999999999997</v>
      </c>
      <c r="DF56" s="167">
        <v>0.37519999999999998</v>
      </c>
      <c r="DI56" s="168">
        <v>9885</v>
      </c>
      <c r="DJ56" s="167">
        <v>8.4894999999999996</v>
      </c>
      <c r="DK56" s="167">
        <v>1.1375999999999999</v>
      </c>
      <c r="DL56" s="167">
        <v>0.43340000000000001</v>
      </c>
      <c r="DM56" s="167">
        <v>0.37580000000000002</v>
      </c>
      <c r="DN56" s="231"/>
      <c r="DO56" s="231"/>
      <c r="DP56" s="168">
        <v>9885</v>
      </c>
      <c r="DQ56" s="167">
        <v>8.5108999999999995</v>
      </c>
      <c r="DR56" s="167">
        <v>1.1405000000000001</v>
      </c>
      <c r="DS56" s="167">
        <v>0.4345</v>
      </c>
      <c r="DT56" s="167">
        <v>0.37680000000000002</v>
      </c>
      <c r="DW56" s="168">
        <v>9885</v>
      </c>
      <c r="DX56" s="167">
        <v>8.5349000000000004</v>
      </c>
      <c r="DY56" s="167">
        <v>1.1436999999999999</v>
      </c>
      <c r="DZ56" s="167">
        <v>0.43580000000000002</v>
      </c>
      <c r="EA56" s="167">
        <v>0.37790000000000001</v>
      </c>
      <c r="ED56" s="168">
        <v>9885</v>
      </c>
      <c r="EE56" s="167">
        <v>8.5586000000000002</v>
      </c>
      <c r="EF56" s="167">
        <v>1.1469</v>
      </c>
      <c r="EG56" s="167">
        <v>0.437</v>
      </c>
      <c r="EH56" s="167">
        <v>0.37890000000000001</v>
      </c>
      <c r="EK56" s="168">
        <v>9885</v>
      </c>
      <c r="EL56" s="167">
        <v>8.6037999999999997</v>
      </c>
      <c r="EM56" s="167">
        <v>1.1529</v>
      </c>
      <c r="EN56" s="167">
        <v>0.43930000000000002</v>
      </c>
      <c r="EO56" s="167">
        <v>0.38090000000000002</v>
      </c>
      <c r="ER56" s="168">
        <v>9885</v>
      </c>
      <c r="ES56" s="167">
        <v>8.65</v>
      </c>
      <c r="ET56" s="167">
        <v>1.1591</v>
      </c>
      <c r="EU56" s="167">
        <v>0.44159999999999999</v>
      </c>
      <c r="EV56" s="167">
        <v>0.38300000000000001</v>
      </c>
      <c r="EY56" s="168">
        <v>9885</v>
      </c>
      <c r="EZ56" s="167">
        <v>8.6636000000000006</v>
      </c>
      <c r="FA56" s="167">
        <v>1.161</v>
      </c>
      <c r="FB56" s="167">
        <v>0.44230000000000003</v>
      </c>
      <c r="FC56" s="167">
        <v>0.3836</v>
      </c>
      <c r="FF56" s="168">
        <v>9885</v>
      </c>
      <c r="FG56" s="167">
        <v>8.6852</v>
      </c>
      <c r="FH56" s="167">
        <v>1.1638999999999999</v>
      </c>
      <c r="FI56" s="167">
        <v>0.44340000000000002</v>
      </c>
      <c r="FJ56" s="167">
        <v>0.38450000000000001</v>
      </c>
      <c r="FM56" s="168">
        <v>9885</v>
      </c>
      <c r="FN56" s="167">
        <v>8.6959999999999997</v>
      </c>
      <c r="FO56" s="167">
        <v>1.1653</v>
      </c>
      <c r="FP56" s="167">
        <v>0.44400000000000001</v>
      </c>
      <c r="FQ56" s="167">
        <v>0.38500000000000001</v>
      </c>
      <c r="FT56" s="168">
        <v>9885</v>
      </c>
      <c r="FU56" s="167">
        <f>VLOOKUP(FT56,Sheet4!A58:F134,3,0)</f>
        <v>8.7208000000000006</v>
      </c>
      <c r="FV56" s="167">
        <f>VLOOKUP(FT56,Sheet4!A58:F134,4,0)</f>
        <v>1.1686000000000001</v>
      </c>
      <c r="FW56" s="167">
        <f>VLOOKUP(FT56,Sheet4!A58:F134,5,0)</f>
        <v>0.44519999999999998</v>
      </c>
      <c r="FX56" s="167">
        <f>VLOOKUP(FT56,Sheet4!A58:F134,6,0)</f>
        <v>0.3861</v>
      </c>
    </row>
    <row r="57" spans="1:180" x14ac:dyDescent="0.25">
      <c r="A57" s="9">
        <v>9886</v>
      </c>
      <c r="B57" s="9">
        <v>7.8133999999999997</v>
      </c>
      <c r="C57" s="9">
        <v>1.0469999999999999</v>
      </c>
      <c r="D57" s="9">
        <v>0.39889999999999998</v>
      </c>
      <c r="E57" s="9">
        <v>0.34589999999999999</v>
      </c>
      <c r="H57" s="9">
        <v>9886</v>
      </c>
      <c r="I57" s="9">
        <v>8.1372999999999998</v>
      </c>
      <c r="J57" s="9">
        <v>1.0904</v>
      </c>
      <c r="K57" s="9">
        <v>0.41549999999999998</v>
      </c>
      <c r="L57" s="9">
        <v>0.36030000000000001</v>
      </c>
      <c r="O57" s="154">
        <v>9886</v>
      </c>
      <c r="P57" s="154">
        <v>8.1533999999999995</v>
      </c>
      <c r="Q57" s="154">
        <v>1.0926</v>
      </c>
      <c r="R57" s="154">
        <v>0.4163</v>
      </c>
      <c r="S57" s="154">
        <v>0.36099999999999999</v>
      </c>
      <c r="V57" s="151">
        <v>9886</v>
      </c>
      <c r="W57" s="151">
        <v>8.1931999999999992</v>
      </c>
      <c r="X57" s="151">
        <v>1.0979000000000001</v>
      </c>
      <c r="Y57" s="151">
        <v>0.41830000000000001</v>
      </c>
      <c r="Z57" s="151">
        <v>0.36270000000000002</v>
      </c>
      <c r="AC57" s="155">
        <v>9886</v>
      </c>
      <c r="AD57" s="155">
        <v>8.2774999999999999</v>
      </c>
      <c r="AE57" s="155">
        <v>1.1092</v>
      </c>
      <c r="AF57" s="155">
        <v>0.42259999999999998</v>
      </c>
      <c r="AG57" s="155">
        <v>0.36649999999999999</v>
      </c>
      <c r="AJ57" s="160">
        <v>9886</v>
      </c>
      <c r="AK57" s="6">
        <v>8.3844999999999992</v>
      </c>
      <c r="AL57" s="6">
        <v>1.1235999999999999</v>
      </c>
      <c r="AM57" s="6">
        <v>0.42809999999999998</v>
      </c>
      <c r="AN57" s="6">
        <v>0.37119999999999997</v>
      </c>
      <c r="AQ57" s="129">
        <v>9886</v>
      </c>
      <c r="AR57" s="53">
        <v>8.4276999999999997</v>
      </c>
      <c r="AS57" s="53">
        <v>1.1293</v>
      </c>
      <c r="AT57" s="53">
        <v>0.43030000000000002</v>
      </c>
      <c r="AU57" s="53">
        <v>0.37309999999999999</v>
      </c>
      <c r="AX57" s="129">
        <v>9886</v>
      </c>
      <c r="AY57" s="53">
        <v>8.4558</v>
      </c>
      <c r="AZ57" s="53">
        <v>1.1331</v>
      </c>
      <c r="BA57" s="53">
        <v>0.43169999999999997</v>
      </c>
      <c r="BB57" s="53">
        <v>0.37440000000000001</v>
      </c>
      <c r="BC57" s="3"/>
      <c r="BD57" s="182"/>
      <c r="BE57" s="129">
        <v>9886</v>
      </c>
      <c r="BF57" s="53">
        <v>8.468</v>
      </c>
      <c r="BG57" s="53">
        <v>1.1347</v>
      </c>
      <c r="BH57" s="53">
        <v>0.43230000000000002</v>
      </c>
      <c r="BI57" s="53">
        <v>0.37490000000000001</v>
      </c>
      <c r="BL57" s="129">
        <v>9886</v>
      </c>
      <c r="BM57" s="53">
        <v>8.5321999999999996</v>
      </c>
      <c r="BN57" s="53">
        <v>1.1433</v>
      </c>
      <c r="BO57" s="53">
        <v>0.43559999999999999</v>
      </c>
      <c r="BP57" s="53">
        <v>0.37769999999999998</v>
      </c>
      <c r="BS57" s="129">
        <v>9886</v>
      </c>
      <c r="BT57" s="53">
        <v>8.6188000000000002</v>
      </c>
      <c r="BU57" s="53">
        <v>1.155</v>
      </c>
      <c r="BV57" s="53">
        <v>0.44</v>
      </c>
      <c r="BW57" s="53">
        <v>0.38159999999999999</v>
      </c>
      <c r="BZ57" s="129">
        <v>9886</v>
      </c>
      <c r="CA57" s="53">
        <v>8.6463000000000001</v>
      </c>
      <c r="CB57" s="53">
        <v>1.1586000000000001</v>
      </c>
      <c r="CC57" s="53">
        <v>0.44140000000000001</v>
      </c>
      <c r="CD57" s="53">
        <v>0.38279999999999997</v>
      </c>
      <c r="CG57" s="129">
        <v>9886</v>
      </c>
      <c r="CH57" s="53">
        <v>8.6684000000000001</v>
      </c>
      <c r="CI57" s="53">
        <v>1.1616</v>
      </c>
      <c r="CJ57" s="53">
        <v>0.44259999999999999</v>
      </c>
      <c r="CK57" s="53">
        <v>0.38379999999999997</v>
      </c>
      <c r="CN57" s="207">
        <v>9886</v>
      </c>
      <c r="CO57" s="53">
        <v>8.7202999999999999</v>
      </c>
      <c r="CP57" s="53">
        <v>1.1686000000000001</v>
      </c>
      <c r="CQ57" s="53">
        <v>0.44519999999999998</v>
      </c>
      <c r="CR57" s="53">
        <v>0.3861</v>
      </c>
      <c r="CU57" s="215">
        <v>9886</v>
      </c>
      <c r="CV57" s="53">
        <v>8.7376000000000005</v>
      </c>
      <c r="CW57" s="53">
        <v>1.1709000000000001</v>
      </c>
      <c r="CX57" s="53">
        <v>0.4461</v>
      </c>
      <c r="CY57" s="53">
        <v>0.38679999999999998</v>
      </c>
      <c r="DB57" s="217">
        <v>9886</v>
      </c>
      <c r="DC57" s="53">
        <v>8.7558000000000007</v>
      </c>
      <c r="DD57" s="53">
        <v>1.1733</v>
      </c>
      <c r="DE57" s="53">
        <v>0.44700000000000001</v>
      </c>
      <c r="DF57" s="53">
        <v>0.3876</v>
      </c>
      <c r="DI57" s="222">
        <v>9886</v>
      </c>
      <c r="DJ57" s="53">
        <v>8.7711000000000006</v>
      </c>
      <c r="DK57" s="53">
        <v>1.1754</v>
      </c>
      <c r="DL57" s="53">
        <v>0.44779999999999998</v>
      </c>
      <c r="DM57" s="53">
        <v>0.38829999999999998</v>
      </c>
      <c r="DN57" s="231"/>
      <c r="DO57" s="231"/>
      <c r="DP57" s="227">
        <v>9886</v>
      </c>
      <c r="DQ57" s="53">
        <v>8.7925000000000004</v>
      </c>
      <c r="DR57" s="53">
        <v>1.1781999999999999</v>
      </c>
      <c r="DS57" s="53">
        <v>0.44890000000000002</v>
      </c>
      <c r="DT57" s="53">
        <v>0.38929999999999998</v>
      </c>
      <c r="DW57" s="235">
        <v>9886</v>
      </c>
      <c r="DX57" s="53">
        <v>8.8164999999999996</v>
      </c>
      <c r="DY57" s="53">
        <v>1.1814</v>
      </c>
      <c r="DZ57" s="53">
        <v>0.4501</v>
      </c>
      <c r="EA57" s="53">
        <v>0.39029999999999998</v>
      </c>
      <c r="ED57" s="237">
        <v>9886</v>
      </c>
      <c r="EE57" s="53">
        <v>8.8401999999999994</v>
      </c>
      <c r="EF57" s="53">
        <v>1.1846000000000001</v>
      </c>
      <c r="EG57" s="53">
        <v>0.45129999999999998</v>
      </c>
      <c r="EH57" s="53">
        <v>0.39140000000000003</v>
      </c>
      <c r="EK57" s="239">
        <v>9886</v>
      </c>
      <c r="EL57" s="53">
        <v>8.8854000000000006</v>
      </c>
      <c r="EM57" s="53">
        <v>1.1907000000000001</v>
      </c>
      <c r="EN57" s="53">
        <v>0.4536</v>
      </c>
      <c r="EO57" s="53">
        <v>0.39340000000000003</v>
      </c>
      <c r="ER57" s="243">
        <v>9886</v>
      </c>
      <c r="ES57" s="53">
        <v>8.9315999999999995</v>
      </c>
      <c r="ET57" s="53">
        <v>1.1969000000000001</v>
      </c>
      <c r="EU57" s="53">
        <v>0.45600000000000002</v>
      </c>
      <c r="EV57" s="53">
        <v>0.39539999999999997</v>
      </c>
      <c r="EY57" s="245">
        <v>9886</v>
      </c>
      <c r="EZ57" s="53">
        <v>8.9451999999999998</v>
      </c>
      <c r="FA57" s="53">
        <v>1.1987000000000001</v>
      </c>
      <c r="FB57" s="53">
        <v>0.45669999999999999</v>
      </c>
      <c r="FC57" s="53">
        <v>0.39600000000000002</v>
      </c>
      <c r="FF57" s="249">
        <v>9886</v>
      </c>
      <c r="FG57" s="53">
        <v>8.9667999999999992</v>
      </c>
      <c r="FH57" s="53">
        <v>1.2016</v>
      </c>
      <c r="FI57" s="53">
        <v>0.45779999999999998</v>
      </c>
      <c r="FJ57" s="53">
        <v>0.39700000000000002</v>
      </c>
      <c r="FM57" s="252">
        <v>9886</v>
      </c>
      <c r="FN57" s="53">
        <v>8.9776000000000007</v>
      </c>
      <c r="FO57" s="53">
        <v>1.2030000000000001</v>
      </c>
      <c r="FP57" s="53">
        <v>0.45839999999999997</v>
      </c>
      <c r="FQ57" s="53">
        <v>0.39750000000000002</v>
      </c>
      <c r="FT57" s="254">
        <v>9886</v>
      </c>
      <c r="FU57" s="53">
        <f>VLOOKUP(FT57,Sheet4!A59:F135,3,0)</f>
        <v>9.0023999999999997</v>
      </c>
      <c r="FV57" s="53">
        <f>VLOOKUP(FT57,Sheet4!A59:F135,4,0)</f>
        <v>1.2063999999999999</v>
      </c>
      <c r="FW57" s="53">
        <f>VLOOKUP(FT57,Sheet4!A59:F135,5,0)</f>
        <v>0.45960000000000001</v>
      </c>
      <c r="FX57" s="53">
        <f>VLOOKUP(FT57,Sheet4!A59:F135,6,0)</f>
        <v>0.39860000000000001</v>
      </c>
    </row>
    <row r="58" spans="1:180" x14ac:dyDescent="0.25">
      <c r="A58" s="9">
        <v>9887</v>
      </c>
      <c r="B58" s="9">
        <v>7.5317999999999996</v>
      </c>
      <c r="C58" s="9">
        <v>1.0093000000000001</v>
      </c>
      <c r="D58" s="9">
        <v>0.38450000000000001</v>
      </c>
      <c r="E58" s="9">
        <v>0.33339999999999997</v>
      </c>
      <c r="H58" s="9">
        <v>9887</v>
      </c>
      <c r="I58" s="9">
        <v>7.8556999999999997</v>
      </c>
      <c r="J58" s="9">
        <v>1.0527</v>
      </c>
      <c r="K58" s="9">
        <v>0.40110000000000001</v>
      </c>
      <c r="L58" s="9">
        <v>0.3478</v>
      </c>
      <c r="O58" s="148">
        <v>9887</v>
      </c>
      <c r="P58" s="148">
        <v>7.8718000000000004</v>
      </c>
      <c r="Q58" s="148">
        <v>1.0548999999999999</v>
      </c>
      <c r="R58" s="148">
        <v>0.40189999999999998</v>
      </c>
      <c r="S58" s="148">
        <v>0.34849999999999998</v>
      </c>
      <c r="V58" s="151">
        <v>9887</v>
      </c>
      <c r="W58" s="151">
        <v>7.9116</v>
      </c>
      <c r="X58" s="151">
        <v>1.0602</v>
      </c>
      <c r="Y58" s="151">
        <v>0.40389999999999998</v>
      </c>
      <c r="Z58" s="151">
        <v>0.3503</v>
      </c>
      <c r="AC58" s="155">
        <v>9887</v>
      </c>
      <c r="AD58" s="155">
        <v>7.9958999999999998</v>
      </c>
      <c r="AE58" s="155">
        <v>1.0714999999999999</v>
      </c>
      <c r="AF58" s="155">
        <v>0.40820000000000001</v>
      </c>
      <c r="AG58" s="155">
        <v>0.35399999999999998</v>
      </c>
      <c r="AJ58" s="168">
        <v>9887</v>
      </c>
      <c r="AK58" s="169">
        <v>8.1029</v>
      </c>
      <c r="AL58" s="169">
        <v>1.0858000000000001</v>
      </c>
      <c r="AM58" s="169">
        <v>0.41370000000000001</v>
      </c>
      <c r="AN58" s="169">
        <v>0.35870000000000002</v>
      </c>
      <c r="AQ58" s="165">
        <v>9887</v>
      </c>
      <c r="AR58" s="167">
        <v>8.1461000000000006</v>
      </c>
      <c r="AS58" s="167">
        <v>1.0915999999999999</v>
      </c>
      <c r="AT58" s="167">
        <v>0.41589999999999999</v>
      </c>
      <c r="AU58" s="167">
        <v>0.36059999999999998</v>
      </c>
      <c r="AX58" s="165">
        <v>9887</v>
      </c>
      <c r="AY58" s="167">
        <v>8.1742000000000008</v>
      </c>
      <c r="AZ58" s="167">
        <v>1.0953999999999999</v>
      </c>
      <c r="BA58" s="167">
        <v>0.4173</v>
      </c>
      <c r="BB58" s="167">
        <v>0.3619</v>
      </c>
      <c r="BC58" s="3"/>
      <c r="BD58" s="182"/>
      <c r="BE58" s="165">
        <v>9887</v>
      </c>
      <c r="BF58" s="167">
        <v>8.1864000000000008</v>
      </c>
      <c r="BG58" s="167">
        <v>1.097</v>
      </c>
      <c r="BH58" s="167">
        <v>0.41799999999999998</v>
      </c>
      <c r="BI58" s="167">
        <v>0.3624</v>
      </c>
      <c r="BL58" s="165">
        <v>9887</v>
      </c>
      <c r="BM58" s="53">
        <v>8.2506000000000004</v>
      </c>
      <c r="BN58" s="53">
        <v>1.1055999999999999</v>
      </c>
      <c r="BO58" s="53">
        <v>0.42120000000000002</v>
      </c>
      <c r="BP58" s="53">
        <v>0.36530000000000001</v>
      </c>
      <c r="BS58" s="165">
        <v>9887</v>
      </c>
      <c r="BT58" s="167">
        <v>8.3371999999999993</v>
      </c>
      <c r="BU58" s="167">
        <v>1.1172</v>
      </c>
      <c r="BV58" s="167">
        <v>0.42570000000000002</v>
      </c>
      <c r="BW58" s="167">
        <v>0.36909999999999998</v>
      </c>
      <c r="BZ58" s="165">
        <v>9887</v>
      </c>
      <c r="CA58" s="167">
        <v>8.3646999999999991</v>
      </c>
      <c r="CB58" s="167">
        <v>1.1209</v>
      </c>
      <c r="CC58" s="167">
        <v>0.42709999999999998</v>
      </c>
      <c r="CD58" s="167">
        <v>0.37030000000000002</v>
      </c>
      <c r="CG58" s="165">
        <v>9887</v>
      </c>
      <c r="CH58" s="167">
        <v>8.3867999999999991</v>
      </c>
      <c r="CI58" s="167">
        <v>1.1238999999999999</v>
      </c>
      <c r="CJ58" s="167">
        <v>0.42820000000000003</v>
      </c>
      <c r="CK58" s="167">
        <v>0.37130000000000002</v>
      </c>
      <c r="CN58" s="168">
        <v>9887</v>
      </c>
      <c r="CO58" s="167">
        <v>8.4387000000000008</v>
      </c>
      <c r="CP58" s="167">
        <v>1.1308</v>
      </c>
      <c r="CQ58" s="167">
        <v>0.43080000000000002</v>
      </c>
      <c r="CR58" s="167">
        <v>0.37359999999999999</v>
      </c>
      <c r="CU58" s="168">
        <v>9887</v>
      </c>
      <c r="CV58" s="167">
        <v>8.4559999999999995</v>
      </c>
      <c r="CW58" s="167">
        <v>1.1331</v>
      </c>
      <c r="CX58" s="167">
        <v>0.43169999999999997</v>
      </c>
      <c r="CY58" s="167">
        <v>0.37440000000000001</v>
      </c>
      <c r="DB58" s="168">
        <v>9887</v>
      </c>
      <c r="DC58" s="167">
        <v>8.4741999999999997</v>
      </c>
      <c r="DD58" s="167">
        <v>1.1355999999999999</v>
      </c>
      <c r="DE58" s="167">
        <v>0.43269999999999997</v>
      </c>
      <c r="DF58" s="167">
        <v>0.37519999999999998</v>
      </c>
      <c r="DI58" s="168">
        <v>9887</v>
      </c>
      <c r="DJ58" s="167">
        <v>8.4894999999999996</v>
      </c>
      <c r="DK58" s="167">
        <v>1.1375999999999999</v>
      </c>
      <c r="DL58" s="167">
        <v>0.43340000000000001</v>
      </c>
      <c r="DM58" s="167">
        <v>0.37580000000000002</v>
      </c>
      <c r="DN58" s="231"/>
      <c r="DO58" s="231"/>
      <c r="DP58" s="168">
        <v>9887</v>
      </c>
      <c r="DQ58" s="167">
        <v>8.5108999999999995</v>
      </c>
      <c r="DR58" s="167">
        <v>1.1405000000000001</v>
      </c>
      <c r="DS58" s="167">
        <v>0.4345</v>
      </c>
      <c r="DT58" s="167">
        <v>0.37680000000000002</v>
      </c>
      <c r="DW58" s="168">
        <v>9887</v>
      </c>
      <c r="DX58" s="167">
        <v>8.5349000000000004</v>
      </c>
      <c r="DY58" s="167">
        <v>1.1436999999999999</v>
      </c>
      <c r="DZ58" s="167">
        <v>0.43580000000000002</v>
      </c>
      <c r="EA58" s="167">
        <v>0.37790000000000001</v>
      </c>
      <c r="ED58" s="168">
        <v>9887</v>
      </c>
      <c r="EE58" s="167">
        <v>8.5586000000000002</v>
      </c>
      <c r="EF58" s="167">
        <v>1.1469</v>
      </c>
      <c r="EG58" s="167">
        <v>0.437</v>
      </c>
      <c r="EH58" s="167">
        <v>0.37890000000000001</v>
      </c>
      <c r="EK58" s="168">
        <v>9887</v>
      </c>
      <c r="EL58" s="167">
        <v>8.6037999999999997</v>
      </c>
      <c r="EM58" s="167">
        <v>1.1529</v>
      </c>
      <c r="EN58" s="167">
        <v>0.43930000000000002</v>
      </c>
      <c r="EO58" s="167">
        <v>0.38090000000000002</v>
      </c>
      <c r="ER58" s="168">
        <v>9887</v>
      </c>
      <c r="ES58" s="167">
        <v>8.65</v>
      </c>
      <c r="ET58" s="167">
        <v>1.1591</v>
      </c>
      <c r="EU58" s="167">
        <v>0.44159999999999999</v>
      </c>
      <c r="EV58" s="167">
        <v>0.38300000000000001</v>
      </c>
      <c r="EY58" s="168">
        <v>9887</v>
      </c>
      <c r="EZ58" s="167">
        <v>8.6636000000000006</v>
      </c>
      <c r="FA58" s="167">
        <v>1.161</v>
      </c>
      <c r="FB58" s="167">
        <v>0.44230000000000003</v>
      </c>
      <c r="FC58" s="167">
        <v>0.3836</v>
      </c>
      <c r="FF58" s="168">
        <v>9887</v>
      </c>
      <c r="FG58" s="167">
        <v>8.6852</v>
      </c>
      <c r="FH58" s="167">
        <v>1.1638999999999999</v>
      </c>
      <c r="FI58" s="167">
        <v>0.44340000000000002</v>
      </c>
      <c r="FJ58" s="167">
        <v>0.38450000000000001</v>
      </c>
      <c r="FM58" s="168">
        <v>9887</v>
      </c>
      <c r="FN58" s="167">
        <v>8.6959999999999997</v>
      </c>
      <c r="FO58" s="167">
        <v>1.1653</v>
      </c>
      <c r="FP58" s="167">
        <v>0.44400000000000001</v>
      </c>
      <c r="FQ58" s="167">
        <v>0.38500000000000001</v>
      </c>
      <c r="FT58" s="168">
        <v>9887</v>
      </c>
      <c r="FU58" s="167">
        <f>VLOOKUP(FT58,Sheet4!A60:F136,3,0)</f>
        <v>8.7208000000000006</v>
      </c>
      <c r="FV58" s="167">
        <f>VLOOKUP(FT58,Sheet4!A60:F136,4,0)</f>
        <v>1.1686000000000001</v>
      </c>
      <c r="FW58" s="167">
        <f>VLOOKUP(FT58,Sheet4!A60:F136,5,0)</f>
        <v>0.44519999999999998</v>
      </c>
      <c r="FX58" s="167">
        <f>VLOOKUP(FT58,Sheet4!A60:F136,6,0)</f>
        <v>0.3861</v>
      </c>
    </row>
    <row r="59" spans="1:180" x14ac:dyDescent="0.25">
      <c r="A59" s="9">
        <v>9888</v>
      </c>
      <c r="B59" s="9">
        <v>7.5317999999999996</v>
      </c>
      <c r="C59" s="9">
        <v>1.0093000000000001</v>
      </c>
      <c r="D59" s="9">
        <v>0.38450000000000001</v>
      </c>
      <c r="E59" s="9">
        <v>0.33339999999999997</v>
      </c>
      <c r="H59" s="9">
        <v>9888</v>
      </c>
      <c r="I59" s="9">
        <v>7.8556999999999997</v>
      </c>
      <c r="J59" s="9">
        <v>1.0527</v>
      </c>
      <c r="K59" s="9">
        <v>0.40110000000000001</v>
      </c>
      <c r="L59" s="9">
        <v>0.3478</v>
      </c>
      <c r="O59" s="154">
        <v>9888</v>
      </c>
      <c r="P59" s="154">
        <v>7.8718000000000004</v>
      </c>
      <c r="Q59" s="154">
        <v>1.0548999999999999</v>
      </c>
      <c r="R59" s="154">
        <v>0.40189999999999998</v>
      </c>
      <c r="S59" s="154">
        <v>0.34849999999999998</v>
      </c>
      <c r="V59" s="151">
        <v>9888</v>
      </c>
      <c r="W59" s="151">
        <v>7.9116</v>
      </c>
      <c r="X59" s="151">
        <v>1.0602</v>
      </c>
      <c r="Y59" s="151">
        <v>0.40389999999999998</v>
      </c>
      <c r="Z59" s="151">
        <v>0.3503</v>
      </c>
      <c r="AC59" s="155">
        <v>9888</v>
      </c>
      <c r="AD59" s="155">
        <v>7.9958999999999998</v>
      </c>
      <c r="AE59" s="155">
        <v>1.0714999999999999</v>
      </c>
      <c r="AF59" s="155">
        <v>0.40820000000000001</v>
      </c>
      <c r="AG59" s="155">
        <v>0.35399999999999998</v>
      </c>
      <c r="AJ59" s="160">
        <v>9888</v>
      </c>
      <c r="AK59" s="6">
        <v>8.1029</v>
      </c>
      <c r="AL59" s="6">
        <v>1.0858000000000001</v>
      </c>
      <c r="AM59" s="6">
        <v>0.41370000000000001</v>
      </c>
      <c r="AN59" s="6">
        <v>0.35870000000000002</v>
      </c>
      <c r="AQ59" s="129">
        <v>9888</v>
      </c>
      <c r="AR59" s="53">
        <v>8.1461000000000006</v>
      </c>
      <c r="AS59" s="53">
        <v>1.0915999999999999</v>
      </c>
      <c r="AT59" s="53">
        <v>0.41589999999999999</v>
      </c>
      <c r="AU59" s="53">
        <v>0.36059999999999998</v>
      </c>
      <c r="AX59" s="129">
        <v>9888</v>
      </c>
      <c r="AY59" s="53">
        <v>8.1742000000000008</v>
      </c>
      <c r="AZ59" s="53">
        <v>1.0953999999999999</v>
      </c>
      <c r="BA59" s="53">
        <v>0.4173</v>
      </c>
      <c r="BB59" s="53">
        <v>0.3619</v>
      </c>
      <c r="BC59" s="3"/>
      <c r="BD59" s="182"/>
      <c r="BE59" s="129">
        <v>9888</v>
      </c>
      <c r="BF59" s="53">
        <v>8.1864000000000008</v>
      </c>
      <c r="BG59" s="53">
        <v>1.097</v>
      </c>
      <c r="BH59" s="53">
        <v>0.41799999999999998</v>
      </c>
      <c r="BI59" s="53">
        <v>0.3624</v>
      </c>
      <c r="BL59" s="129">
        <v>9888</v>
      </c>
      <c r="BM59" s="53">
        <v>8.2506000000000004</v>
      </c>
      <c r="BN59" s="53">
        <v>1.1055999999999999</v>
      </c>
      <c r="BO59" s="53">
        <v>0.42120000000000002</v>
      </c>
      <c r="BP59" s="53">
        <v>0.36530000000000001</v>
      </c>
      <c r="BS59" s="129">
        <v>9888</v>
      </c>
      <c r="BT59" s="53">
        <v>8.3371999999999993</v>
      </c>
      <c r="BU59" s="53">
        <v>1.1172</v>
      </c>
      <c r="BV59" s="53">
        <v>0.42570000000000002</v>
      </c>
      <c r="BW59" s="53">
        <v>0.36909999999999998</v>
      </c>
      <c r="BZ59" s="129">
        <v>9888</v>
      </c>
      <c r="CA59" s="53">
        <v>8.3646999999999991</v>
      </c>
      <c r="CB59" s="53">
        <v>1.1209</v>
      </c>
      <c r="CC59" s="53">
        <v>0.42709999999999998</v>
      </c>
      <c r="CD59" s="53">
        <v>0.37030000000000002</v>
      </c>
      <c r="CG59" s="129">
        <v>9888</v>
      </c>
      <c r="CH59" s="53">
        <v>8.3867999999999991</v>
      </c>
      <c r="CI59" s="53">
        <v>1.1238999999999999</v>
      </c>
      <c r="CJ59" s="53">
        <v>0.42820000000000003</v>
      </c>
      <c r="CK59" s="53">
        <v>0.37130000000000002</v>
      </c>
      <c r="CN59" s="207">
        <v>9888</v>
      </c>
      <c r="CO59" s="53">
        <v>8.4387000000000008</v>
      </c>
      <c r="CP59" s="53">
        <v>1.1308</v>
      </c>
      <c r="CQ59" s="53">
        <v>0.43080000000000002</v>
      </c>
      <c r="CR59" s="53">
        <v>0.37359999999999999</v>
      </c>
      <c r="CU59" s="215">
        <v>9888</v>
      </c>
      <c r="CV59" s="53">
        <v>8.4559999999999995</v>
      </c>
      <c r="CW59" s="53">
        <v>1.1331</v>
      </c>
      <c r="CX59" s="53">
        <v>0.43169999999999997</v>
      </c>
      <c r="CY59" s="53">
        <v>0.37440000000000001</v>
      </c>
      <c r="DB59" s="217">
        <v>9888</v>
      </c>
      <c r="DC59" s="53">
        <v>8.4741999999999997</v>
      </c>
      <c r="DD59" s="53">
        <v>1.1355999999999999</v>
      </c>
      <c r="DE59" s="53">
        <v>0.43269999999999997</v>
      </c>
      <c r="DF59" s="53">
        <v>0.37519999999999998</v>
      </c>
      <c r="DI59" s="222">
        <v>9888</v>
      </c>
      <c r="DJ59" s="53">
        <v>8.4894999999999996</v>
      </c>
      <c r="DK59" s="53">
        <v>1.1375999999999999</v>
      </c>
      <c r="DL59" s="53">
        <v>0.43340000000000001</v>
      </c>
      <c r="DM59" s="53">
        <v>0.37580000000000002</v>
      </c>
      <c r="DN59" s="231"/>
      <c r="DO59" s="231"/>
      <c r="DP59" s="227">
        <v>9888</v>
      </c>
      <c r="DQ59" s="53">
        <v>8.5108999999999995</v>
      </c>
      <c r="DR59" s="53">
        <v>1.1405000000000001</v>
      </c>
      <c r="DS59" s="53">
        <v>0.4345</v>
      </c>
      <c r="DT59" s="53">
        <v>0.37680000000000002</v>
      </c>
      <c r="DW59" s="235">
        <v>9888</v>
      </c>
      <c r="DX59" s="53">
        <v>8.5349000000000004</v>
      </c>
      <c r="DY59" s="53">
        <v>1.1436999999999999</v>
      </c>
      <c r="DZ59" s="53">
        <v>0.43580000000000002</v>
      </c>
      <c r="EA59" s="53">
        <v>0.37790000000000001</v>
      </c>
      <c r="ED59" s="237">
        <v>9888</v>
      </c>
      <c r="EE59" s="53">
        <v>8.5586000000000002</v>
      </c>
      <c r="EF59" s="53">
        <v>1.1469</v>
      </c>
      <c r="EG59" s="53">
        <v>0.437</v>
      </c>
      <c r="EH59" s="53">
        <v>0.37890000000000001</v>
      </c>
      <c r="EK59" s="239">
        <v>9888</v>
      </c>
      <c r="EL59" s="53">
        <v>8.6037999999999997</v>
      </c>
      <c r="EM59" s="53">
        <v>1.1529</v>
      </c>
      <c r="EN59" s="53">
        <v>0.43930000000000002</v>
      </c>
      <c r="EO59" s="53">
        <v>0.38090000000000002</v>
      </c>
      <c r="ER59" s="243">
        <v>9888</v>
      </c>
      <c r="ES59" s="53">
        <v>8.65</v>
      </c>
      <c r="ET59" s="53">
        <v>1.1591</v>
      </c>
      <c r="EU59" s="53">
        <v>0.44159999999999999</v>
      </c>
      <c r="EV59" s="53">
        <v>0.38300000000000001</v>
      </c>
      <c r="EY59" s="245">
        <v>9888</v>
      </c>
      <c r="EZ59" s="53">
        <v>8.6636000000000006</v>
      </c>
      <c r="FA59" s="53">
        <v>1.161</v>
      </c>
      <c r="FB59" s="53">
        <v>0.44230000000000003</v>
      </c>
      <c r="FC59" s="53">
        <v>0.3836</v>
      </c>
      <c r="FF59" s="249">
        <v>9888</v>
      </c>
      <c r="FG59" s="53">
        <v>8.6852</v>
      </c>
      <c r="FH59" s="53">
        <v>1.1638999999999999</v>
      </c>
      <c r="FI59" s="53">
        <v>0.44340000000000002</v>
      </c>
      <c r="FJ59" s="53">
        <v>0.38450000000000001</v>
      </c>
      <c r="FM59" s="252">
        <v>9888</v>
      </c>
      <c r="FN59" s="53">
        <v>8.6959999999999997</v>
      </c>
      <c r="FO59" s="53">
        <v>1.1653</v>
      </c>
      <c r="FP59" s="53">
        <v>0.44400000000000001</v>
      </c>
      <c r="FQ59" s="53">
        <v>0.38500000000000001</v>
      </c>
      <c r="FT59" s="254">
        <v>9888</v>
      </c>
      <c r="FU59" s="53">
        <f>VLOOKUP(FT59,Sheet4!A61:F137,3,0)</f>
        <v>8.7208000000000006</v>
      </c>
      <c r="FV59" s="53">
        <f>VLOOKUP(FT59,Sheet4!A61:F137,4,0)</f>
        <v>1.1686000000000001</v>
      </c>
      <c r="FW59" s="53">
        <f>VLOOKUP(FT59,Sheet4!A61:F137,5,0)</f>
        <v>0.44519999999999998</v>
      </c>
      <c r="FX59" s="53">
        <f>VLOOKUP(FT59,Sheet4!A61:F137,6,0)</f>
        <v>0.3861</v>
      </c>
    </row>
    <row r="60" spans="1:180" x14ac:dyDescent="0.25">
      <c r="A60" s="9">
        <v>9889</v>
      </c>
      <c r="B60" s="9">
        <v>7.5317999999999996</v>
      </c>
      <c r="C60" s="9">
        <v>1.0093000000000001</v>
      </c>
      <c r="D60" s="9">
        <v>0.38450000000000001</v>
      </c>
      <c r="E60" s="9">
        <v>0.33339999999999997</v>
      </c>
      <c r="H60" s="9">
        <v>9889</v>
      </c>
      <c r="I60" s="9">
        <v>7.8556999999999997</v>
      </c>
      <c r="J60" s="9">
        <v>1.0527</v>
      </c>
      <c r="K60" s="9">
        <v>0.40110000000000001</v>
      </c>
      <c r="L60" s="9">
        <v>0.3478</v>
      </c>
      <c r="O60" s="148">
        <v>9889</v>
      </c>
      <c r="P60" s="148">
        <v>7.8718000000000004</v>
      </c>
      <c r="Q60" s="148">
        <v>1.0548999999999999</v>
      </c>
      <c r="R60" s="148">
        <v>0.40189999999999998</v>
      </c>
      <c r="S60" s="148">
        <v>0.34849999999999998</v>
      </c>
      <c r="V60" s="151">
        <v>9889</v>
      </c>
      <c r="W60" s="151">
        <v>7.9116</v>
      </c>
      <c r="X60" s="151">
        <v>1.0602</v>
      </c>
      <c r="Y60" s="151">
        <v>0.40389999999999998</v>
      </c>
      <c r="Z60" s="151">
        <v>0.3503</v>
      </c>
      <c r="AC60" s="155">
        <v>9889</v>
      </c>
      <c r="AD60" s="155">
        <v>7.9958999999999998</v>
      </c>
      <c r="AE60" s="155">
        <v>1.0714999999999999</v>
      </c>
      <c r="AF60" s="155">
        <v>0.40820000000000001</v>
      </c>
      <c r="AG60" s="155">
        <v>0.35399999999999998</v>
      </c>
      <c r="AJ60" s="168">
        <v>9889</v>
      </c>
      <c r="AK60" s="169">
        <v>8.1029</v>
      </c>
      <c r="AL60" s="169">
        <v>1.0858000000000001</v>
      </c>
      <c r="AM60" s="169">
        <v>0.41370000000000001</v>
      </c>
      <c r="AN60" s="169">
        <v>0.35870000000000002</v>
      </c>
      <c r="AQ60" s="165">
        <v>9889</v>
      </c>
      <c r="AR60" s="167">
        <v>8.1461000000000006</v>
      </c>
      <c r="AS60" s="167">
        <v>1.0915999999999999</v>
      </c>
      <c r="AT60" s="167">
        <v>0.41589999999999999</v>
      </c>
      <c r="AU60" s="167">
        <v>0.36059999999999998</v>
      </c>
      <c r="AX60" s="165">
        <v>9889</v>
      </c>
      <c r="AY60" s="167">
        <v>8.1742000000000008</v>
      </c>
      <c r="AZ60" s="167">
        <v>1.0953999999999999</v>
      </c>
      <c r="BA60" s="167">
        <v>0.4173</v>
      </c>
      <c r="BB60" s="167">
        <v>0.3619</v>
      </c>
      <c r="BC60" s="3"/>
      <c r="BD60" s="182"/>
      <c r="BE60" s="165">
        <v>9889</v>
      </c>
      <c r="BF60" s="167">
        <v>8.1864000000000008</v>
      </c>
      <c r="BG60" s="167">
        <v>1.097</v>
      </c>
      <c r="BH60" s="167">
        <v>0.41799999999999998</v>
      </c>
      <c r="BI60" s="167">
        <v>0.3624</v>
      </c>
      <c r="BL60" s="165">
        <v>9889</v>
      </c>
      <c r="BM60" s="53">
        <v>8.2506000000000004</v>
      </c>
      <c r="BN60" s="53">
        <v>1.1055999999999999</v>
      </c>
      <c r="BO60" s="53">
        <v>0.42120000000000002</v>
      </c>
      <c r="BP60" s="53">
        <v>0.36530000000000001</v>
      </c>
      <c r="BS60" s="165">
        <v>9889</v>
      </c>
      <c r="BT60" s="167">
        <v>8.3371999999999993</v>
      </c>
      <c r="BU60" s="167">
        <v>1.1172</v>
      </c>
      <c r="BV60" s="167">
        <v>0.42570000000000002</v>
      </c>
      <c r="BW60" s="167">
        <v>0.36909999999999998</v>
      </c>
      <c r="BZ60" s="165">
        <v>9889</v>
      </c>
      <c r="CA60" s="167">
        <v>8.3646999999999991</v>
      </c>
      <c r="CB60" s="167">
        <v>1.1209</v>
      </c>
      <c r="CC60" s="167">
        <v>0.42709999999999998</v>
      </c>
      <c r="CD60" s="167">
        <v>0.37030000000000002</v>
      </c>
      <c r="CG60" s="165">
        <v>9889</v>
      </c>
      <c r="CH60" s="167">
        <v>8.3867999999999991</v>
      </c>
      <c r="CI60" s="167">
        <v>1.1238999999999999</v>
      </c>
      <c r="CJ60" s="167">
        <v>0.42820000000000003</v>
      </c>
      <c r="CK60" s="167">
        <v>0.37130000000000002</v>
      </c>
      <c r="CN60" s="168">
        <v>9889</v>
      </c>
      <c r="CO60" s="167">
        <v>8.4387000000000008</v>
      </c>
      <c r="CP60" s="167">
        <v>1.1308</v>
      </c>
      <c r="CQ60" s="167">
        <v>0.43080000000000002</v>
      </c>
      <c r="CR60" s="167">
        <v>0.37359999999999999</v>
      </c>
      <c r="CU60" s="168">
        <v>9889</v>
      </c>
      <c r="CV60" s="167">
        <v>8.4559999999999995</v>
      </c>
      <c r="CW60" s="167">
        <v>1.1331</v>
      </c>
      <c r="CX60" s="167">
        <v>0.43169999999999997</v>
      </c>
      <c r="CY60" s="167">
        <v>0.37440000000000001</v>
      </c>
      <c r="DB60" s="168">
        <v>9889</v>
      </c>
      <c r="DC60" s="167">
        <v>8.4741999999999997</v>
      </c>
      <c r="DD60" s="167">
        <v>1.1355999999999999</v>
      </c>
      <c r="DE60" s="167">
        <v>0.43269999999999997</v>
      </c>
      <c r="DF60" s="167">
        <v>0.37519999999999998</v>
      </c>
      <c r="DI60" s="168">
        <v>9889</v>
      </c>
      <c r="DJ60" s="167">
        <v>8.4894999999999996</v>
      </c>
      <c r="DK60" s="167">
        <v>1.1375999999999999</v>
      </c>
      <c r="DL60" s="167">
        <v>0.43340000000000001</v>
      </c>
      <c r="DM60" s="167">
        <v>0.37580000000000002</v>
      </c>
      <c r="DN60" s="231"/>
      <c r="DO60" s="231"/>
      <c r="DP60" s="168">
        <v>9889</v>
      </c>
      <c r="DQ60" s="167">
        <v>8.5108999999999995</v>
      </c>
      <c r="DR60" s="167">
        <v>1.1405000000000001</v>
      </c>
      <c r="DS60" s="167">
        <v>0.4345</v>
      </c>
      <c r="DT60" s="167">
        <v>0.37680000000000002</v>
      </c>
      <c r="DW60" s="168">
        <v>9889</v>
      </c>
      <c r="DX60" s="167">
        <v>8.5349000000000004</v>
      </c>
      <c r="DY60" s="167">
        <v>1.1436999999999999</v>
      </c>
      <c r="DZ60" s="167">
        <v>0.43580000000000002</v>
      </c>
      <c r="EA60" s="167">
        <v>0.37790000000000001</v>
      </c>
      <c r="ED60" s="168">
        <v>9889</v>
      </c>
      <c r="EE60" s="167">
        <v>8.5586000000000002</v>
      </c>
      <c r="EF60" s="167">
        <v>1.1469</v>
      </c>
      <c r="EG60" s="167">
        <v>0.437</v>
      </c>
      <c r="EH60" s="167">
        <v>0.37890000000000001</v>
      </c>
      <c r="EK60" s="168">
        <v>9889</v>
      </c>
      <c r="EL60" s="167">
        <v>8.6037999999999997</v>
      </c>
      <c r="EM60" s="167">
        <v>1.1529</v>
      </c>
      <c r="EN60" s="167">
        <v>0.43930000000000002</v>
      </c>
      <c r="EO60" s="167">
        <v>0.38090000000000002</v>
      </c>
      <c r="ER60" s="168">
        <v>9889</v>
      </c>
      <c r="ES60" s="167">
        <v>8.65</v>
      </c>
      <c r="ET60" s="167">
        <v>1.1591</v>
      </c>
      <c r="EU60" s="167">
        <v>0.44159999999999999</v>
      </c>
      <c r="EV60" s="167">
        <v>0.38300000000000001</v>
      </c>
      <c r="EY60" s="168">
        <v>9889</v>
      </c>
      <c r="EZ60" s="167">
        <v>8.6636000000000006</v>
      </c>
      <c r="FA60" s="167">
        <v>1.161</v>
      </c>
      <c r="FB60" s="167">
        <v>0.44230000000000003</v>
      </c>
      <c r="FC60" s="167">
        <v>0.3836</v>
      </c>
      <c r="FF60" s="168">
        <v>9889</v>
      </c>
      <c r="FG60" s="167">
        <v>8.6852</v>
      </c>
      <c r="FH60" s="167">
        <v>1.1638999999999999</v>
      </c>
      <c r="FI60" s="167">
        <v>0.44340000000000002</v>
      </c>
      <c r="FJ60" s="167">
        <v>0.38450000000000001</v>
      </c>
      <c r="FM60" s="168">
        <v>9889</v>
      </c>
      <c r="FN60" s="167">
        <v>8.6959999999999997</v>
      </c>
      <c r="FO60" s="167">
        <v>1.1653</v>
      </c>
      <c r="FP60" s="167">
        <v>0.44400000000000001</v>
      </c>
      <c r="FQ60" s="167">
        <v>0.38500000000000001</v>
      </c>
      <c r="FT60" s="168">
        <v>9889</v>
      </c>
      <c r="FU60" s="167">
        <f>VLOOKUP(FT60,Sheet4!A62:F138,3,0)</f>
        <v>8.7208000000000006</v>
      </c>
      <c r="FV60" s="167">
        <f>VLOOKUP(FT60,Sheet4!A62:F138,4,0)</f>
        <v>1.1686000000000001</v>
      </c>
      <c r="FW60" s="167">
        <f>VLOOKUP(FT60,Sheet4!A62:F138,5,0)</f>
        <v>0.44519999999999998</v>
      </c>
      <c r="FX60" s="167">
        <f>VLOOKUP(FT60,Sheet4!A62:F138,6,0)</f>
        <v>0.3861</v>
      </c>
    </row>
    <row r="61" spans="1:180" x14ac:dyDescent="0.25">
      <c r="A61" s="9">
        <v>9890</v>
      </c>
      <c r="B61" s="9">
        <v>7.5317999999999996</v>
      </c>
      <c r="C61" s="9">
        <v>1.0093000000000001</v>
      </c>
      <c r="D61" s="9">
        <v>0.38450000000000001</v>
      </c>
      <c r="E61" s="9">
        <v>0.33339999999999997</v>
      </c>
      <c r="H61" s="9">
        <v>9890</v>
      </c>
      <c r="I61" s="9">
        <v>7.8556999999999997</v>
      </c>
      <c r="J61" s="9">
        <v>1.0527</v>
      </c>
      <c r="K61" s="9">
        <v>0.40110000000000001</v>
      </c>
      <c r="L61" s="9">
        <v>0.3478</v>
      </c>
      <c r="O61" s="154">
        <v>9890</v>
      </c>
      <c r="P61" s="154">
        <v>7.8718000000000004</v>
      </c>
      <c r="Q61" s="154">
        <v>1.0548999999999999</v>
      </c>
      <c r="R61" s="154">
        <v>0.40189999999999998</v>
      </c>
      <c r="S61" s="154">
        <v>0.34849999999999998</v>
      </c>
      <c r="V61" s="151">
        <v>9890</v>
      </c>
      <c r="W61" s="151">
        <v>7.9116</v>
      </c>
      <c r="X61" s="151">
        <v>1.0602</v>
      </c>
      <c r="Y61" s="151">
        <v>0.40389999999999998</v>
      </c>
      <c r="Z61" s="151">
        <v>0.3503</v>
      </c>
      <c r="AC61" s="155">
        <v>9890</v>
      </c>
      <c r="AD61" s="155">
        <v>7.9958999999999998</v>
      </c>
      <c r="AE61" s="155">
        <v>1.0714999999999999</v>
      </c>
      <c r="AF61" s="155">
        <v>0.40820000000000001</v>
      </c>
      <c r="AG61" s="155">
        <v>0.35399999999999998</v>
      </c>
      <c r="AJ61" s="160">
        <v>9890</v>
      </c>
      <c r="AK61" s="6">
        <v>8.1029</v>
      </c>
      <c r="AL61" s="6">
        <v>1.0858000000000001</v>
      </c>
      <c r="AM61" s="6">
        <v>0.41370000000000001</v>
      </c>
      <c r="AN61" s="6">
        <v>0.35870000000000002</v>
      </c>
      <c r="AQ61" s="129">
        <v>9890</v>
      </c>
      <c r="AR61" s="53">
        <v>8.1461000000000006</v>
      </c>
      <c r="AS61" s="53">
        <v>1.0915999999999999</v>
      </c>
      <c r="AT61" s="53">
        <v>0.41589999999999999</v>
      </c>
      <c r="AU61" s="53">
        <v>0.36059999999999998</v>
      </c>
      <c r="AX61" s="129">
        <v>9890</v>
      </c>
      <c r="AY61" s="53">
        <v>8.1742000000000008</v>
      </c>
      <c r="AZ61" s="53">
        <v>1.0953999999999999</v>
      </c>
      <c r="BA61" s="53">
        <v>0.4173</v>
      </c>
      <c r="BB61" s="53">
        <v>0.3619</v>
      </c>
      <c r="BC61" s="3"/>
      <c r="BD61" s="182"/>
      <c r="BE61" s="129">
        <v>9890</v>
      </c>
      <c r="BF61" s="53">
        <v>8.1864000000000008</v>
      </c>
      <c r="BG61" s="53">
        <v>1.097</v>
      </c>
      <c r="BH61" s="53">
        <v>0.41799999999999998</v>
      </c>
      <c r="BI61" s="53">
        <v>0.3624</v>
      </c>
      <c r="BL61" s="129">
        <v>9890</v>
      </c>
      <c r="BM61" s="53">
        <v>8.2506000000000004</v>
      </c>
      <c r="BN61" s="53">
        <v>1.1055999999999999</v>
      </c>
      <c r="BO61" s="53">
        <v>0.42120000000000002</v>
      </c>
      <c r="BP61" s="53">
        <v>0.36530000000000001</v>
      </c>
      <c r="BS61" s="129">
        <v>9890</v>
      </c>
      <c r="BT61" s="53">
        <v>8.3371999999999993</v>
      </c>
      <c r="BU61" s="53">
        <v>1.1172</v>
      </c>
      <c r="BV61" s="53">
        <v>0.42570000000000002</v>
      </c>
      <c r="BW61" s="53">
        <v>0.36909999999999998</v>
      </c>
      <c r="BZ61" s="129">
        <v>9890</v>
      </c>
      <c r="CA61" s="53">
        <v>8.3646999999999991</v>
      </c>
      <c r="CB61" s="53">
        <v>1.1209</v>
      </c>
      <c r="CC61" s="53">
        <v>0.42709999999999998</v>
      </c>
      <c r="CD61" s="53">
        <v>0.37030000000000002</v>
      </c>
      <c r="CG61" s="129">
        <v>9890</v>
      </c>
      <c r="CH61" s="53">
        <v>8.3867999999999991</v>
      </c>
      <c r="CI61" s="53">
        <v>1.1238999999999999</v>
      </c>
      <c r="CJ61" s="53">
        <v>0.42820000000000003</v>
      </c>
      <c r="CK61" s="53">
        <v>0.37130000000000002</v>
      </c>
      <c r="CN61" s="207">
        <v>9890</v>
      </c>
      <c r="CO61" s="53">
        <v>8.4387000000000008</v>
      </c>
      <c r="CP61" s="53">
        <v>1.1308</v>
      </c>
      <c r="CQ61" s="53">
        <v>0.43080000000000002</v>
      </c>
      <c r="CR61" s="53">
        <v>0.37359999999999999</v>
      </c>
      <c r="CU61" s="215">
        <v>9890</v>
      </c>
      <c r="CV61" s="53">
        <v>8.4559999999999995</v>
      </c>
      <c r="CW61" s="53">
        <v>1.1331</v>
      </c>
      <c r="CX61" s="53">
        <v>0.43169999999999997</v>
      </c>
      <c r="CY61" s="53">
        <v>0.37440000000000001</v>
      </c>
      <c r="DB61" s="217">
        <v>9890</v>
      </c>
      <c r="DC61" s="53">
        <v>8.4741999999999997</v>
      </c>
      <c r="DD61" s="53">
        <v>1.1355999999999999</v>
      </c>
      <c r="DE61" s="53">
        <v>0.43269999999999997</v>
      </c>
      <c r="DF61" s="53">
        <v>0.37519999999999998</v>
      </c>
      <c r="DI61" s="222">
        <v>9890</v>
      </c>
      <c r="DJ61" s="53">
        <v>8.4894999999999996</v>
      </c>
      <c r="DK61" s="53">
        <v>1.1375999999999999</v>
      </c>
      <c r="DL61" s="53">
        <v>0.43340000000000001</v>
      </c>
      <c r="DM61" s="53">
        <v>0.37580000000000002</v>
      </c>
      <c r="DN61" s="231"/>
      <c r="DO61" s="231"/>
      <c r="DP61" s="227">
        <v>9890</v>
      </c>
      <c r="DQ61" s="53">
        <v>8.5108999999999995</v>
      </c>
      <c r="DR61" s="53">
        <v>1.1405000000000001</v>
      </c>
      <c r="DS61" s="53">
        <v>0.4345</v>
      </c>
      <c r="DT61" s="53">
        <v>0.37680000000000002</v>
      </c>
      <c r="DW61" s="235">
        <v>9890</v>
      </c>
      <c r="DX61" s="53">
        <v>8.5349000000000004</v>
      </c>
      <c r="DY61" s="53">
        <v>1.1436999999999999</v>
      </c>
      <c r="DZ61" s="53">
        <v>0.43580000000000002</v>
      </c>
      <c r="EA61" s="53">
        <v>0.37790000000000001</v>
      </c>
      <c r="ED61" s="237">
        <v>9890</v>
      </c>
      <c r="EE61" s="53">
        <v>8.5586000000000002</v>
      </c>
      <c r="EF61" s="53">
        <v>1.1469</v>
      </c>
      <c r="EG61" s="53">
        <v>0.437</v>
      </c>
      <c r="EH61" s="53">
        <v>0.37890000000000001</v>
      </c>
      <c r="EK61" s="239">
        <v>9890</v>
      </c>
      <c r="EL61" s="53">
        <v>8.6037999999999997</v>
      </c>
      <c r="EM61" s="53">
        <v>1.1529</v>
      </c>
      <c r="EN61" s="53">
        <v>0.43930000000000002</v>
      </c>
      <c r="EO61" s="53">
        <v>0.38090000000000002</v>
      </c>
      <c r="ER61" s="243">
        <v>9890</v>
      </c>
      <c r="ES61" s="53">
        <v>8.65</v>
      </c>
      <c r="ET61" s="53">
        <v>1.1591</v>
      </c>
      <c r="EU61" s="53">
        <v>0.44159999999999999</v>
      </c>
      <c r="EV61" s="53">
        <v>0.38300000000000001</v>
      </c>
      <c r="EY61" s="245">
        <v>9890</v>
      </c>
      <c r="EZ61" s="53">
        <v>8.6636000000000006</v>
      </c>
      <c r="FA61" s="53">
        <v>1.161</v>
      </c>
      <c r="FB61" s="53">
        <v>0.44230000000000003</v>
      </c>
      <c r="FC61" s="53">
        <v>0.3836</v>
      </c>
      <c r="FF61" s="249">
        <v>9890</v>
      </c>
      <c r="FG61" s="53">
        <v>8.6852</v>
      </c>
      <c r="FH61" s="53">
        <v>1.1638999999999999</v>
      </c>
      <c r="FI61" s="53">
        <v>0.44340000000000002</v>
      </c>
      <c r="FJ61" s="53">
        <v>0.38450000000000001</v>
      </c>
      <c r="FM61" s="252">
        <v>9890</v>
      </c>
      <c r="FN61" s="53">
        <v>8.6959999999999997</v>
      </c>
      <c r="FO61" s="53">
        <v>1.1653</v>
      </c>
      <c r="FP61" s="53">
        <v>0.44400000000000001</v>
      </c>
      <c r="FQ61" s="53">
        <v>0.38500000000000001</v>
      </c>
      <c r="FT61" s="254">
        <v>9890</v>
      </c>
      <c r="FU61" s="53">
        <f>VLOOKUP(FT61,Sheet4!A63:F139,3,0)</f>
        <v>8.7208000000000006</v>
      </c>
      <c r="FV61" s="53">
        <f>VLOOKUP(FT61,Sheet4!A63:F139,4,0)</f>
        <v>1.1686000000000001</v>
      </c>
      <c r="FW61" s="53">
        <f>VLOOKUP(FT61,Sheet4!A63:F139,5,0)</f>
        <v>0.44519999999999998</v>
      </c>
      <c r="FX61" s="53">
        <f>VLOOKUP(FT61,Sheet4!A63:F139,6,0)</f>
        <v>0.3861</v>
      </c>
    </row>
    <row r="62" spans="1:180" x14ac:dyDescent="0.25">
      <c r="A62" s="9">
        <v>9891</v>
      </c>
      <c r="B62" s="9">
        <v>6.7035</v>
      </c>
      <c r="C62" s="9">
        <v>0.89829999999999999</v>
      </c>
      <c r="D62" s="9">
        <v>0.34229999999999999</v>
      </c>
      <c r="E62" s="9">
        <v>0.29680000000000001</v>
      </c>
      <c r="H62" s="9">
        <v>9891</v>
      </c>
      <c r="I62" s="9">
        <v>6.9470999999999998</v>
      </c>
      <c r="J62" s="9">
        <v>0.93089999999999995</v>
      </c>
      <c r="K62" s="9">
        <v>0.35470000000000002</v>
      </c>
      <c r="L62" s="9">
        <v>0.30759999999999998</v>
      </c>
      <c r="O62" s="148">
        <v>9891</v>
      </c>
      <c r="P62" s="148">
        <v>6.9592000000000001</v>
      </c>
      <c r="Q62" s="148">
        <v>0.93259999999999998</v>
      </c>
      <c r="R62" s="148">
        <v>0.3553</v>
      </c>
      <c r="S62" s="148">
        <v>0.30809999999999998</v>
      </c>
      <c r="V62" s="151">
        <v>9891</v>
      </c>
      <c r="W62" s="151">
        <v>6.9890999999999996</v>
      </c>
      <c r="X62" s="151">
        <v>0.93659999999999999</v>
      </c>
      <c r="Y62" s="151">
        <v>0.35680000000000001</v>
      </c>
      <c r="Z62" s="151">
        <v>0.30940000000000001</v>
      </c>
      <c r="AC62" s="155">
        <v>9891</v>
      </c>
      <c r="AD62" s="155">
        <v>7.0525000000000002</v>
      </c>
      <c r="AE62" s="155">
        <v>0.94510000000000005</v>
      </c>
      <c r="AF62" s="155">
        <v>0.36009999999999998</v>
      </c>
      <c r="AG62" s="155">
        <v>0.31219999999999998</v>
      </c>
      <c r="AJ62" s="168">
        <v>9891</v>
      </c>
      <c r="AK62" s="169">
        <v>7.133</v>
      </c>
      <c r="AL62" s="169">
        <v>0.95579999999999998</v>
      </c>
      <c r="AM62" s="169">
        <v>0.36420000000000002</v>
      </c>
      <c r="AN62" s="169">
        <v>0.31580000000000003</v>
      </c>
      <c r="AQ62" s="165">
        <v>9891</v>
      </c>
      <c r="AR62" s="167">
        <v>7.1654999999999998</v>
      </c>
      <c r="AS62" s="167">
        <v>0.96020000000000005</v>
      </c>
      <c r="AT62" s="167">
        <v>0.36580000000000001</v>
      </c>
      <c r="AU62" s="167">
        <v>0.31719999999999998</v>
      </c>
      <c r="AX62" s="165">
        <v>9891</v>
      </c>
      <c r="AY62" s="167">
        <v>7.1867000000000001</v>
      </c>
      <c r="AZ62" s="167">
        <v>0.96299999999999997</v>
      </c>
      <c r="BA62" s="167">
        <v>0.3669</v>
      </c>
      <c r="BB62" s="167">
        <v>0.31819999999999998</v>
      </c>
      <c r="BC62" s="3"/>
      <c r="BD62" s="182"/>
      <c r="BE62" s="165">
        <v>9891</v>
      </c>
      <c r="BF62" s="167">
        <v>7.1959</v>
      </c>
      <c r="BG62" s="167">
        <v>0.96430000000000005</v>
      </c>
      <c r="BH62" s="167">
        <v>0.3674</v>
      </c>
      <c r="BI62" s="167">
        <v>0.31859999999999999</v>
      </c>
      <c r="BL62" s="165">
        <v>9891</v>
      </c>
      <c r="BM62" s="53">
        <v>7.2441000000000004</v>
      </c>
      <c r="BN62" s="53">
        <v>0.97070000000000001</v>
      </c>
      <c r="BO62" s="53">
        <v>0.36990000000000001</v>
      </c>
      <c r="BP62" s="53">
        <v>0.32069999999999999</v>
      </c>
      <c r="BS62" s="165">
        <v>9891</v>
      </c>
      <c r="BT62" s="167">
        <v>7.3091999999999997</v>
      </c>
      <c r="BU62" s="167">
        <v>0.97950000000000004</v>
      </c>
      <c r="BV62" s="167">
        <v>0.37319999999999998</v>
      </c>
      <c r="BW62" s="167">
        <v>0.3236</v>
      </c>
      <c r="BZ62" s="165">
        <v>9891</v>
      </c>
      <c r="CA62" s="167">
        <v>7.3299000000000003</v>
      </c>
      <c r="CB62" s="167">
        <v>0.98219999999999996</v>
      </c>
      <c r="CC62" s="167">
        <v>0.37419999999999998</v>
      </c>
      <c r="CD62" s="167">
        <v>0.32450000000000001</v>
      </c>
      <c r="CG62" s="165">
        <v>9891</v>
      </c>
      <c r="CH62" s="167">
        <v>7.3464999999999998</v>
      </c>
      <c r="CI62" s="167">
        <v>0.98450000000000004</v>
      </c>
      <c r="CJ62" s="167">
        <v>0.37509999999999999</v>
      </c>
      <c r="CK62" s="167">
        <v>0.32519999999999999</v>
      </c>
      <c r="CN62" s="168">
        <v>9891</v>
      </c>
      <c r="CO62" s="167">
        <v>7.3855000000000004</v>
      </c>
      <c r="CP62" s="167">
        <v>0.98970000000000002</v>
      </c>
      <c r="CQ62" s="167">
        <v>0.37709999999999999</v>
      </c>
      <c r="CR62" s="167">
        <v>0.32700000000000001</v>
      </c>
      <c r="CU62" s="168">
        <v>9891</v>
      </c>
      <c r="CV62" s="167">
        <v>7.3985000000000003</v>
      </c>
      <c r="CW62" s="167">
        <v>0.99139999999999995</v>
      </c>
      <c r="CX62" s="167">
        <v>0.37769999999999998</v>
      </c>
      <c r="CY62" s="167">
        <v>0.32750000000000001</v>
      </c>
      <c r="DB62" s="168">
        <v>9891</v>
      </c>
      <c r="DC62" s="167">
        <v>7.4122000000000003</v>
      </c>
      <c r="DD62" s="167">
        <v>0.99329999999999996</v>
      </c>
      <c r="DE62" s="167">
        <v>0.37840000000000001</v>
      </c>
      <c r="DF62" s="167">
        <v>0.32819999999999999</v>
      </c>
      <c r="DI62" s="168">
        <v>9891</v>
      </c>
      <c r="DJ62" s="167">
        <v>7.4237000000000002</v>
      </c>
      <c r="DK62" s="167">
        <v>0.99480000000000002</v>
      </c>
      <c r="DL62" s="167">
        <v>0.379</v>
      </c>
      <c r="DM62" s="167">
        <v>0.32869999999999999</v>
      </c>
      <c r="DN62" s="231"/>
      <c r="DO62" s="231"/>
      <c r="DP62" s="168">
        <v>9891</v>
      </c>
      <c r="DQ62" s="167">
        <v>7.4398</v>
      </c>
      <c r="DR62" s="167">
        <v>0.997</v>
      </c>
      <c r="DS62" s="167">
        <v>0.37980000000000003</v>
      </c>
      <c r="DT62" s="167">
        <v>0.32940000000000003</v>
      </c>
      <c r="DW62" s="168">
        <v>9891</v>
      </c>
      <c r="DX62" s="167">
        <v>7.4579000000000004</v>
      </c>
      <c r="DY62" s="167">
        <v>0.99939999999999996</v>
      </c>
      <c r="DZ62" s="167">
        <v>0.38080000000000003</v>
      </c>
      <c r="EA62" s="167">
        <v>0.33019999999999999</v>
      </c>
      <c r="EC62" s="231"/>
      <c r="ED62" s="168">
        <v>9891</v>
      </c>
      <c r="EE62" s="167">
        <v>7.4756999999999998</v>
      </c>
      <c r="EF62" s="167">
        <v>1.0018</v>
      </c>
      <c r="EG62" s="167">
        <v>0.38169999999999998</v>
      </c>
      <c r="EH62" s="167">
        <v>0.33100000000000002</v>
      </c>
      <c r="EK62" s="168">
        <v>9891</v>
      </c>
      <c r="EL62" s="167">
        <v>7.5096999999999996</v>
      </c>
      <c r="EM62" s="167">
        <v>1.0063</v>
      </c>
      <c r="EN62" s="167">
        <v>0.38340000000000002</v>
      </c>
      <c r="EO62" s="167">
        <v>0.33250000000000002</v>
      </c>
      <c r="ER62" s="168">
        <v>9891</v>
      </c>
      <c r="ES62" s="167">
        <v>7.5444000000000004</v>
      </c>
      <c r="ET62" s="167">
        <v>1.0109999999999999</v>
      </c>
      <c r="EU62" s="167">
        <v>0.38519999999999999</v>
      </c>
      <c r="EV62" s="167">
        <v>0.33400000000000002</v>
      </c>
      <c r="EY62" s="168">
        <v>9891</v>
      </c>
      <c r="EZ62" s="167">
        <v>7.5545999999999998</v>
      </c>
      <c r="FA62" s="167">
        <v>1.0123</v>
      </c>
      <c r="FB62" s="167">
        <v>0.38569999999999999</v>
      </c>
      <c r="FC62" s="167">
        <v>0.33450000000000002</v>
      </c>
      <c r="FF62" s="168">
        <v>9891</v>
      </c>
      <c r="FG62" s="167">
        <v>7.5708000000000002</v>
      </c>
      <c r="FH62" s="167">
        <v>1.0145</v>
      </c>
      <c r="FI62" s="167">
        <v>0.38650000000000001</v>
      </c>
      <c r="FJ62" s="167">
        <v>0.3352</v>
      </c>
      <c r="FM62" s="168">
        <v>9891</v>
      </c>
      <c r="FN62" s="167">
        <v>7.5789</v>
      </c>
      <c r="FO62" s="167">
        <v>1.0156000000000001</v>
      </c>
      <c r="FP62" s="167">
        <v>0.38690000000000002</v>
      </c>
      <c r="FQ62" s="167">
        <v>0.33550000000000002</v>
      </c>
      <c r="FT62" s="168">
        <v>9891</v>
      </c>
      <c r="FU62" s="167">
        <f>VLOOKUP(FT62,Sheet4!A64:F140,3,0)</f>
        <v>7.5975000000000001</v>
      </c>
      <c r="FV62" s="167">
        <f>VLOOKUP(FT62,Sheet4!A64:F140,4,0)</f>
        <v>1.0181</v>
      </c>
      <c r="FW62" s="167">
        <f>VLOOKUP(FT62,Sheet4!A64:F140,5,0)</f>
        <v>0.38790000000000002</v>
      </c>
      <c r="FX62" s="167">
        <f>VLOOKUP(FT62,Sheet4!A64:F140,6,0)</f>
        <v>0.33639999999999998</v>
      </c>
    </row>
    <row r="63" spans="1:180" x14ac:dyDescent="0.25">
      <c r="A63" s="9">
        <v>9892</v>
      </c>
      <c r="B63" s="9">
        <v>10.571899999999999</v>
      </c>
      <c r="C63" s="9">
        <v>1.4167000000000001</v>
      </c>
      <c r="D63" s="9">
        <v>0.53979999999999995</v>
      </c>
      <c r="E63" s="9">
        <v>0.46800000000000003</v>
      </c>
      <c r="H63" s="9">
        <v>9892</v>
      </c>
      <c r="I63" s="9">
        <v>11.0791</v>
      </c>
      <c r="J63" s="9">
        <v>1.4845999999999999</v>
      </c>
      <c r="K63" s="9">
        <v>0.56559999999999999</v>
      </c>
      <c r="L63" s="9">
        <v>0.49049999999999999</v>
      </c>
      <c r="O63" s="154">
        <v>9892</v>
      </c>
      <c r="P63" s="154">
        <v>11.1043</v>
      </c>
      <c r="Q63" s="154">
        <v>1.488</v>
      </c>
      <c r="R63" s="154">
        <v>0.56689999999999996</v>
      </c>
      <c r="S63" s="154">
        <v>0.49159999999999998</v>
      </c>
      <c r="V63" s="151">
        <v>9892</v>
      </c>
      <c r="W63" s="151">
        <v>11.166600000000001</v>
      </c>
      <c r="X63" s="151">
        <v>1.4964</v>
      </c>
      <c r="Y63" s="151">
        <v>0.57010000000000005</v>
      </c>
      <c r="Z63" s="151">
        <v>0.49440000000000001</v>
      </c>
      <c r="AC63" s="155">
        <v>9892</v>
      </c>
      <c r="AD63" s="155">
        <v>11.2986</v>
      </c>
      <c r="AE63" s="155">
        <v>1.5141</v>
      </c>
      <c r="AF63" s="155">
        <v>0.57689999999999997</v>
      </c>
      <c r="AG63" s="155">
        <v>0.50019999999999998</v>
      </c>
      <c r="AJ63" s="160">
        <v>9892</v>
      </c>
      <c r="AK63" s="6">
        <v>11.466200000000001</v>
      </c>
      <c r="AL63" s="6">
        <v>1.5365</v>
      </c>
      <c r="AM63" s="6">
        <v>0.58540000000000003</v>
      </c>
      <c r="AN63" s="6">
        <v>0.50760000000000005</v>
      </c>
      <c r="AQ63" s="129">
        <v>9892</v>
      </c>
      <c r="AR63" s="53">
        <v>11.533799999999999</v>
      </c>
      <c r="AS63" s="53">
        <v>1.5456000000000001</v>
      </c>
      <c r="AT63" s="53">
        <v>0.58889999999999998</v>
      </c>
      <c r="AU63" s="53">
        <v>0.51060000000000005</v>
      </c>
      <c r="AX63" s="129">
        <v>9892</v>
      </c>
      <c r="AY63" s="53">
        <v>11.5779</v>
      </c>
      <c r="AZ63" s="53">
        <v>1.5515000000000001</v>
      </c>
      <c r="BA63" s="53">
        <v>0.59109999999999996</v>
      </c>
      <c r="BB63" s="53">
        <v>0.51259999999999994</v>
      </c>
      <c r="BC63" s="3"/>
      <c r="BD63" s="182"/>
      <c r="BE63" s="129">
        <v>9892</v>
      </c>
      <c r="BF63" s="53">
        <v>11.597</v>
      </c>
      <c r="BG63" s="53">
        <v>1.554</v>
      </c>
      <c r="BH63" s="53">
        <v>0.59209999999999996</v>
      </c>
      <c r="BI63" s="53">
        <v>0.51339999999999997</v>
      </c>
      <c r="BL63" s="129">
        <v>9892</v>
      </c>
      <c r="BM63" s="53">
        <v>11.6974</v>
      </c>
      <c r="BN63" s="53">
        <v>1.5674999999999999</v>
      </c>
      <c r="BO63" s="53">
        <v>0.59719999999999995</v>
      </c>
      <c r="BP63" s="53">
        <v>0.51790000000000003</v>
      </c>
      <c r="BS63" s="129">
        <v>9892</v>
      </c>
      <c r="BT63" s="53">
        <v>11.833</v>
      </c>
      <c r="BU63" s="53">
        <v>1.5857000000000001</v>
      </c>
      <c r="BV63" s="53">
        <v>0.60409999999999997</v>
      </c>
      <c r="BW63" s="53">
        <v>0.52390000000000003</v>
      </c>
      <c r="BZ63" s="129">
        <v>9892</v>
      </c>
      <c r="CA63" s="53">
        <v>11.876099999999999</v>
      </c>
      <c r="CB63" s="53">
        <v>1.5913999999999999</v>
      </c>
      <c r="CC63" s="53">
        <v>0.60629999999999995</v>
      </c>
      <c r="CD63" s="53">
        <v>0.52580000000000005</v>
      </c>
      <c r="CG63" s="129">
        <v>9892</v>
      </c>
      <c r="CH63" s="53">
        <v>11.9108</v>
      </c>
      <c r="CI63" s="53">
        <v>1.5961000000000001</v>
      </c>
      <c r="CJ63" s="53">
        <v>0.60809999999999997</v>
      </c>
      <c r="CK63" s="53">
        <v>0.52729999999999999</v>
      </c>
      <c r="CN63" s="207">
        <v>9892</v>
      </c>
      <c r="CO63" s="53">
        <v>11.992000000000001</v>
      </c>
      <c r="CP63" s="53">
        <v>1.607</v>
      </c>
      <c r="CQ63" s="53">
        <v>0.61229999999999996</v>
      </c>
      <c r="CR63" s="53">
        <v>0.53090000000000004</v>
      </c>
      <c r="CU63" s="215">
        <v>9892</v>
      </c>
      <c r="CV63" s="53">
        <v>12.0191</v>
      </c>
      <c r="CW63" s="53">
        <v>1.6106</v>
      </c>
      <c r="CX63" s="53">
        <v>0.61360000000000003</v>
      </c>
      <c r="CY63" s="53">
        <v>0.53210000000000002</v>
      </c>
      <c r="DB63" s="217">
        <v>9892</v>
      </c>
      <c r="DC63" s="53">
        <v>12.047599999999999</v>
      </c>
      <c r="DD63" s="53">
        <v>1.6143999999999998</v>
      </c>
      <c r="DE63" s="53">
        <v>0.61509999999999998</v>
      </c>
      <c r="DF63" s="53">
        <v>0.53339999999999999</v>
      </c>
      <c r="DI63" s="222">
        <v>9892</v>
      </c>
      <c r="DJ63" s="53">
        <v>12.0715</v>
      </c>
      <c r="DK63" s="53">
        <v>1.6175999999999999</v>
      </c>
      <c r="DL63" s="53">
        <v>0.61629999999999996</v>
      </c>
      <c r="DM63" s="53">
        <v>0.53439999999999999</v>
      </c>
      <c r="DN63" s="231"/>
      <c r="DO63" s="231"/>
      <c r="DP63" s="227">
        <v>9892</v>
      </c>
      <c r="DQ63" s="53">
        <v>12.105</v>
      </c>
      <c r="DR63" s="53">
        <v>1.6221000000000001</v>
      </c>
      <c r="DS63" s="53">
        <v>0.61799999999999999</v>
      </c>
      <c r="DT63" s="53">
        <v>0.53590000000000004</v>
      </c>
      <c r="DW63" s="235">
        <v>9892</v>
      </c>
      <c r="DX63" s="53">
        <v>12.1426</v>
      </c>
      <c r="DY63" s="53">
        <v>1.6272</v>
      </c>
      <c r="DZ63" s="53">
        <v>0.61990000000000001</v>
      </c>
      <c r="EA63" s="53">
        <v>0.53759999999999997</v>
      </c>
      <c r="ED63" s="237">
        <v>9892</v>
      </c>
      <c r="EE63" s="53">
        <v>12.1797</v>
      </c>
      <c r="EF63" s="53">
        <v>1.6321000000000001</v>
      </c>
      <c r="EG63" s="53">
        <v>0.62180000000000002</v>
      </c>
      <c r="EH63" s="53">
        <v>0.53920000000000001</v>
      </c>
      <c r="EK63" s="239">
        <v>9892</v>
      </c>
      <c r="EL63" s="53">
        <v>12.250400000000001</v>
      </c>
      <c r="EM63" s="53">
        <v>1.6415999999999999</v>
      </c>
      <c r="EN63" s="53">
        <v>0.62549999999999994</v>
      </c>
      <c r="EO63" s="53">
        <v>0.54239999999999999</v>
      </c>
      <c r="ER63" s="243">
        <v>9892</v>
      </c>
      <c r="ES63" s="53">
        <v>12.322699999999999</v>
      </c>
      <c r="ET63" s="53">
        <v>1.6513</v>
      </c>
      <c r="EU63" s="53">
        <v>0.62909999999999999</v>
      </c>
      <c r="EV63" s="53">
        <v>0.54559999999999997</v>
      </c>
      <c r="EY63" s="245">
        <v>9892</v>
      </c>
      <c r="EZ63" s="53">
        <v>12.343999999999999</v>
      </c>
      <c r="FA63" s="53">
        <v>1.6540999999999999</v>
      </c>
      <c r="FB63" s="53">
        <v>0.63019999999999998</v>
      </c>
      <c r="FC63" s="53">
        <v>0.54649999999999999</v>
      </c>
      <c r="FF63" s="249">
        <v>9892</v>
      </c>
      <c r="FG63" s="53">
        <v>12.377700000000001</v>
      </c>
      <c r="FH63" s="53">
        <v>1.6587000000000001</v>
      </c>
      <c r="FI63" s="53">
        <v>0.63190000000000002</v>
      </c>
      <c r="FJ63" s="53">
        <v>0.54800000000000004</v>
      </c>
      <c r="FM63" s="252">
        <v>9892</v>
      </c>
      <c r="FN63" s="53">
        <v>12.394600000000001</v>
      </c>
      <c r="FO63" s="53">
        <v>1.6609</v>
      </c>
      <c r="FP63" s="53">
        <v>0.63280000000000003</v>
      </c>
      <c r="FQ63" s="53">
        <v>0.54869999999999997</v>
      </c>
      <c r="FT63" s="254">
        <v>9892</v>
      </c>
      <c r="FU63" s="53">
        <f>VLOOKUP(FT63,Sheet4!A65:F141,3,0)</f>
        <v>12.433400000000001</v>
      </c>
      <c r="FV63" s="53">
        <f>VLOOKUP(FT63,Sheet4!A65:F141,4,0)</f>
        <v>1.6660999999999999</v>
      </c>
      <c r="FW63" s="53">
        <f>VLOOKUP(FT63,Sheet4!A65:F141,5,0)</f>
        <v>0.63480000000000003</v>
      </c>
      <c r="FX63" s="53">
        <f>VLOOKUP(FT63,Sheet4!A65:F141,6,0)</f>
        <v>0.55049999999999999</v>
      </c>
    </row>
    <row r="64" spans="1:180" x14ac:dyDescent="0.25">
      <c r="A64" s="9">
        <v>9975</v>
      </c>
      <c r="B64" s="9">
        <v>10.571899999999999</v>
      </c>
      <c r="C64" s="9">
        <v>1.4167000000000001</v>
      </c>
      <c r="D64" s="9">
        <v>0.53979999999999995</v>
      </c>
      <c r="E64" s="9">
        <v>0.46800000000000003</v>
      </c>
      <c r="H64" s="9">
        <v>9975</v>
      </c>
      <c r="I64" s="9">
        <v>11.0791</v>
      </c>
      <c r="J64" s="9">
        <v>1.4845999999999999</v>
      </c>
      <c r="K64" s="9">
        <v>0.56559999999999999</v>
      </c>
      <c r="L64" s="9">
        <v>0.49049999999999999</v>
      </c>
      <c r="O64" s="148">
        <v>9975</v>
      </c>
      <c r="P64" s="148">
        <v>11.1043</v>
      </c>
      <c r="Q64" s="148">
        <v>1.488</v>
      </c>
      <c r="R64" s="148">
        <v>0.56689999999999996</v>
      </c>
      <c r="S64" s="148">
        <v>0.49159999999999998</v>
      </c>
      <c r="V64" s="151">
        <v>9975</v>
      </c>
      <c r="W64" s="151">
        <v>11.166600000000001</v>
      </c>
      <c r="X64" s="151">
        <v>1.4964</v>
      </c>
      <c r="Y64" s="151">
        <v>0.57010000000000005</v>
      </c>
      <c r="Z64" s="151">
        <v>0.49440000000000001</v>
      </c>
      <c r="AC64" s="155">
        <v>9975</v>
      </c>
      <c r="AD64" s="155">
        <v>11.2986</v>
      </c>
      <c r="AE64" s="155">
        <v>1.5141</v>
      </c>
      <c r="AF64" s="155">
        <v>0.57689999999999997</v>
      </c>
      <c r="AG64" s="155">
        <v>0.50019999999999998</v>
      </c>
      <c r="AJ64" s="168">
        <v>9975</v>
      </c>
      <c r="AK64" s="169">
        <v>11.466200000000001</v>
      </c>
      <c r="AL64" s="169">
        <v>1.5365</v>
      </c>
      <c r="AM64" s="169">
        <v>0.58540000000000003</v>
      </c>
      <c r="AN64" s="169">
        <v>0.50760000000000005</v>
      </c>
      <c r="AQ64" s="165">
        <v>9975</v>
      </c>
      <c r="AR64" s="167">
        <v>11.533799999999999</v>
      </c>
      <c r="AS64" s="167">
        <v>1.5456000000000001</v>
      </c>
      <c r="AT64" s="167">
        <v>0.58889999999999998</v>
      </c>
      <c r="AU64" s="167">
        <v>0.51060000000000005</v>
      </c>
      <c r="AX64" s="165">
        <v>9975</v>
      </c>
      <c r="AY64" s="167">
        <v>11.5779</v>
      </c>
      <c r="AZ64" s="167">
        <v>1.5515000000000001</v>
      </c>
      <c r="BA64" s="167">
        <v>0.59109999999999996</v>
      </c>
      <c r="BB64" s="167">
        <v>0.51259999999999994</v>
      </c>
      <c r="BC64" s="3"/>
      <c r="BD64" s="182"/>
      <c r="BE64" s="165">
        <v>9975</v>
      </c>
      <c r="BF64" s="167">
        <v>11.597</v>
      </c>
      <c r="BG64" s="167">
        <v>1.554</v>
      </c>
      <c r="BH64" s="167">
        <v>0.59209999999999996</v>
      </c>
      <c r="BI64" s="167">
        <v>0.51339999999999997</v>
      </c>
      <c r="BL64" s="165">
        <v>9975</v>
      </c>
      <c r="BM64" s="53">
        <v>11.6974</v>
      </c>
      <c r="BN64" s="53">
        <v>1.5674999999999999</v>
      </c>
      <c r="BO64" s="53">
        <v>0.59719999999999995</v>
      </c>
      <c r="BP64" s="53">
        <v>0.51790000000000003</v>
      </c>
      <c r="BS64" s="165">
        <v>9975</v>
      </c>
      <c r="BT64" s="167">
        <v>11.833</v>
      </c>
      <c r="BU64" s="167">
        <v>1.5857000000000001</v>
      </c>
      <c r="BV64" s="167">
        <v>0.60409999999999997</v>
      </c>
      <c r="BW64" s="167">
        <v>0.52390000000000003</v>
      </c>
      <c r="BZ64" s="165">
        <v>9975</v>
      </c>
      <c r="CA64" s="167">
        <v>11.876099999999999</v>
      </c>
      <c r="CB64" s="167">
        <v>1.5913999999999999</v>
      </c>
      <c r="CC64" s="167">
        <v>0.60629999999999995</v>
      </c>
      <c r="CD64" s="167">
        <v>0.52580000000000005</v>
      </c>
      <c r="CG64" s="165">
        <v>9975</v>
      </c>
      <c r="CH64" s="167">
        <v>11.9108</v>
      </c>
      <c r="CI64" s="167">
        <v>1.5961000000000001</v>
      </c>
      <c r="CJ64" s="167">
        <v>0.60809999999999997</v>
      </c>
      <c r="CK64" s="167">
        <v>0.52729999999999999</v>
      </c>
      <c r="CN64" s="168">
        <v>9975</v>
      </c>
      <c r="CO64" s="167">
        <v>11.992000000000001</v>
      </c>
      <c r="CP64" s="167">
        <v>1.607</v>
      </c>
      <c r="CQ64" s="167">
        <v>0.61229999999999996</v>
      </c>
      <c r="CR64" s="167">
        <v>0.53090000000000004</v>
      </c>
      <c r="CU64" s="168">
        <v>9975</v>
      </c>
      <c r="CV64" s="167">
        <v>12.0191</v>
      </c>
      <c r="CW64" s="167">
        <v>1.6106</v>
      </c>
      <c r="CX64" s="167">
        <v>0.61360000000000003</v>
      </c>
      <c r="CY64" s="167">
        <v>0.53210000000000002</v>
      </c>
      <c r="DB64" s="168">
        <v>9975</v>
      </c>
      <c r="DC64" s="167">
        <v>12.047599999999999</v>
      </c>
      <c r="DD64" s="167">
        <v>1.6143999999999998</v>
      </c>
      <c r="DE64" s="167">
        <v>0.61509999999999998</v>
      </c>
      <c r="DF64" s="167">
        <v>0.53339999999999999</v>
      </c>
      <c r="DI64" s="168">
        <v>9975</v>
      </c>
      <c r="DJ64" s="167">
        <v>12.0715</v>
      </c>
      <c r="DK64" s="167">
        <v>1.6175999999999999</v>
      </c>
      <c r="DL64" s="167">
        <v>0.61629999999999996</v>
      </c>
      <c r="DM64" s="167">
        <v>0.53439999999999999</v>
      </c>
      <c r="DN64" s="231"/>
      <c r="DO64" s="231"/>
      <c r="DP64" s="168">
        <v>9975</v>
      </c>
      <c r="DQ64" s="167">
        <v>12.105</v>
      </c>
      <c r="DR64" s="167">
        <v>1.6221000000000001</v>
      </c>
      <c r="DS64" s="167">
        <v>0.61799999999999999</v>
      </c>
      <c r="DT64" s="167">
        <v>0.53590000000000004</v>
      </c>
      <c r="DW64" s="168">
        <v>9975</v>
      </c>
      <c r="DX64" s="167">
        <v>12.1426</v>
      </c>
      <c r="DY64" s="167">
        <v>1.6272</v>
      </c>
      <c r="DZ64" s="167">
        <v>0.61990000000000001</v>
      </c>
      <c r="EA64" s="167">
        <v>0.53759999999999997</v>
      </c>
      <c r="ED64" s="168">
        <v>9975</v>
      </c>
      <c r="EE64" s="167">
        <v>12.1797</v>
      </c>
      <c r="EF64" s="167">
        <v>1.6321000000000001</v>
      </c>
      <c r="EG64" s="167">
        <v>0.62180000000000002</v>
      </c>
      <c r="EH64" s="167">
        <v>0.53920000000000001</v>
      </c>
      <c r="EK64" s="168">
        <v>9975</v>
      </c>
      <c r="EL64" s="167">
        <v>12.250400000000001</v>
      </c>
      <c r="EM64" s="167">
        <v>1.6415999999999999</v>
      </c>
      <c r="EN64" s="167">
        <v>0.62549999999999994</v>
      </c>
      <c r="EO64" s="167">
        <v>0.54239999999999999</v>
      </c>
      <c r="ER64" s="168">
        <v>9975</v>
      </c>
      <c r="ES64" s="167">
        <v>12.322699999999999</v>
      </c>
      <c r="ET64" s="167">
        <v>1.6513</v>
      </c>
      <c r="EU64" s="167">
        <v>0.62909999999999999</v>
      </c>
      <c r="EV64" s="167">
        <v>0.54559999999999997</v>
      </c>
      <c r="EY64" s="168">
        <v>9975</v>
      </c>
      <c r="EZ64" s="167">
        <v>12.343999999999999</v>
      </c>
      <c r="FA64" s="167">
        <v>1.6540999999999999</v>
      </c>
      <c r="FB64" s="167">
        <v>0.63019999999999998</v>
      </c>
      <c r="FC64" s="167">
        <v>0.54649999999999999</v>
      </c>
      <c r="FF64" s="168">
        <v>9975</v>
      </c>
      <c r="FG64" s="167">
        <v>12.377700000000001</v>
      </c>
      <c r="FH64" s="167">
        <v>1.6587000000000001</v>
      </c>
      <c r="FI64" s="167">
        <v>0.63190000000000002</v>
      </c>
      <c r="FJ64" s="167">
        <v>0.54800000000000004</v>
      </c>
      <c r="FM64" s="168">
        <v>9975</v>
      </c>
      <c r="FN64" s="167">
        <v>12.394600000000001</v>
      </c>
      <c r="FO64" s="167">
        <v>1.6609</v>
      </c>
      <c r="FP64" s="167">
        <v>0.63280000000000003</v>
      </c>
      <c r="FQ64" s="167">
        <v>0.54869999999999997</v>
      </c>
      <c r="FT64" s="168">
        <v>9975</v>
      </c>
      <c r="FU64" s="167">
        <f>VLOOKUP(FT64,Sheet4!A66:F142,3,0)</f>
        <v>12.433400000000001</v>
      </c>
      <c r="FV64" s="167">
        <f>VLOOKUP(FT64,Sheet4!A66:F142,4,0)</f>
        <v>1.6660999999999999</v>
      </c>
      <c r="FW64" s="167">
        <f>VLOOKUP(FT64,Sheet4!A66:F142,5,0)</f>
        <v>0.63480000000000003</v>
      </c>
      <c r="FX64" s="167">
        <f>VLOOKUP(FT64,Sheet4!A66:F142,6,0)</f>
        <v>0.55049999999999999</v>
      </c>
    </row>
    <row r="65" spans="1:180" x14ac:dyDescent="0.25">
      <c r="A65" s="9">
        <v>9976</v>
      </c>
      <c r="B65" s="9">
        <v>10.571899999999999</v>
      </c>
      <c r="C65" s="9">
        <v>1.4167000000000001</v>
      </c>
      <c r="D65" s="9">
        <v>0.53979999999999995</v>
      </c>
      <c r="E65" s="9">
        <v>0.46800000000000003</v>
      </c>
      <c r="H65" s="9">
        <v>9976</v>
      </c>
      <c r="I65" s="9">
        <v>11.0791</v>
      </c>
      <c r="J65" s="9">
        <v>1.4845999999999999</v>
      </c>
      <c r="K65" s="9">
        <v>0.56559999999999999</v>
      </c>
      <c r="L65" s="9">
        <v>0.49049999999999999</v>
      </c>
      <c r="O65" s="154">
        <v>9976</v>
      </c>
      <c r="P65" s="154">
        <v>11.1043</v>
      </c>
      <c r="Q65" s="154">
        <v>1.488</v>
      </c>
      <c r="R65" s="154">
        <v>0.56689999999999996</v>
      </c>
      <c r="S65" s="154">
        <v>0.49159999999999998</v>
      </c>
      <c r="V65" s="151">
        <v>9976</v>
      </c>
      <c r="W65" s="151">
        <v>11.166600000000001</v>
      </c>
      <c r="X65" s="151">
        <v>1.4964</v>
      </c>
      <c r="Y65" s="151">
        <v>0.57010000000000005</v>
      </c>
      <c r="Z65" s="151">
        <v>0.49440000000000001</v>
      </c>
      <c r="AC65" s="155">
        <v>9976</v>
      </c>
      <c r="AD65" s="155">
        <v>11.2986</v>
      </c>
      <c r="AE65" s="155">
        <v>1.5141</v>
      </c>
      <c r="AF65" s="155">
        <v>0.57689999999999997</v>
      </c>
      <c r="AG65" s="155">
        <v>0.50019999999999998</v>
      </c>
      <c r="AJ65" s="160">
        <v>9976</v>
      </c>
      <c r="AK65" s="6">
        <v>11.466200000000001</v>
      </c>
      <c r="AL65" s="6">
        <v>1.5365</v>
      </c>
      <c r="AM65" s="6">
        <v>0.58540000000000003</v>
      </c>
      <c r="AN65" s="6">
        <v>0.50760000000000005</v>
      </c>
      <c r="AQ65" s="129">
        <v>9976</v>
      </c>
      <c r="AR65" s="53">
        <v>11.533799999999999</v>
      </c>
      <c r="AS65" s="53">
        <v>1.5456000000000001</v>
      </c>
      <c r="AT65" s="53">
        <v>0.58889999999999998</v>
      </c>
      <c r="AU65" s="53">
        <v>0.51060000000000005</v>
      </c>
      <c r="AX65" s="129">
        <v>9976</v>
      </c>
      <c r="AY65" s="53">
        <v>11.5779</v>
      </c>
      <c r="AZ65" s="53">
        <v>1.5515000000000001</v>
      </c>
      <c r="BA65" s="53">
        <v>0.59109999999999996</v>
      </c>
      <c r="BB65" s="53">
        <v>0.51259999999999994</v>
      </c>
      <c r="BC65" s="3"/>
      <c r="BD65" s="182"/>
      <c r="BE65" s="180">
        <v>9976</v>
      </c>
      <c r="BF65" s="184">
        <v>11.597</v>
      </c>
      <c r="BG65" s="184">
        <v>1.554</v>
      </c>
      <c r="BH65" s="53">
        <v>0.59209999999999996</v>
      </c>
      <c r="BI65" s="53">
        <v>0.51339999999999997</v>
      </c>
      <c r="BL65" s="180">
        <v>9976</v>
      </c>
      <c r="BM65" s="53">
        <v>11.6974</v>
      </c>
      <c r="BN65" s="53">
        <v>1.5674999999999999</v>
      </c>
      <c r="BO65" s="53">
        <v>0.59719999999999995</v>
      </c>
      <c r="BP65" s="53">
        <v>0.51790000000000003</v>
      </c>
      <c r="BS65" s="180">
        <v>9976</v>
      </c>
      <c r="BT65" s="53">
        <v>11.833</v>
      </c>
      <c r="BU65" s="53">
        <v>1.5857000000000001</v>
      </c>
      <c r="BV65" s="53">
        <v>0.60409999999999997</v>
      </c>
      <c r="BW65" s="53">
        <v>0.52390000000000003</v>
      </c>
      <c r="BZ65" s="180">
        <v>9976</v>
      </c>
      <c r="CA65" s="53">
        <v>11.876099999999999</v>
      </c>
      <c r="CB65" s="53">
        <v>1.5913999999999999</v>
      </c>
      <c r="CC65" s="53">
        <v>0.60629999999999995</v>
      </c>
      <c r="CD65" s="53">
        <v>0.52580000000000005</v>
      </c>
      <c r="CG65" s="180">
        <v>9976</v>
      </c>
      <c r="CH65" s="53">
        <v>11.9108</v>
      </c>
      <c r="CI65" s="53">
        <v>1.5961000000000001</v>
      </c>
      <c r="CJ65" s="53">
        <v>0.60809999999999997</v>
      </c>
      <c r="CK65" s="53">
        <v>0.52729999999999999</v>
      </c>
      <c r="CN65" s="170">
        <v>9976</v>
      </c>
      <c r="CO65" s="53">
        <v>11.992000000000001</v>
      </c>
      <c r="CP65" s="53">
        <v>1.607</v>
      </c>
      <c r="CQ65" s="53">
        <v>0.61229999999999996</v>
      </c>
      <c r="CR65" s="53">
        <v>0.53090000000000004</v>
      </c>
      <c r="CU65" s="170">
        <v>9976</v>
      </c>
      <c r="CV65" s="53">
        <v>12.0191</v>
      </c>
      <c r="CW65" s="53">
        <v>1.6106</v>
      </c>
      <c r="CX65" s="53">
        <v>0.61360000000000003</v>
      </c>
      <c r="CY65" s="53">
        <v>0.53210000000000002</v>
      </c>
      <c r="DB65" s="170">
        <v>9976</v>
      </c>
      <c r="DC65" s="53">
        <v>12.047599999999999</v>
      </c>
      <c r="DD65" s="53">
        <v>1.6143999999999998</v>
      </c>
      <c r="DE65" s="53">
        <v>0.61509999999999998</v>
      </c>
      <c r="DF65" s="53">
        <v>0.53339999999999999</v>
      </c>
      <c r="DI65" s="170">
        <v>9976</v>
      </c>
      <c r="DJ65" s="53">
        <v>12.0715</v>
      </c>
      <c r="DK65" s="53">
        <v>1.6175999999999999</v>
      </c>
      <c r="DL65" s="53">
        <v>0.61629999999999996</v>
      </c>
      <c r="DM65" s="53">
        <v>0.53439999999999999</v>
      </c>
      <c r="DN65" s="231"/>
      <c r="DO65" s="231"/>
      <c r="DP65" s="170">
        <v>9976</v>
      </c>
      <c r="DQ65" s="53">
        <v>12.105</v>
      </c>
      <c r="DR65" s="53">
        <v>1.6221000000000001</v>
      </c>
      <c r="DS65" s="53">
        <v>0.61799999999999999</v>
      </c>
      <c r="DT65" s="53">
        <v>0.53590000000000004</v>
      </c>
      <c r="DW65" s="170">
        <v>9976</v>
      </c>
      <c r="DX65" s="53">
        <v>12.1426</v>
      </c>
      <c r="DY65" s="53">
        <v>1.6272</v>
      </c>
      <c r="DZ65" s="53">
        <v>0.61990000000000001</v>
      </c>
      <c r="EA65" s="53">
        <v>0.53759999999999997</v>
      </c>
      <c r="ED65" s="170">
        <v>9976</v>
      </c>
      <c r="EE65" s="53">
        <v>12.1797</v>
      </c>
      <c r="EF65" s="53">
        <v>1.6321000000000001</v>
      </c>
      <c r="EG65" s="53">
        <v>0.62180000000000002</v>
      </c>
      <c r="EH65" s="53">
        <v>0.53920000000000001</v>
      </c>
      <c r="EK65" s="170">
        <v>9976</v>
      </c>
      <c r="EL65" s="53">
        <v>12.250400000000001</v>
      </c>
      <c r="EM65" s="53">
        <v>1.6415999999999999</v>
      </c>
      <c r="EN65" s="53">
        <v>0.62549999999999994</v>
      </c>
      <c r="EO65" s="53">
        <v>0.54239999999999999</v>
      </c>
      <c r="ER65" s="170">
        <v>9976</v>
      </c>
      <c r="ES65" s="53">
        <v>12.322699999999999</v>
      </c>
      <c r="ET65" s="53">
        <v>1.6513</v>
      </c>
      <c r="EU65" s="53">
        <v>0.62909999999999999</v>
      </c>
      <c r="EV65" s="53">
        <v>0.54559999999999997</v>
      </c>
      <c r="EY65" s="170">
        <v>9976</v>
      </c>
      <c r="EZ65" s="53">
        <v>12.343999999999999</v>
      </c>
      <c r="FA65" s="53">
        <v>1.6540999999999999</v>
      </c>
      <c r="FB65" s="53">
        <v>0.63019999999999998</v>
      </c>
      <c r="FC65" s="53">
        <v>0.54649999999999999</v>
      </c>
      <c r="FF65" s="170">
        <v>9976</v>
      </c>
      <c r="FG65" s="53">
        <v>12.377700000000001</v>
      </c>
      <c r="FH65" s="53">
        <v>1.6587000000000001</v>
      </c>
      <c r="FI65" s="53">
        <v>0.63190000000000002</v>
      </c>
      <c r="FJ65" s="53">
        <v>0.54800000000000004</v>
      </c>
      <c r="FM65" s="170">
        <v>9976</v>
      </c>
      <c r="FN65" s="53">
        <v>12.394600000000001</v>
      </c>
      <c r="FO65" s="53">
        <v>1.6609</v>
      </c>
      <c r="FP65" s="53">
        <v>0.63280000000000003</v>
      </c>
      <c r="FQ65" s="53">
        <v>0.54869999999999997</v>
      </c>
      <c r="FT65" s="170">
        <v>9976</v>
      </c>
      <c r="FU65" s="53">
        <f>VLOOKUP(FT65,Sheet4!A67:F143,3,0)</f>
        <v>12.433400000000001</v>
      </c>
      <c r="FV65" s="53">
        <f>VLOOKUP(FT65,Sheet4!A67:F143,4,0)</f>
        <v>1.6660999999999999</v>
      </c>
      <c r="FW65" s="53">
        <f>VLOOKUP(FT65,Sheet4!A67:F143,5,0)</f>
        <v>0.63480000000000003</v>
      </c>
      <c r="FX65" s="53">
        <f>VLOOKUP(FT65,Sheet4!A67:F143,6,0)</f>
        <v>0.55049999999999999</v>
      </c>
    </row>
    <row r="66" spans="1:180" x14ac:dyDescent="0.25">
      <c r="A66" s="9">
        <v>9977</v>
      </c>
      <c r="B66" s="9">
        <v>10.571899999999999</v>
      </c>
      <c r="C66" s="9">
        <v>1.4167000000000001</v>
      </c>
      <c r="D66" s="9">
        <v>0.53979999999999995</v>
      </c>
      <c r="E66" s="9">
        <v>0.46800000000000003</v>
      </c>
      <c r="H66" s="9">
        <v>9977</v>
      </c>
      <c r="I66" s="9">
        <v>11.0791</v>
      </c>
      <c r="J66" s="9">
        <v>1.4845999999999999</v>
      </c>
      <c r="K66" s="9">
        <v>0.56559999999999999</v>
      </c>
      <c r="L66" s="9">
        <v>0.49049999999999999</v>
      </c>
      <c r="O66" s="148">
        <v>9977</v>
      </c>
      <c r="P66" s="148">
        <v>11.1043</v>
      </c>
      <c r="Q66" s="148">
        <v>1.488</v>
      </c>
      <c r="R66" s="148">
        <v>0.56689999999999996</v>
      </c>
      <c r="S66" s="148">
        <v>0.49159999999999998</v>
      </c>
      <c r="V66" s="151">
        <v>9977</v>
      </c>
      <c r="W66" s="151">
        <v>11.166600000000001</v>
      </c>
      <c r="X66" s="151">
        <v>1.4964</v>
      </c>
      <c r="Y66" s="151">
        <v>0.57010000000000005</v>
      </c>
      <c r="Z66" s="151">
        <v>0.49440000000000001</v>
      </c>
      <c r="AC66" s="155">
        <v>9977</v>
      </c>
      <c r="AD66" s="155">
        <v>11.2986</v>
      </c>
      <c r="AE66" s="155">
        <v>1.5141</v>
      </c>
      <c r="AF66" s="155">
        <v>0.57689999999999997</v>
      </c>
      <c r="AG66" s="155">
        <v>0.50019999999999998</v>
      </c>
      <c r="AJ66" s="168">
        <v>9977</v>
      </c>
      <c r="AK66" s="169">
        <v>11.466200000000001</v>
      </c>
      <c r="AL66" s="169">
        <v>1.5365</v>
      </c>
      <c r="AM66" s="169">
        <v>0.58540000000000003</v>
      </c>
      <c r="AN66" s="169">
        <v>0.50760000000000005</v>
      </c>
      <c r="AQ66" s="165">
        <v>9977</v>
      </c>
      <c r="AR66" s="167">
        <v>11.533799999999999</v>
      </c>
      <c r="AS66" s="167">
        <v>1.5456000000000001</v>
      </c>
      <c r="AT66" s="167">
        <v>0.58889999999999998</v>
      </c>
      <c r="AU66" s="167">
        <v>0.51060000000000005</v>
      </c>
      <c r="AX66" s="165">
        <v>9977</v>
      </c>
      <c r="AY66" s="167">
        <v>11.5779</v>
      </c>
      <c r="AZ66" s="167">
        <v>1.5515000000000001</v>
      </c>
      <c r="BA66" s="167">
        <v>0.59109999999999996</v>
      </c>
      <c r="BB66" s="167">
        <v>0.51259999999999994</v>
      </c>
      <c r="BC66" s="3"/>
      <c r="BD66" s="182"/>
      <c r="BE66" s="165">
        <v>9977</v>
      </c>
      <c r="BF66" s="167">
        <v>11.597</v>
      </c>
      <c r="BG66" s="167">
        <v>1.554</v>
      </c>
      <c r="BH66" s="167">
        <v>0.59209999999999996</v>
      </c>
      <c r="BI66" s="167">
        <v>0.51339999999999997</v>
      </c>
      <c r="BL66" s="165">
        <v>9977</v>
      </c>
      <c r="BM66" s="53">
        <v>11.6974</v>
      </c>
      <c r="BN66" s="53">
        <v>1.5674999999999999</v>
      </c>
      <c r="BO66" s="53">
        <v>0.59719999999999995</v>
      </c>
      <c r="BP66" s="53">
        <v>0.51790000000000003</v>
      </c>
      <c r="BS66" s="165">
        <v>9977</v>
      </c>
      <c r="BT66" s="167">
        <v>11.833</v>
      </c>
      <c r="BU66" s="167">
        <v>1.5857000000000001</v>
      </c>
      <c r="BV66" s="167">
        <v>0.60409999999999997</v>
      </c>
      <c r="BW66" s="167">
        <v>0.52390000000000003</v>
      </c>
      <c r="BZ66" s="165">
        <v>9977</v>
      </c>
      <c r="CA66" s="167">
        <v>11.876099999999999</v>
      </c>
      <c r="CB66" s="167">
        <v>1.5913999999999999</v>
      </c>
      <c r="CC66" s="167">
        <v>0.60629999999999995</v>
      </c>
      <c r="CD66" s="167">
        <v>0.52580000000000005</v>
      </c>
      <c r="CG66" s="165">
        <v>9977</v>
      </c>
      <c r="CH66" s="167">
        <v>11.9108</v>
      </c>
      <c r="CI66" s="167">
        <v>1.5961000000000001</v>
      </c>
      <c r="CJ66" s="167">
        <v>0.60809999999999997</v>
      </c>
      <c r="CK66" s="167">
        <v>0.52729999999999999</v>
      </c>
      <c r="CN66" s="168">
        <v>9977</v>
      </c>
      <c r="CO66" s="167">
        <v>11.992000000000001</v>
      </c>
      <c r="CP66" s="167">
        <v>1.607</v>
      </c>
      <c r="CQ66" s="167">
        <v>0.61229999999999996</v>
      </c>
      <c r="CR66" s="167">
        <v>0.53090000000000004</v>
      </c>
      <c r="CU66" s="168">
        <v>9977</v>
      </c>
      <c r="CV66" s="167">
        <v>12.0191</v>
      </c>
      <c r="CW66" s="167">
        <v>1.6106</v>
      </c>
      <c r="CX66" s="167">
        <v>0.61360000000000003</v>
      </c>
      <c r="CY66" s="167">
        <v>0.53210000000000002</v>
      </c>
      <c r="DB66" s="168">
        <v>9977</v>
      </c>
      <c r="DC66" s="167">
        <v>12.047599999999999</v>
      </c>
      <c r="DD66" s="167">
        <v>1.6143999999999998</v>
      </c>
      <c r="DE66" s="167">
        <v>0.61509999999999998</v>
      </c>
      <c r="DF66" s="167">
        <v>0.53339999999999999</v>
      </c>
      <c r="DI66" s="168">
        <v>9977</v>
      </c>
      <c r="DJ66" s="167">
        <v>12.0715</v>
      </c>
      <c r="DK66" s="167">
        <v>1.6175999999999999</v>
      </c>
      <c r="DL66" s="167">
        <v>0.61629999999999996</v>
      </c>
      <c r="DM66" s="167">
        <v>0.53439999999999999</v>
      </c>
      <c r="DN66" s="231"/>
      <c r="DO66" s="231"/>
      <c r="DP66" s="168">
        <v>9977</v>
      </c>
      <c r="DQ66" s="167">
        <v>12.105</v>
      </c>
      <c r="DR66" s="167">
        <v>1.6221000000000001</v>
      </c>
      <c r="DS66" s="167">
        <v>0.61799999999999999</v>
      </c>
      <c r="DT66" s="167">
        <v>0.53590000000000004</v>
      </c>
      <c r="DW66" s="168">
        <v>9977</v>
      </c>
      <c r="DX66" s="167">
        <v>12.1426</v>
      </c>
      <c r="DY66" s="167">
        <v>1.6272</v>
      </c>
      <c r="DZ66" s="167">
        <v>0.61990000000000001</v>
      </c>
      <c r="EA66" s="167">
        <v>0.53759999999999997</v>
      </c>
      <c r="ED66" s="168">
        <v>9977</v>
      </c>
      <c r="EE66" s="167">
        <v>12.1797</v>
      </c>
      <c r="EF66" s="167">
        <v>1.6321000000000001</v>
      </c>
      <c r="EG66" s="167">
        <v>0.62180000000000002</v>
      </c>
      <c r="EH66" s="167">
        <v>0.53920000000000001</v>
      </c>
      <c r="EK66" s="168">
        <v>9977</v>
      </c>
      <c r="EL66" s="167">
        <v>12.250400000000001</v>
      </c>
      <c r="EM66" s="167">
        <v>1.6415999999999999</v>
      </c>
      <c r="EN66" s="167">
        <v>0.62549999999999994</v>
      </c>
      <c r="EO66" s="167">
        <v>0.54239999999999999</v>
      </c>
      <c r="ER66" s="168">
        <v>9977</v>
      </c>
      <c r="ES66" s="167">
        <v>12.322699999999999</v>
      </c>
      <c r="ET66" s="167">
        <v>1.6513</v>
      </c>
      <c r="EU66" s="167">
        <v>0.62909999999999999</v>
      </c>
      <c r="EV66" s="167">
        <v>0.54559999999999997</v>
      </c>
      <c r="EY66" s="168">
        <v>9977</v>
      </c>
      <c r="EZ66" s="167">
        <v>12.343999999999999</v>
      </c>
      <c r="FA66" s="167">
        <v>1.6540999999999999</v>
      </c>
      <c r="FB66" s="167">
        <v>0.63019999999999998</v>
      </c>
      <c r="FC66" s="167">
        <v>0.54649999999999999</v>
      </c>
      <c r="FF66" s="168">
        <v>9977</v>
      </c>
      <c r="FG66" s="167">
        <v>12.377700000000001</v>
      </c>
      <c r="FH66" s="167">
        <v>1.6587000000000001</v>
      </c>
      <c r="FI66" s="167">
        <v>0.63190000000000002</v>
      </c>
      <c r="FJ66" s="167">
        <v>0.54800000000000004</v>
      </c>
      <c r="FM66" s="168">
        <v>9977</v>
      </c>
      <c r="FN66" s="167">
        <v>12.394600000000001</v>
      </c>
      <c r="FO66" s="167">
        <v>1.6609</v>
      </c>
      <c r="FP66" s="167">
        <v>0.63280000000000003</v>
      </c>
      <c r="FQ66" s="167">
        <v>0.54869999999999997</v>
      </c>
      <c r="FT66" s="168">
        <v>9977</v>
      </c>
      <c r="FU66" s="167">
        <f>VLOOKUP(FT66,Sheet4!A68:F144,3,0)</f>
        <v>12.433400000000001</v>
      </c>
      <c r="FV66" s="167">
        <f>VLOOKUP(FT66,Sheet4!A68:F144,4,0)</f>
        <v>1.6660999999999999</v>
      </c>
      <c r="FW66" s="167">
        <f>VLOOKUP(FT66,Sheet4!A68:F144,5,0)</f>
        <v>0.63480000000000003</v>
      </c>
      <c r="FX66" s="167">
        <f>VLOOKUP(FT66,Sheet4!A68:F144,6,0)</f>
        <v>0.55049999999999999</v>
      </c>
    </row>
    <row r="67" spans="1:180" x14ac:dyDescent="0.25">
      <c r="A67" s="9">
        <v>9978</v>
      </c>
      <c r="B67" s="9">
        <v>8.8562999999999992</v>
      </c>
      <c r="C67" s="9">
        <v>1.1868000000000001</v>
      </c>
      <c r="D67" s="9">
        <v>0.45219999999999999</v>
      </c>
      <c r="E67" s="9">
        <v>0.3921</v>
      </c>
      <c r="H67" s="9">
        <v>9978</v>
      </c>
      <c r="I67" s="9">
        <v>9.2685999999999993</v>
      </c>
      <c r="J67" s="9">
        <v>1.242</v>
      </c>
      <c r="K67" s="9">
        <v>0.47320000000000001</v>
      </c>
      <c r="L67" s="9">
        <v>0.4103</v>
      </c>
      <c r="O67" s="154">
        <v>9978</v>
      </c>
      <c r="P67" s="154">
        <v>9.2890999999999995</v>
      </c>
      <c r="Q67" s="154">
        <v>1.2447999999999999</v>
      </c>
      <c r="R67" s="154">
        <v>0.4743</v>
      </c>
      <c r="S67" s="154">
        <v>0.41120000000000001</v>
      </c>
      <c r="V67" s="151">
        <v>9978</v>
      </c>
      <c r="W67" s="151">
        <v>9.3398000000000003</v>
      </c>
      <c r="X67" s="151">
        <v>1.2516</v>
      </c>
      <c r="Y67" s="151">
        <v>0.4768</v>
      </c>
      <c r="Z67" s="151">
        <v>0.41349999999999998</v>
      </c>
      <c r="AC67" s="155">
        <v>9978</v>
      </c>
      <c r="AD67" s="155">
        <v>9.4471000000000007</v>
      </c>
      <c r="AE67" s="155">
        <v>1.2659</v>
      </c>
      <c r="AF67" s="155">
        <v>0.48230000000000001</v>
      </c>
      <c r="AG67" s="155">
        <v>0.41820000000000002</v>
      </c>
      <c r="AJ67" s="160">
        <v>9978</v>
      </c>
      <c r="AK67" s="6">
        <v>9.5832999999999995</v>
      </c>
      <c r="AL67" s="6">
        <v>1.2842</v>
      </c>
      <c r="AM67" s="6">
        <v>0.48930000000000001</v>
      </c>
      <c r="AN67" s="6">
        <v>0.42430000000000001</v>
      </c>
      <c r="AQ67" s="129">
        <v>9978</v>
      </c>
      <c r="AR67" s="53">
        <v>9.6382999999999992</v>
      </c>
      <c r="AS67" s="53">
        <v>1.2916000000000001</v>
      </c>
      <c r="AT67" s="53">
        <v>0.49209999999999998</v>
      </c>
      <c r="AU67" s="53">
        <v>0.42670000000000002</v>
      </c>
      <c r="AX67" s="129">
        <v>9978</v>
      </c>
      <c r="AY67" s="53">
        <v>9.6740999999999993</v>
      </c>
      <c r="AZ67" s="53">
        <v>1.2964</v>
      </c>
      <c r="BA67" s="53">
        <v>0.49390000000000001</v>
      </c>
      <c r="BB67" s="53">
        <v>0.42830000000000001</v>
      </c>
      <c r="BC67" s="3"/>
      <c r="BD67" s="182"/>
      <c r="BE67" s="129">
        <v>9978</v>
      </c>
      <c r="BF67" s="53">
        <v>9.6896000000000004</v>
      </c>
      <c r="BG67" s="53">
        <v>1.2984</v>
      </c>
      <c r="BH67" s="53">
        <v>0.49469999999999997</v>
      </c>
      <c r="BI67" s="53">
        <v>0.42899999999999999</v>
      </c>
      <c r="BL67" s="129">
        <v>9978</v>
      </c>
      <c r="BM67" s="53">
        <v>9.7712000000000003</v>
      </c>
      <c r="BN67" s="53">
        <v>1.3093999999999999</v>
      </c>
      <c r="BO67" s="53">
        <v>0.49890000000000001</v>
      </c>
      <c r="BP67" s="53">
        <v>0.43259999999999998</v>
      </c>
      <c r="BS67" s="129">
        <v>9978</v>
      </c>
      <c r="BT67" s="53">
        <v>9.8813999999999993</v>
      </c>
      <c r="BU67" s="53">
        <v>1.3241000000000001</v>
      </c>
      <c r="BV67" s="53">
        <v>0.50449999999999995</v>
      </c>
      <c r="BW67" s="53">
        <v>0.4375</v>
      </c>
      <c r="BZ67" s="129">
        <v>9978</v>
      </c>
      <c r="CA67" s="53">
        <v>9.9163999999999994</v>
      </c>
      <c r="CB67" s="53">
        <v>1.3288</v>
      </c>
      <c r="CC67" s="53">
        <v>0.50629999999999997</v>
      </c>
      <c r="CD67" s="53">
        <v>0.439</v>
      </c>
      <c r="CG67" s="129">
        <v>9978</v>
      </c>
      <c r="CH67" s="53">
        <v>9.9445999999999994</v>
      </c>
      <c r="CI67" s="53">
        <v>1.3326</v>
      </c>
      <c r="CJ67" s="53">
        <v>0.50770000000000004</v>
      </c>
      <c r="CK67" s="53">
        <v>0.44030000000000002</v>
      </c>
      <c r="CN67" s="207">
        <v>9978</v>
      </c>
      <c r="CO67" s="53">
        <v>10.0106</v>
      </c>
      <c r="CP67" s="53">
        <v>1.3414999999999999</v>
      </c>
      <c r="CQ67" s="53">
        <v>0.5111</v>
      </c>
      <c r="CR67" s="53">
        <v>0.44319999999999998</v>
      </c>
      <c r="CU67" s="215">
        <v>9978</v>
      </c>
      <c r="CV67" s="53">
        <v>10.0326</v>
      </c>
      <c r="CW67" s="53">
        <v>1.3444</v>
      </c>
      <c r="CX67" s="53">
        <v>0.51219999999999999</v>
      </c>
      <c r="CY67" s="53">
        <v>0.44419999999999998</v>
      </c>
      <c r="DB67" s="217">
        <v>9978</v>
      </c>
      <c r="DC67" s="53">
        <v>10.055800000000001</v>
      </c>
      <c r="DD67" s="53">
        <v>1.3474999999999999</v>
      </c>
      <c r="DE67" s="53">
        <v>0.51339999999999997</v>
      </c>
      <c r="DF67" s="53">
        <v>0.44519999999999998</v>
      </c>
      <c r="DI67" s="222">
        <v>9978</v>
      </c>
      <c r="DJ67" s="53">
        <v>10.075200000000001</v>
      </c>
      <c r="DK67" s="53">
        <v>1.3501000000000001</v>
      </c>
      <c r="DL67" s="53">
        <v>0.51439999999999997</v>
      </c>
      <c r="DM67" s="53">
        <v>0.4461</v>
      </c>
      <c r="DN67" s="231"/>
      <c r="DO67" s="231"/>
      <c r="DP67" s="227">
        <v>9978</v>
      </c>
      <c r="DQ67" s="53">
        <v>10.102399999999999</v>
      </c>
      <c r="DR67" s="53">
        <v>1.3537999999999999</v>
      </c>
      <c r="DS67" s="53">
        <v>0.51580000000000004</v>
      </c>
      <c r="DT67" s="53">
        <v>0.44729999999999998</v>
      </c>
      <c r="DW67" s="235">
        <v>9978</v>
      </c>
      <c r="DX67" s="53">
        <v>10.132999999999999</v>
      </c>
      <c r="DY67" s="53">
        <v>1.3579000000000001</v>
      </c>
      <c r="DZ67" s="53">
        <v>0.51729999999999998</v>
      </c>
      <c r="EA67" s="53">
        <v>0.4486</v>
      </c>
      <c r="ED67" s="237">
        <v>9978</v>
      </c>
      <c r="EE67" s="53">
        <v>10.1631</v>
      </c>
      <c r="EF67" s="53">
        <v>1.3619000000000001</v>
      </c>
      <c r="EG67" s="53">
        <v>0.51890000000000003</v>
      </c>
      <c r="EH67" s="53">
        <v>0.44990000000000002</v>
      </c>
      <c r="EK67" s="239">
        <v>9978</v>
      </c>
      <c r="EL67" s="53">
        <v>10.220599999999999</v>
      </c>
      <c r="EM67" s="53">
        <v>1.3695999999999999</v>
      </c>
      <c r="EN67" s="53">
        <v>0.52180000000000004</v>
      </c>
      <c r="EO67" s="53">
        <v>0.45250000000000001</v>
      </c>
      <c r="ER67" s="243">
        <v>9978</v>
      </c>
      <c r="ES67" s="53">
        <v>10.279400000000001</v>
      </c>
      <c r="ET67" s="53">
        <v>1.3774999999999999</v>
      </c>
      <c r="EU67" s="53">
        <v>0.52480000000000004</v>
      </c>
      <c r="EV67" s="53">
        <v>0.4551</v>
      </c>
      <c r="EY67" s="245">
        <v>9978</v>
      </c>
      <c r="EZ67" s="53">
        <v>10.2967</v>
      </c>
      <c r="FA67" s="53">
        <v>1.3797999999999999</v>
      </c>
      <c r="FB67" s="53">
        <v>0.52569999999999995</v>
      </c>
      <c r="FC67" s="53">
        <v>0.45590000000000003</v>
      </c>
      <c r="FF67" s="249">
        <v>9978</v>
      </c>
      <c r="FG67" s="53">
        <v>10.3241</v>
      </c>
      <c r="FH67" s="53">
        <v>1.3835</v>
      </c>
      <c r="FI67" s="53">
        <v>0.52710000000000001</v>
      </c>
      <c r="FJ67" s="53">
        <v>0.45710000000000001</v>
      </c>
      <c r="FM67" s="252">
        <v>9978</v>
      </c>
      <c r="FN67" s="53">
        <v>10.337899999999999</v>
      </c>
      <c r="FO67" s="53">
        <v>1.3853</v>
      </c>
      <c r="FP67" s="53">
        <v>0.52780000000000005</v>
      </c>
      <c r="FQ67" s="53">
        <v>0.4577</v>
      </c>
      <c r="FT67" s="254">
        <v>9978</v>
      </c>
      <c r="FU67" s="53">
        <f>VLOOKUP(FT67,Sheet4!A69:F145,3,0)</f>
        <v>10.3695</v>
      </c>
      <c r="FV67" s="53">
        <f>VLOOKUP(FT67,Sheet4!A69:F145,4,0)</f>
        <v>1.3895999999999999</v>
      </c>
      <c r="FW67" s="53">
        <f>VLOOKUP(FT67,Sheet4!A69:F145,5,0)</f>
        <v>0.52939999999999998</v>
      </c>
      <c r="FX67" s="53">
        <f>VLOOKUP(FT67,Sheet4!A69:F145,6,0)</f>
        <v>0.45910000000000001</v>
      </c>
    </row>
    <row r="68" spans="1:180" x14ac:dyDescent="0.25">
      <c r="A68" s="9">
        <v>9979</v>
      </c>
      <c r="B68" s="9">
        <v>8.3834999999999997</v>
      </c>
      <c r="C68" s="9">
        <v>1.1234</v>
      </c>
      <c r="D68" s="9">
        <v>0.42799999999999999</v>
      </c>
      <c r="E68" s="9">
        <v>0.37119999999999997</v>
      </c>
      <c r="H68" s="9">
        <v>9979</v>
      </c>
      <c r="I68" s="9">
        <v>8.7073999999999998</v>
      </c>
      <c r="J68" s="9">
        <v>1.1668000000000001</v>
      </c>
      <c r="K68" s="9">
        <v>0.4446</v>
      </c>
      <c r="L68" s="9">
        <v>0.38550000000000001</v>
      </c>
      <c r="O68" s="148">
        <v>9979</v>
      </c>
      <c r="P68" s="148">
        <v>8.7234999999999996</v>
      </c>
      <c r="Q68" s="148">
        <v>1.169</v>
      </c>
      <c r="R68" s="148">
        <v>0.44540000000000002</v>
      </c>
      <c r="S68" s="148">
        <v>0.38619999999999999</v>
      </c>
      <c r="V68" s="151">
        <v>9979</v>
      </c>
      <c r="W68" s="151">
        <v>8.7632999999999992</v>
      </c>
      <c r="X68" s="151">
        <v>1.1742999999999999</v>
      </c>
      <c r="Y68" s="151">
        <v>0.44740000000000002</v>
      </c>
      <c r="Z68" s="151">
        <v>0.38800000000000001</v>
      </c>
      <c r="AC68" s="155">
        <v>9979</v>
      </c>
      <c r="AD68" s="155">
        <v>8.8475999999999999</v>
      </c>
      <c r="AE68" s="155">
        <v>1.1856</v>
      </c>
      <c r="AF68" s="155">
        <v>0.45169999999999999</v>
      </c>
      <c r="AG68" s="155">
        <v>0.39169999999999999</v>
      </c>
      <c r="AJ68" s="168">
        <v>9979</v>
      </c>
      <c r="AK68" s="169">
        <v>8.9545999999999992</v>
      </c>
      <c r="AL68" s="169">
        <v>1.2</v>
      </c>
      <c r="AM68" s="169">
        <v>0.4572</v>
      </c>
      <c r="AN68" s="169">
        <v>0.39639999999999997</v>
      </c>
      <c r="AQ68" s="165">
        <v>9979</v>
      </c>
      <c r="AR68" s="167">
        <v>8.9977999999999998</v>
      </c>
      <c r="AS68" s="167">
        <v>1.2057</v>
      </c>
      <c r="AT68" s="167">
        <v>0.45939999999999998</v>
      </c>
      <c r="AU68" s="167">
        <v>0.39839999999999998</v>
      </c>
      <c r="AX68" s="165">
        <v>9979</v>
      </c>
      <c r="AY68" s="167">
        <v>9.0259</v>
      </c>
      <c r="AZ68" s="167">
        <v>1.2095</v>
      </c>
      <c r="BA68" s="167">
        <v>0.46079999999999999</v>
      </c>
      <c r="BB68" s="167">
        <v>0.39960000000000001</v>
      </c>
      <c r="BC68" s="3"/>
      <c r="BD68" s="182"/>
      <c r="BE68" s="165">
        <v>9979</v>
      </c>
      <c r="BF68" s="167">
        <v>9.0381</v>
      </c>
      <c r="BG68" s="167">
        <v>1.2111000000000001</v>
      </c>
      <c r="BH68" s="167">
        <v>0.46139999999999998</v>
      </c>
      <c r="BI68" s="167">
        <v>0.40010000000000001</v>
      </c>
      <c r="BL68" s="165">
        <v>9979</v>
      </c>
      <c r="BM68" s="53">
        <v>9.1022999999999996</v>
      </c>
      <c r="BN68" s="53">
        <v>1.2197</v>
      </c>
      <c r="BO68" s="53">
        <v>0.4647</v>
      </c>
      <c r="BP68" s="53">
        <v>0.40300000000000002</v>
      </c>
      <c r="BS68" s="165">
        <v>9979</v>
      </c>
      <c r="BT68" s="167">
        <v>9.1889000000000003</v>
      </c>
      <c r="BU68" s="167">
        <v>1.2313000000000001</v>
      </c>
      <c r="BV68" s="167">
        <v>0.46910000000000002</v>
      </c>
      <c r="BW68" s="167">
        <v>0.40679999999999999</v>
      </c>
      <c r="BZ68" s="165">
        <v>9979</v>
      </c>
      <c r="CA68" s="167">
        <v>9.2164000000000001</v>
      </c>
      <c r="CB68" s="167">
        <v>1.2350000000000001</v>
      </c>
      <c r="CC68" s="167">
        <v>0.47049999999999997</v>
      </c>
      <c r="CD68" s="167">
        <v>0.40799999999999997</v>
      </c>
      <c r="CG68" s="165">
        <v>9979</v>
      </c>
      <c r="CH68" s="167">
        <v>9.2385000000000002</v>
      </c>
      <c r="CI68" s="167">
        <v>1.238</v>
      </c>
      <c r="CJ68" s="167">
        <v>0.47170000000000001</v>
      </c>
      <c r="CK68" s="167">
        <v>0.40899999999999997</v>
      </c>
      <c r="CN68" s="168">
        <v>9979</v>
      </c>
      <c r="CO68" s="167">
        <v>9.2904</v>
      </c>
      <c r="CP68" s="167">
        <v>1.2448999999999999</v>
      </c>
      <c r="CQ68" s="167">
        <v>0.4743</v>
      </c>
      <c r="CR68" s="167">
        <v>0.4113</v>
      </c>
      <c r="CU68" s="168">
        <v>9979</v>
      </c>
      <c r="CV68" s="167">
        <v>9.3077000000000005</v>
      </c>
      <c r="CW68" s="167">
        <v>1.2473000000000001</v>
      </c>
      <c r="CX68" s="167">
        <v>0.47520000000000001</v>
      </c>
      <c r="CY68" s="167">
        <v>0.41210000000000002</v>
      </c>
      <c r="DB68" s="168">
        <v>9979</v>
      </c>
      <c r="DC68" s="167">
        <v>9.3259000000000007</v>
      </c>
      <c r="DD68" s="167">
        <v>1.2497</v>
      </c>
      <c r="DE68" s="167">
        <v>0.47610000000000002</v>
      </c>
      <c r="DF68" s="167">
        <v>0.41289999999999999</v>
      </c>
      <c r="DI68" s="168">
        <v>9979</v>
      </c>
      <c r="DJ68" s="167">
        <v>9.3412000000000006</v>
      </c>
      <c r="DK68" s="167">
        <v>1.2518</v>
      </c>
      <c r="DL68" s="167">
        <v>0.47689999999999999</v>
      </c>
      <c r="DM68" s="167">
        <v>0.41360000000000002</v>
      </c>
      <c r="DN68" s="231"/>
      <c r="DO68" s="231"/>
      <c r="DP68" s="168">
        <v>9979</v>
      </c>
      <c r="DQ68" s="167">
        <v>9.3626000000000005</v>
      </c>
      <c r="DR68" s="167">
        <v>1.2545999999999999</v>
      </c>
      <c r="DS68" s="167">
        <v>0.47799999999999998</v>
      </c>
      <c r="DT68" s="167">
        <v>0.41449999999999998</v>
      </c>
      <c r="DW68" s="168">
        <v>9979</v>
      </c>
      <c r="DX68" s="167">
        <v>9.3865999999999996</v>
      </c>
      <c r="DY68" s="167">
        <v>1.2578</v>
      </c>
      <c r="DZ68" s="167">
        <v>0.47920000000000001</v>
      </c>
      <c r="EA68" s="167">
        <v>0.41560000000000002</v>
      </c>
      <c r="ED68" s="168">
        <v>9979</v>
      </c>
      <c r="EE68" s="167">
        <v>9.4102999999999994</v>
      </c>
      <c r="EF68" s="167">
        <v>1.2609999999999999</v>
      </c>
      <c r="EG68" s="167">
        <v>0.48039999999999999</v>
      </c>
      <c r="EH68" s="167">
        <v>0.41660000000000003</v>
      </c>
      <c r="EK68" s="168">
        <v>9979</v>
      </c>
      <c r="EL68" s="167">
        <v>9.4555000000000007</v>
      </c>
      <c r="EM68" s="167">
        <v>1.2670999999999999</v>
      </c>
      <c r="EN68" s="167">
        <v>0.48280000000000001</v>
      </c>
      <c r="EO68" s="167">
        <v>0.41860000000000003</v>
      </c>
      <c r="ER68" s="168">
        <v>9979</v>
      </c>
      <c r="ES68" s="167">
        <v>9.5016999999999996</v>
      </c>
      <c r="ET68" s="167">
        <v>1.2733000000000001</v>
      </c>
      <c r="EU68" s="167">
        <v>0.48509999999999998</v>
      </c>
      <c r="EV68" s="167">
        <v>0.42070000000000002</v>
      </c>
      <c r="EY68" s="168">
        <v>9979</v>
      </c>
      <c r="EZ68" s="167">
        <v>9.5152999999999999</v>
      </c>
      <c r="FA68" s="167">
        <v>1.2750999999999999</v>
      </c>
      <c r="FB68" s="167">
        <v>0.48580000000000001</v>
      </c>
      <c r="FC68" s="167">
        <v>0.42130000000000001</v>
      </c>
      <c r="FF68" s="168">
        <v>9979</v>
      </c>
      <c r="FG68" s="167">
        <v>9.5368999999999993</v>
      </c>
      <c r="FH68" s="167">
        <v>1.278</v>
      </c>
      <c r="FI68" s="167">
        <v>0.4869</v>
      </c>
      <c r="FJ68" s="167">
        <v>0.42220000000000002</v>
      </c>
      <c r="FM68" s="168">
        <v>9979</v>
      </c>
      <c r="FN68" s="167">
        <v>9.5477000000000007</v>
      </c>
      <c r="FO68" s="167">
        <v>1.2794000000000001</v>
      </c>
      <c r="FP68" s="167">
        <v>0.48749999999999999</v>
      </c>
      <c r="FQ68" s="167">
        <v>0.42270000000000002</v>
      </c>
      <c r="FT68" s="168">
        <v>9979</v>
      </c>
      <c r="FU68" s="167">
        <f>VLOOKUP(FT68,Sheet4!A70:F146,3,0)</f>
        <v>9.5724999999999998</v>
      </c>
      <c r="FV68" s="167">
        <f>VLOOKUP(FT68,Sheet4!A70:F146,4,0)</f>
        <v>1.2827999999999999</v>
      </c>
      <c r="FW68" s="167">
        <f>VLOOKUP(FT68,Sheet4!A70:F146,5,0)</f>
        <v>0.48870000000000002</v>
      </c>
      <c r="FX68" s="167">
        <f>VLOOKUP(FT68,Sheet4!A70:F146,6,0)</f>
        <v>0.42380000000000001</v>
      </c>
    </row>
    <row r="69" spans="1:180" x14ac:dyDescent="0.25">
      <c r="A69" s="9">
        <v>9980</v>
      </c>
      <c r="B69" s="9">
        <v>9.5208999999999993</v>
      </c>
      <c r="C69" s="9">
        <v>1.2758</v>
      </c>
      <c r="D69" s="9">
        <v>0.48609999999999998</v>
      </c>
      <c r="E69" s="9">
        <v>0.42149999999999999</v>
      </c>
      <c r="H69" s="9">
        <v>9980</v>
      </c>
      <c r="I69" s="9">
        <v>9.9331999999999994</v>
      </c>
      <c r="J69" s="9">
        <v>1.3310999999999999</v>
      </c>
      <c r="K69" s="9">
        <v>0.5071</v>
      </c>
      <c r="L69" s="9">
        <v>0.43980000000000002</v>
      </c>
      <c r="O69" s="154">
        <v>9980</v>
      </c>
      <c r="P69" s="154">
        <v>9.9536999999999995</v>
      </c>
      <c r="Q69" s="154">
        <v>1.3338000000000001</v>
      </c>
      <c r="R69" s="154">
        <v>0.50819999999999999</v>
      </c>
      <c r="S69" s="154">
        <v>0.44069999999999998</v>
      </c>
      <c r="V69" s="151">
        <v>9980</v>
      </c>
      <c r="W69" s="151">
        <v>10.0044</v>
      </c>
      <c r="X69" s="151">
        <v>1.3406</v>
      </c>
      <c r="Y69" s="151">
        <v>0.51080000000000003</v>
      </c>
      <c r="Z69" s="151">
        <v>0.44290000000000002</v>
      </c>
      <c r="AC69" s="155">
        <v>9980</v>
      </c>
      <c r="AD69" s="155">
        <v>10.111700000000001</v>
      </c>
      <c r="AE69" s="155">
        <v>1.355</v>
      </c>
      <c r="AF69" s="155">
        <v>0.51629999999999998</v>
      </c>
      <c r="AG69" s="155">
        <v>0.44769999999999999</v>
      </c>
      <c r="AJ69" s="160">
        <v>9980</v>
      </c>
      <c r="AK69" s="6">
        <v>10.2479</v>
      </c>
      <c r="AL69" s="6">
        <v>1.3733</v>
      </c>
      <c r="AM69" s="6">
        <v>0.5232</v>
      </c>
      <c r="AN69" s="6">
        <v>0.45369999999999999</v>
      </c>
      <c r="AQ69" s="129">
        <v>9980</v>
      </c>
      <c r="AR69" s="53">
        <v>10.302899999999999</v>
      </c>
      <c r="AS69" s="53">
        <v>1.3806</v>
      </c>
      <c r="AT69" s="53">
        <v>0.52600000000000002</v>
      </c>
      <c r="AU69" s="53">
        <v>0.45610000000000001</v>
      </c>
      <c r="AX69" s="129">
        <v>9980</v>
      </c>
      <c r="AY69" s="53">
        <v>10.338699999999999</v>
      </c>
      <c r="AZ69" s="53">
        <v>1.3854</v>
      </c>
      <c r="BA69" s="53">
        <v>0.52780000000000005</v>
      </c>
      <c r="BB69" s="53">
        <v>0.4577</v>
      </c>
      <c r="BC69" s="3"/>
      <c r="BD69" s="182"/>
      <c r="BE69" s="180">
        <v>9980</v>
      </c>
      <c r="BF69" s="53">
        <v>10.354200000000001</v>
      </c>
      <c r="BG69" s="184">
        <v>1.3875</v>
      </c>
      <c r="BH69" s="184">
        <v>0.52859999999999996</v>
      </c>
      <c r="BI69" s="184">
        <v>0.45839999999999997</v>
      </c>
      <c r="BL69" s="180">
        <v>9980</v>
      </c>
      <c r="BM69" s="53">
        <v>10.4358</v>
      </c>
      <c r="BN69" s="53">
        <v>1.3984000000000001</v>
      </c>
      <c r="BO69" s="53">
        <v>0.53280000000000005</v>
      </c>
      <c r="BP69" s="53">
        <v>0.46200000000000002</v>
      </c>
      <c r="BS69" s="180">
        <v>9980</v>
      </c>
      <c r="BT69" s="53">
        <v>10.545999999999999</v>
      </c>
      <c r="BU69" s="53">
        <v>1.4132</v>
      </c>
      <c r="BV69" s="53">
        <v>0.53839999999999999</v>
      </c>
      <c r="BW69" s="53">
        <v>0.46689999999999998</v>
      </c>
      <c r="BZ69" s="180">
        <v>9980</v>
      </c>
      <c r="CA69" s="53">
        <v>10.581</v>
      </c>
      <c r="CB69" s="53">
        <v>1.4178999999999999</v>
      </c>
      <c r="CC69" s="53">
        <v>0.54020000000000001</v>
      </c>
      <c r="CD69" s="53">
        <v>0.46839999999999998</v>
      </c>
      <c r="CG69" s="180">
        <v>9980</v>
      </c>
      <c r="CH69" s="53">
        <v>10.6092</v>
      </c>
      <c r="CI69" s="53">
        <v>1.4217</v>
      </c>
      <c r="CJ69" s="53">
        <v>0.54169999999999996</v>
      </c>
      <c r="CK69" s="53">
        <v>0.46970000000000001</v>
      </c>
      <c r="CN69" s="170">
        <v>9980</v>
      </c>
      <c r="CO69" s="53">
        <v>10.6752</v>
      </c>
      <c r="CP69" s="53">
        <v>1.4305000000000001</v>
      </c>
      <c r="CQ69" s="53">
        <v>0.54500000000000004</v>
      </c>
      <c r="CR69" s="53">
        <v>0.47260000000000002</v>
      </c>
      <c r="CU69" s="170">
        <v>9980</v>
      </c>
      <c r="CV69" s="53">
        <v>10.6973</v>
      </c>
      <c r="CW69" s="53">
        <v>1.4335</v>
      </c>
      <c r="CX69" s="53">
        <v>0.54620000000000002</v>
      </c>
      <c r="CY69" s="53">
        <v>0.47360000000000002</v>
      </c>
      <c r="DB69" s="170">
        <v>9980</v>
      </c>
      <c r="DC69" s="53">
        <v>10.720499999999999</v>
      </c>
      <c r="DD69" s="53">
        <v>1.4365999999999999</v>
      </c>
      <c r="DE69" s="53">
        <v>0.54730000000000001</v>
      </c>
      <c r="DF69" s="53">
        <v>0.47460000000000002</v>
      </c>
      <c r="DI69" s="170">
        <v>9980</v>
      </c>
      <c r="DJ69" s="53">
        <v>10.7399</v>
      </c>
      <c r="DK69" s="53">
        <v>1.4392</v>
      </c>
      <c r="DL69" s="53">
        <v>0.54830000000000001</v>
      </c>
      <c r="DM69" s="53">
        <v>0.47549999999999998</v>
      </c>
      <c r="DN69" s="231"/>
      <c r="DO69" s="231"/>
      <c r="DP69" s="170">
        <v>9980</v>
      </c>
      <c r="DQ69" s="53">
        <v>10.767099999999999</v>
      </c>
      <c r="DR69" s="53">
        <v>1.4428000000000001</v>
      </c>
      <c r="DS69" s="53">
        <v>0.54969999999999997</v>
      </c>
      <c r="DT69" s="53">
        <v>0.47670000000000001</v>
      </c>
      <c r="DW69" s="170">
        <v>9980</v>
      </c>
      <c r="DX69" s="53">
        <v>10.797700000000001</v>
      </c>
      <c r="DY69" s="53">
        <v>1.4469000000000001</v>
      </c>
      <c r="DZ69" s="53">
        <v>0.55130000000000001</v>
      </c>
      <c r="EA69" s="53">
        <v>0.47799999999999998</v>
      </c>
      <c r="ED69" s="170">
        <v>9980</v>
      </c>
      <c r="EE69" s="53">
        <v>10.8278</v>
      </c>
      <c r="EF69" s="53">
        <v>1.4510000000000001</v>
      </c>
      <c r="EG69" s="53">
        <v>0.55279999999999996</v>
      </c>
      <c r="EH69" s="53">
        <v>0.47939999999999999</v>
      </c>
      <c r="EK69" s="170">
        <v>9980</v>
      </c>
      <c r="EL69" s="53">
        <v>10.885300000000001</v>
      </c>
      <c r="EM69" s="53">
        <v>1.4587000000000001</v>
      </c>
      <c r="EN69" s="53">
        <v>0.55579999999999996</v>
      </c>
      <c r="EO69" s="53">
        <v>0.4819</v>
      </c>
      <c r="ER69" s="170">
        <v>9980</v>
      </c>
      <c r="ES69" s="53">
        <v>10.944100000000001</v>
      </c>
      <c r="ET69" s="53">
        <v>1.4665999999999999</v>
      </c>
      <c r="EU69" s="53">
        <v>0.55879999999999996</v>
      </c>
      <c r="EV69" s="53">
        <v>0.48449999999999999</v>
      </c>
      <c r="EY69" s="170">
        <v>9980</v>
      </c>
      <c r="EZ69" s="53">
        <v>10.961399999999999</v>
      </c>
      <c r="FA69" s="53">
        <v>1.4689000000000001</v>
      </c>
      <c r="FB69" s="53">
        <v>0.55959999999999999</v>
      </c>
      <c r="FC69" s="53">
        <v>0.48530000000000001</v>
      </c>
      <c r="FF69" s="170">
        <v>9980</v>
      </c>
      <c r="FG69" s="53">
        <v>10.988799999999999</v>
      </c>
      <c r="FH69" s="53">
        <v>1.4724999999999999</v>
      </c>
      <c r="FI69" s="53">
        <v>0.56100000000000005</v>
      </c>
      <c r="FJ69" s="53">
        <v>0.48649999999999999</v>
      </c>
      <c r="FM69" s="170">
        <v>9980</v>
      </c>
      <c r="FN69" s="53">
        <v>11.002599999999999</v>
      </c>
      <c r="FO69" s="53">
        <v>1.4743999999999999</v>
      </c>
      <c r="FP69" s="53">
        <v>0.56169999999999998</v>
      </c>
      <c r="FQ69" s="53">
        <v>0.48709999999999998</v>
      </c>
      <c r="FT69" s="170">
        <v>9980</v>
      </c>
      <c r="FU69" s="53">
        <f>VLOOKUP(FT69,Sheet4!A71:F147,3,0)</f>
        <v>11.0342</v>
      </c>
      <c r="FV69" s="53">
        <f>VLOOKUP(FT69,Sheet4!A71:F147,4,0)</f>
        <v>1.4785999999999999</v>
      </c>
      <c r="FW69" s="53">
        <f>VLOOKUP(FT69,Sheet4!A71:F147,5,0)</f>
        <v>0.56340000000000001</v>
      </c>
      <c r="FX69" s="53">
        <f>VLOOKUP(FT69,Sheet4!A71:F147,6,0)</f>
        <v>0.48849999999999999</v>
      </c>
    </row>
    <row r="70" spans="1:180" x14ac:dyDescent="0.25">
      <c r="A70" s="9">
        <v>9981</v>
      </c>
      <c r="B70" s="9">
        <v>10.8324</v>
      </c>
      <c r="C70" s="9">
        <v>1.4516</v>
      </c>
      <c r="D70" s="9">
        <v>0.55310000000000004</v>
      </c>
      <c r="E70" s="9">
        <v>0.47960000000000003</v>
      </c>
      <c r="H70" s="9">
        <v>9981</v>
      </c>
      <c r="I70" s="9">
        <v>11.339600000000001</v>
      </c>
      <c r="J70" s="9">
        <v>1.5196000000000001</v>
      </c>
      <c r="K70" s="9">
        <v>0.57889999999999997</v>
      </c>
      <c r="L70" s="9">
        <v>0.502</v>
      </c>
      <c r="O70" s="148">
        <v>9981</v>
      </c>
      <c r="P70" s="148">
        <v>11.364800000000001</v>
      </c>
      <c r="Q70" s="148">
        <v>1.5228999999999999</v>
      </c>
      <c r="R70" s="148">
        <v>0.58020000000000005</v>
      </c>
      <c r="S70" s="148">
        <v>0.50309999999999999</v>
      </c>
      <c r="V70" s="151">
        <v>9981</v>
      </c>
      <c r="W70" s="151">
        <v>11.427099999999999</v>
      </c>
      <c r="X70" s="151">
        <v>1.5313000000000001</v>
      </c>
      <c r="Y70" s="151">
        <v>0.58340000000000003</v>
      </c>
      <c r="Z70" s="151">
        <v>0.50590000000000002</v>
      </c>
      <c r="AC70" s="155">
        <v>9981</v>
      </c>
      <c r="AD70" s="155">
        <v>11.559100000000001</v>
      </c>
      <c r="AE70" s="155">
        <v>1.5489999999999999</v>
      </c>
      <c r="AF70" s="155">
        <v>0.59019999999999995</v>
      </c>
      <c r="AG70" s="155">
        <v>0.51170000000000004</v>
      </c>
      <c r="AJ70" s="168">
        <v>9981</v>
      </c>
      <c r="AK70" s="169">
        <v>11.726699999999999</v>
      </c>
      <c r="AL70" s="169">
        <v>1.5713999999999999</v>
      </c>
      <c r="AM70" s="169">
        <v>0.59870000000000001</v>
      </c>
      <c r="AN70" s="169">
        <v>0.51919999999999999</v>
      </c>
      <c r="AQ70" s="165">
        <v>9981</v>
      </c>
      <c r="AR70" s="167">
        <v>11.7943</v>
      </c>
      <c r="AS70" s="167">
        <v>1.5805</v>
      </c>
      <c r="AT70" s="167">
        <v>0.60219999999999996</v>
      </c>
      <c r="AU70" s="167">
        <v>0.5222</v>
      </c>
      <c r="AX70" s="165">
        <v>9981</v>
      </c>
      <c r="AY70" s="167">
        <v>11.8384</v>
      </c>
      <c r="AZ70" s="167">
        <v>1.5864</v>
      </c>
      <c r="BA70" s="167">
        <v>0.60440000000000005</v>
      </c>
      <c r="BB70" s="167">
        <v>0.52410000000000001</v>
      </c>
      <c r="BC70" s="3"/>
      <c r="BD70" s="182"/>
      <c r="BE70" s="165">
        <v>9981</v>
      </c>
      <c r="BF70" s="167">
        <v>11.8575</v>
      </c>
      <c r="BG70" s="167">
        <v>1.589</v>
      </c>
      <c r="BH70" s="167">
        <v>0.60540000000000005</v>
      </c>
      <c r="BI70" s="167">
        <v>0.52500000000000002</v>
      </c>
      <c r="BL70" s="165">
        <v>9981</v>
      </c>
      <c r="BM70" s="53">
        <v>11.9579</v>
      </c>
      <c r="BN70" s="53">
        <v>1.6024</v>
      </c>
      <c r="BO70" s="53">
        <v>0.61050000000000004</v>
      </c>
      <c r="BP70" s="53">
        <v>0.52939999999999998</v>
      </c>
      <c r="BS70" s="165">
        <v>9981</v>
      </c>
      <c r="BT70" s="167">
        <v>12.093500000000001</v>
      </c>
      <c r="BU70" s="167">
        <v>1.6206</v>
      </c>
      <c r="BV70" s="167">
        <v>0.61739999999999995</v>
      </c>
      <c r="BW70" s="167">
        <v>0.53539999999999999</v>
      </c>
      <c r="BZ70" s="165">
        <v>9981</v>
      </c>
      <c r="CA70" s="167">
        <v>12.1366</v>
      </c>
      <c r="CB70" s="167">
        <v>1.6264000000000001</v>
      </c>
      <c r="CC70" s="167">
        <v>0.61960000000000004</v>
      </c>
      <c r="CD70" s="167">
        <v>0.5373</v>
      </c>
      <c r="CG70" s="165">
        <v>9981</v>
      </c>
      <c r="CH70" s="167">
        <v>12.1713</v>
      </c>
      <c r="CI70" s="167">
        <v>1.631</v>
      </c>
      <c r="CJ70" s="167">
        <v>0.62139999999999995</v>
      </c>
      <c r="CK70" s="167">
        <v>0.53879999999999995</v>
      </c>
      <c r="CN70" s="168">
        <v>9981</v>
      </c>
      <c r="CO70" s="167">
        <v>12.2525</v>
      </c>
      <c r="CP70" s="167">
        <v>1.6418999999999999</v>
      </c>
      <c r="CQ70" s="167">
        <v>0.62560000000000004</v>
      </c>
      <c r="CR70" s="167">
        <v>0.54239999999999999</v>
      </c>
      <c r="CU70" s="168">
        <v>9981</v>
      </c>
      <c r="CV70" s="167">
        <v>12.2796</v>
      </c>
      <c r="CW70" s="167">
        <v>1.6455</v>
      </c>
      <c r="CX70" s="167">
        <v>0.62690000000000001</v>
      </c>
      <c r="CY70" s="167">
        <v>0.54359999999999997</v>
      </c>
      <c r="DB70" s="168">
        <v>9981</v>
      </c>
      <c r="DC70" s="167">
        <v>12.3081</v>
      </c>
      <c r="DD70" s="167">
        <v>1.6492999999999998</v>
      </c>
      <c r="DE70" s="167">
        <v>0.62839999999999996</v>
      </c>
      <c r="DF70" s="167">
        <v>0.54490000000000005</v>
      </c>
      <c r="DI70" s="168">
        <v>9981</v>
      </c>
      <c r="DJ70" s="167">
        <v>12.332000000000001</v>
      </c>
      <c r="DK70" s="167">
        <v>1.6525000000000001</v>
      </c>
      <c r="DL70" s="167">
        <v>0.62960000000000005</v>
      </c>
      <c r="DM70" s="167">
        <v>0.54600000000000004</v>
      </c>
      <c r="DN70" s="231"/>
      <c r="DO70" s="231"/>
      <c r="DP70" s="168">
        <v>9981</v>
      </c>
      <c r="DQ70" s="167">
        <v>12.365500000000001</v>
      </c>
      <c r="DR70" s="167">
        <v>1.657</v>
      </c>
      <c r="DS70" s="167">
        <v>0.63129999999999997</v>
      </c>
      <c r="DT70" s="167">
        <v>0.5474</v>
      </c>
      <c r="DW70" s="168">
        <v>9981</v>
      </c>
      <c r="DX70" s="167">
        <v>12.4031</v>
      </c>
      <c r="DY70" s="167">
        <v>1.6620999999999999</v>
      </c>
      <c r="DZ70" s="167">
        <v>0.63319999999999999</v>
      </c>
      <c r="EA70" s="167">
        <v>0.54910000000000003</v>
      </c>
      <c r="ED70" s="168">
        <v>9981</v>
      </c>
      <c r="EE70" s="167">
        <v>12.440200000000001</v>
      </c>
      <c r="EF70" s="167">
        <v>1.667</v>
      </c>
      <c r="EG70" s="167">
        <v>0.6351</v>
      </c>
      <c r="EH70" s="167">
        <v>0.55079999999999996</v>
      </c>
      <c r="EK70" s="168">
        <v>9981</v>
      </c>
      <c r="EL70" s="167">
        <v>12.510899999999999</v>
      </c>
      <c r="EM70" s="167">
        <v>1.6765000000000001</v>
      </c>
      <c r="EN70" s="167">
        <v>0.63880000000000003</v>
      </c>
      <c r="EO70" s="167">
        <v>0.55389999999999995</v>
      </c>
      <c r="ER70" s="168">
        <v>9981</v>
      </c>
      <c r="ES70" s="167">
        <v>12.5832</v>
      </c>
      <c r="ET70" s="167">
        <v>1.6861999999999999</v>
      </c>
      <c r="EU70" s="167">
        <v>0.64239999999999997</v>
      </c>
      <c r="EV70" s="167">
        <v>0.55710000000000004</v>
      </c>
      <c r="EY70" s="168">
        <v>9981</v>
      </c>
      <c r="EZ70" s="167">
        <v>12.6045</v>
      </c>
      <c r="FA70" s="167">
        <v>1.6891</v>
      </c>
      <c r="FB70" s="167">
        <v>0.64349999999999996</v>
      </c>
      <c r="FC70" s="167">
        <v>0.55800000000000005</v>
      </c>
      <c r="FF70" s="168">
        <v>9981</v>
      </c>
      <c r="FG70" s="167">
        <v>12.638199999999999</v>
      </c>
      <c r="FH70" s="167">
        <v>1.6936</v>
      </c>
      <c r="FI70" s="167">
        <v>0.6452</v>
      </c>
      <c r="FJ70" s="167">
        <v>0.5595</v>
      </c>
      <c r="FM70" s="168">
        <v>9981</v>
      </c>
      <c r="FN70" s="167">
        <v>12.655099999999999</v>
      </c>
      <c r="FO70" s="167">
        <v>1.6958</v>
      </c>
      <c r="FP70" s="167">
        <v>0.64610000000000001</v>
      </c>
      <c r="FQ70" s="167">
        <v>0.56030000000000002</v>
      </c>
      <c r="FT70" s="168">
        <v>9981</v>
      </c>
      <c r="FU70" s="167">
        <f>VLOOKUP(FT70,Sheet4!A72:F148,3,0)</f>
        <v>12.693899999999999</v>
      </c>
      <c r="FV70" s="167">
        <f>VLOOKUP(FT70,Sheet4!A72:F148,4,0)</f>
        <v>1.7010000000000001</v>
      </c>
      <c r="FW70" s="167">
        <f>VLOOKUP(FT70,Sheet4!A72:F148,5,0)</f>
        <v>0.64810000000000001</v>
      </c>
      <c r="FX70" s="167">
        <f>VLOOKUP(FT70,Sheet4!A72:F148,6,0)</f>
        <v>0.56200000000000006</v>
      </c>
    </row>
    <row r="71" spans="1:180" x14ac:dyDescent="0.25">
      <c r="A71" s="9">
        <v>9982</v>
      </c>
      <c r="B71" s="9">
        <v>9.5559999999999992</v>
      </c>
      <c r="C71" s="9">
        <v>1.2805</v>
      </c>
      <c r="D71" s="9">
        <v>0.4879</v>
      </c>
      <c r="E71" s="9">
        <v>0.42309999999999998</v>
      </c>
      <c r="H71" s="9">
        <v>9982</v>
      </c>
      <c r="I71" s="9">
        <v>9.9682999999999993</v>
      </c>
      <c r="J71" s="9">
        <v>1.3358000000000001</v>
      </c>
      <c r="K71" s="9">
        <v>0.50890000000000002</v>
      </c>
      <c r="L71" s="9">
        <v>0.44130000000000003</v>
      </c>
      <c r="O71" s="154">
        <v>9982</v>
      </c>
      <c r="P71" s="154">
        <v>9.9887999999999995</v>
      </c>
      <c r="Q71" s="154">
        <v>1.3385</v>
      </c>
      <c r="R71" s="154">
        <v>0.51</v>
      </c>
      <c r="S71" s="154">
        <v>0.44219999999999998</v>
      </c>
      <c r="V71" s="151">
        <v>9982</v>
      </c>
      <c r="W71" s="151">
        <v>10.0395</v>
      </c>
      <c r="X71" s="151">
        <v>1.3452999999999999</v>
      </c>
      <c r="Y71" s="151">
        <v>0.51259999999999994</v>
      </c>
      <c r="Z71" s="151">
        <v>0.44450000000000001</v>
      </c>
      <c r="AC71" s="155">
        <v>9982</v>
      </c>
      <c r="AD71" s="155">
        <v>10.146800000000001</v>
      </c>
      <c r="AE71" s="155">
        <v>1.3596999999999999</v>
      </c>
      <c r="AF71" s="155">
        <v>0.51800000000000002</v>
      </c>
      <c r="AG71" s="155">
        <v>0.44919999999999999</v>
      </c>
      <c r="AJ71" s="160">
        <v>9982</v>
      </c>
      <c r="AK71" s="6">
        <v>10.282999999999999</v>
      </c>
      <c r="AL71" s="6">
        <v>1.3779999999999999</v>
      </c>
      <c r="AM71" s="6">
        <v>0.52500000000000002</v>
      </c>
      <c r="AN71" s="6">
        <v>0.45529999999999998</v>
      </c>
      <c r="AQ71" s="129">
        <v>9982</v>
      </c>
      <c r="AR71" s="53">
        <v>10.337999999999999</v>
      </c>
      <c r="AS71" s="53">
        <v>1.3853</v>
      </c>
      <c r="AT71" s="53">
        <v>0.52780000000000005</v>
      </c>
      <c r="AU71" s="53">
        <v>0.4577</v>
      </c>
      <c r="AX71" s="129">
        <v>9982</v>
      </c>
      <c r="AY71" s="53">
        <v>10.373799999999999</v>
      </c>
      <c r="AZ71" s="53">
        <v>1.3900999999999999</v>
      </c>
      <c r="BA71" s="53">
        <v>0.52959999999999996</v>
      </c>
      <c r="BB71" s="53">
        <v>0.45929999999999999</v>
      </c>
      <c r="BC71" s="3"/>
      <c r="BD71" s="182"/>
      <c r="BE71" s="129">
        <v>9982</v>
      </c>
      <c r="BF71" s="53">
        <v>10.3893</v>
      </c>
      <c r="BG71" s="53">
        <v>1.3922000000000001</v>
      </c>
      <c r="BH71" s="53">
        <v>0.53039999999999998</v>
      </c>
      <c r="BI71" s="53">
        <v>0.46</v>
      </c>
      <c r="BL71" s="129">
        <v>9982</v>
      </c>
      <c r="BM71" s="53">
        <v>10.4709</v>
      </c>
      <c r="BN71" s="53">
        <v>1.4031</v>
      </c>
      <c r="BO71" s="53">
        <v>0.53459999999999996</v>
      </c>
      <c r="BP71" s="53">
        <v>0.46360000000000001</v>
      </c>
      <c r="BS71" s="129">
        <v>9982</v>
      </c>
      <c r="BT71" s="53">
        <v>10.581099999999999</v>
      </c>
      <c r="BU71" s="53">
        <v>1.4178999999999999</v>
      </c>
      <c r="BV71" s="53">
        <v>0.54020000000000001</v>
      </c>
      <c r="BW71" s="53">
        <v>0.46839999999999998</v>
      </c>
      <c r="BZ71" s="129">
        <v>9982</v>
      </c>
      <c r="CA71" s="53">
        <v>10.616099999999999</v>
      </c>
      <c r="CB71" s="53">
        <v>1.4226000000000001</v>
      </c>
      <c r="CC71" s="53">
        <v>0.54200000000000004</v>
      </c>
      <c r="CD71" s="53">
        <v>0.47</v>
      </c>
      <c r="CG71" s="129">
        <v>9982</v>
      </c>
      <c r="CH71" s="53">
        <v>10.644299999999999</v>
      </c>
      <c r="CI71" s="53">
        <v>1.4263999999999999</v>
      </c>
      <c r="CJ71" s="53">
        <v>0.54339999999999999</v>
      </c>
      <c r="CK71" s="53">
        <v>0.47120000000000001</v>
      </c>
      <c r="CN71" s="207">
        <v>9982</v>
      </c>
      <c r="CO71" s="53">
        <v>10.7103</v>
      </c>
      <c r="CP71" s="53">
        <v>1.4352</v>
      </c>
      <c r="CQ71" s="53">
        <v>0.54679999999999995</v>
      </c>
      <c r="CR71" s="53">
        <v>0.47420000000000001</v>
      </c>
      <c r="CU71" s="215">
        <v>9982</v>
      </c>
      <c r="CV71" s="53">
        <v>10.7324</v>
      </c>
      <c r="CW71" s="53">
        <v>1.4381999999999999</v>
      </c>
      <c r="CX71" s="53">
        <v>0.54790000000000005</v>
      </c>
      <c r="CY71" s="53">
        <v>0.47510000000000002</v>
      </c>
      <c r="DB71" s="217">
        <v>9982</v>
      </c>
      <c r="DC71" s="53">
        <v>10.755599999999999</v>
      </c>
      <c r="DD71" s="53">
        <v>1.4413</v>
      </c>
      <c r="DE71" s="53">
        <v>0.54910000000000003</v>
      </c>
      <c r="DF71" s="53">
        <v>0.47620000000000001</v>
      </c>
      <c r="DI71" s="222">
        <v>9982</v>
      </c>
      <c r="DJ71" s="53">
        <v>10.775</v>
      </c>
      <c r="DK71" s="53">
        <v>1.4439</v>
      </c>
      <c r="DL71" s="53">
        <v>0.55010000000000003</v>
      </c>
      <c r="DM71" s="53">
        <v>0.47699999999999998</v>
      </c>
      <c r="DN71" s="231"/>
      <c r="DO71" s="231"/>
      <c r="DP71" s="227">
        <v>9982</v>
      </c>
      <c r="DQ71" s="53">
        <v>10.802199999999999</v>
      </c>
      <c r="DR71" s="53">
        <v>1.4475</v>
      </c>
      <c r="DS71" s="53">
        <v>0.55149999999999999</v>
      </c>
      <c r="DT71" s="53">
        <v>0.47820000000000001</v>
      </c>
      <c r="DW71" s="235">
        <v>9982</v>
      </c>
      <c r="DX71" s="53">
        <v>10.832800000000001</v>
      </c>
      <c r="DY71" s="53">
        <v>1.4516</v>
      </c>
      <c r="DZ71" s="53">
        <v>0.55310000000000004</v>
      </c>
      <c r="EA71" s="53">
        <v>0.47960000000000003</v>
      </c>
      <c r="ED71" s="237">
        <v>9982</v>
      </c>
      <c r="EE71" s="53">
        <v>10.8629</v>
      </c>
      <c r="EF71" s="53">
        <v>1.4557</v>
      </c>
      <c r="EG71" s="53">
        <v>0.55459999999999998</v>
      </c>
      <c r="EH71" s="53">
        <v>0.48089999999999999</v>
      </c>
      <c r="EK71" s="239">
        <v>9982</v>
      </c>
      <c r="EL71" s="53">
        <v>10.920400000000001</v>
      </c>
      <c r="EM71" s="53">
        <v>1.4634</v>
      </c>
      <c r="EN71" s="53">
        <v>0.5575</v>
      </c>
      <c r="EO71" s="53">
        <v>0.48349999999999999</v>
      </c>
      <c r="ER71" s="243">
        <v>9982</v>
      </c>
      <c r="ES71" s="53">
        <v>10.979200000000001</v>
      </c>
      <c r="ET71" s="53">
        <v>1.4713000000000001</v>
      </c>
      <c r="EU71" s="53">
        <v>0.5605</v>
      </c>
      <c r="EV71" s="53">
        <v>0.48609999999999998</v>
      </c>
      <c r="EY71" s="245">
        <v>9982</v>
      </c>
      <c r="EZ71" s="53">
        <v>10.996499999999999</v>
      </c>
      <c r="FA71" s="53">
        <v>1.4736</v>
      </c>
      <c r="FB71" s="53">
        <v>0.56140000000000001</v>
      </c>
      <c r="FC71" s="53">
        <v>0.48680000000000001</v>
      </c>
      <c r="FF71" s="249">
        <v>9982</v>
      </c>
      <c r="FG71" s="53">
        <v>11.023899999999999</v>
      </c>
      <c r="FH71" s="53">
        <v>1.4772000000000001</v>
      </c>
      <c r="FI71" s="53">
        <v>0.56279999999999997</v>
      </c>
      <c r="FJ71" s="53">
        <v>0.48809999999999998</v>
      </c>
      <c r="FM71" s="252">
        <v>9982</v>
      </c>
      <c r="FN71" s="53">
        <v>11.037699999999999</v>
      </c>
      <c r="FO71" s="53">
        <v>1.4791000000000001</v>
      </c>
      <c r="FP71" s="53">
        <v>0.5635</v>
      </c>
      <c r="FQ71" s="53">
        <v>0.48870000000000002</v>
      </c>
      <c r="FT71" s="254">
        <v>9982</v>
      </c>
      <c r="FU71" s="53">
        <f>VLOOKUP(FT71,Sheet4!A73:F149,3,0)</f>
        <v>11.0693</v>
      </c>
      <c r="FV71" s="53">
        <f>VLOOKUP(FT71,Sheet4!A73:F149,4,0)</f>
        <v>1.4833000000000001</v>
      </c>
      <c r="FW71" s="53">
        <f>VLOOKUP(FT71,Sheet4!A73:F149,5,0)</f>
        <v>0.56510000000000005</v>
      </c>
      <c r="FX71" s="53">
        <f>VLOOKUP(FT71,Sheet4!A73:F149,6,0)</f>
        <v>0.49009999999999998</v>
      </c>
    </row>
    <row r="72" spans="1:180" x14ac:dyDescent="0.25">
      <c r="A72" s="9">
        <v>9983</v>
      </c>
      <c r="B72" s="9">
        <v>11.142099999999999</v>
      </c>
      <c r="C72" s="9">
        <v>1.4931000000000001</v>
      </c>
      <c r="D72" s="9">
        <v>0.56889999999999996</v>
      </c>
      <c r="E72" s="9">
        <v>0.49330000000000002</v>
      </c>
      <c r="H72" s="9">
        <v>9983</v>
      </c>
      <c r="I72" s="9">
        <v>11.6493</v>
      </c>
      <c r="J72" s="9">
        <v>1.5610999999999999</v>
      </c>
      <c r="K72" s="9">
        <v>0.5948</v>
      </c>
      <c r="L72" s="9">
        <v>0.51570000000000005</v>
      </c>
      <c r="O72" s="148">
        <v>9983</v>
      </c>
      <c r="P72" s="148">
        <v>11.6745</v>
      </c>
      <c r="Q72" s="148">
        <v>1.5644</v>
      </c>
      <c r="R72" s="148">
        <v>0.59599999999999997</v>
      </c>
      <c r="S72" s="148">
        <v>0.51690000000000003</v>
      </c>
      <c r="V72" s="151">
        <v>9983</v>
      </c>
      <c r="W72" s="151">
        <v>11.736800000000001</v>
      </c>
      <c r="X72" s="151">
        <v>1.5728</v>
      </c>
      <c r="Y72" s="151">
        <v>0.59919999999999995</v>
      </c>
      <c r="Z72" s="151">
        <v>0.51959999999999995</v>
      </c>
      <c r="AC72" s="155">
        <v>9983</v>
      </c>
      <c r="AD72" s="155">
        <v>11.8688</v>
      </c>
      <c r="AE72" s="155">
        <v>1.5905</v>
      </c>
      <c r="AF72" s="155">
        <v>0.60599999999999998</v>
      </c>
      <c r="AG72" s="155">
        <v>0.52549999999999997</v>
      </c>
      <c r="AJ72" s="168">
        <v>9983</v>
      </c>
      <c r="AK72" s="169">
        <v>12.0364</v>
      </c>
      <c r="AL72" s="169">
        <v>1.6129</v>
      </c>
      <c r="AM72" s="169">
        <v>0.61450000000000005</v>
      </c>
      <c r="AN72" s="169">
        <v>0.53290000000000004</v>
      </c>
      <c r="AQ72" s="165">
        <v>9983</v>
      </c>
      <c r="AR72" s="167">
        <v>12.103999999999999</v>
      </c>
      <c r="AS72" s="167">
        <v>1.6220000000000001</v>
      </c>
      <c r="AT72" s="167">
        <v>0.61799999999999999</v>
      </c>
      <c r="AU72" s="167">
        <v>0.53590000000000004</v>
      </c>
      <c r="AX72" s="165">
        <v>9983</v>
      </c>
      <c r="AY72" s="167">
        <v>12.148099999999999</v>
      </c>
      <c r="AZ72" s="167">
        <v>1.6278999999999999</v>
      </c>
      <c r="BA72" s="167">
        <v>0.62019999999999997</v>
      </c>
      <c r="BB72" s="167">
        <v>0.53779999999999994</v>
      </c>
      <c r="BC72" s="3"/>
      <c r="BD72" s="182"/>
      <c r="BE72" s="165">
        <v>9983</v>
      </c>
      <c r="BF72" s="167">
        <v>12.167199999999999</v>
      </c>
      <c r="BG72" s="167">
        <v>1.6305000000000001</v>
      </c>
      <c r="BH72" s="167">
        <v>0.62119999999999997</v>
      </c>
      <c r="BI72" s="167">
        <v>0.53869999999999996</v>
      </c>
      <c r="BL72" s="165">
        <v>9983</v>
      </c>
      <c r="BM72" s="53">
        <v>12.2676</v>
      </c>
      <c r="BN72" s="53">
        <v>1.6438999999999999</v>
      </c>
      <c r="BO72" s="53">
        <v>0.62629999999999997</v>
      </c>
      <c r="BP72" s="53">
        <v>0.54310000000000003</v>
      </c>
      <c r="BS72" s="165">
        <v>9983</v>
      </c>
      <c r="BT72" s="167">
        <v>12.4032</v>
      </c>
      <c r="BU72" s="167">
        <v>1.6620999999999999</v>
      </c>
      <c r="BV72" s="167">
        <v>0.63329999999999997</v>
      </c>
      <c r="BW72" s="167">
        <v>0.54910000000000003</v>
      </c>
      <c r="BZ72" s="165">
        <v>9983</v>
      </c>
      <c r="CA72" s="167">
        <v>12.446300000000001</v>
      </c>
      <c r="CB72" s="167">
        <v>1.6678999999999999</v>
      </c>
      <c r="CC72" s="167">
        <v>0.63549999999999995</v>
      </c>
      <c r="CD72" s="167">
        <v>0.55100000000000005</v>
      </c>
      <c r="CG72" s="165">
        <v>9983</v>
      </c>
      <c r="CH72" s="167">
        <v>12.481</v>
      </c>
      <c r="CI72" s="167">
        <v>1.6725000000000001</v>
      </c>
      <c r="CJ72" s="167">
        <v>0.63719999999999999</v>
      </c>
      <c r="CK72" s="167">
        <v>0.55259999999999998</v>
      </c>
      <c r="CN72" s="168">
        <v>9983</v>
      </c>
      <c r="CO72" s="167">
        <v>12.562200000000001</v>
      </c>
      <c r="CP72" s="167">
        <v>1.6834</v>
      </c>
      <c r="CQ72" s="167">
        <v>0.64139999999999997</v>
      </c>
      <c r="CR72" s="167">
        <v>0.55620000000000003</v>
      </c>
      <c r="CU72" s="168">
        <v>9983</v>
      </c>
      <c r="CV72" s="167">
        <v>12.5893</v>
      </c>
      <c r="CW72" s="167">
        <v>1.6870000000000001</v>
      </c>
      <c r="CX72" s="167">
        <v>0.64280000000000004</v>
      </c>
      <c r="CY72" s="167">
        <v>0.55740000000000001</v>
      </c>
      <c r="DB72" s="168">
        <v>9983</v>
      </c>
      <c r="DC72" s="167">
        <v>12.617799999999999</v>
      </c>
      <c r="DD72" s="167">
        <v>1.6908000000000001</v>
      </c>
      <c r="DE72" s="167">
        <v>0.64419999999999999</v>
      </c>
      <c r="DF72" s="167">
        <v>0.55859999999999999</v>
      </c>
      <c r="DI72" s="168">
        <v>9983</v>
      </c>
      <c r="DJ72" s="167">
        <v>12.6417</v>
      </c>
      <c r="DK72" s="167">
        <v>1.694</v>
      </c>
      <c r="DL72" s="167">
        <v>0.64539999999999997</v>
      </c>
      <c r="DM72" s="167">
        <v>0.55969999999999998</v>
      </c>
      <c r="DN72" s="231"/>
      <c r="DO72" s="231"/>
      <c r="DP72" s="168">
        <v>9983</v>
      </c>
      <c r="DQ72" s="167">
        <v>12.6752</v>
      </c>
      <c r="DR72" s="167">
        <v>1.6984999999999999</v>
      </c>
      <c r="DS72" s="167">
        <v>0.64710000000000001</v>
      </c>
      <c r="DT72" s="167">
        <v>0.56120000000000003</v>
      </c>
      <c r="DW72" s="168">
        <v>9983</v>
      </c>
      <c r="DX72" s="167">
        <v>12.7128</v>
      </c>
      <c r="DY72" s="167">
        <v>1.7036</v>
      </c>
      <c r="DZ72" s="167">
        <v>0.64910000000000001</v>
      </c>
      <c r="EA72" s="167">
        <v>0.56279999999999997</v>
      </c>
      <c r="ED72" s="168">
        <v>9983</v>
      </c>
      <c r="EE72" s="167">
        <v>12.7499</v>
      </c>
      <c r="EF72" s="167">
        <v>1.7084999999999999</v>
      </c>
      <c r="EG72" s="167">
        <v>0.65100000000000002</v>
      </c>
      <c r="EH72" s="167">
        <v>0.5645</v>
      </c>
      <c r="EK72" s="168">
        <v>9983</v>
      </c>
      <c r="EL72" s="167">
        <v>12.820600000000001</v>
      </c>
      <c r="EM72" s="167">
        <v>1.718</v>
      </c>
      <c r="EN72" s="167">
        <v>0.65459999999999996</v>
      </c>
      <c r="EO72" s="167">
        <v>0.56759999999999999</v>
      </c>
      <c r="ER72" s="168">
        <v>9983</v>
      </c>
      <c r="ES72" s="167">
        <v>12.892899999999999</v>
      </c>
      <c r="ET72" s="167">
        <v>1.7277</v>
      </c>
      <c r="EU72" s="167">
        <v>0.6583</v>
      </c>
      <c r="EV72" s="167">
        <v>0.57079999999999997</v>
      </c>
      <c r="EY72" s="168">
        <v>9983</v>
      </c>
      <c r="EZ72" s="167">
        <v>12.914199999999999</v>
      </c>
      <c r="FA72" s="167">
        <v>1.7305999999999999</v>
      </c>
      <c r="FB72" s="167">
        <v>0.6593</v>
      </c>
      <c r="FC72" s="167">
        <v>0.57169999999999999</v>
      </c>
      <c r="FF72" s="168">
        <v>9983</v>
      </c>
      <c r="FG72" s="167">
        <v>12.947900000000001</v>
      </c>
      <c r="FH72" s="167">
        <v>1.7351000000000001</v>
      </c>
      <c r="FI72" s="167">
        <v>0.66110000000000002</v>
      </c>
      <c r="FJ72" s="167">
        <v>0.57320000000000004</v>
      </c>
      <c r="FM72" s="168">
        <v>9983</v>
      </c>
      <c r="FN72" s="167">
        <v>12.9648</v>
      </c>
      <c r="FO72" s="167">
        <v>1.7373000000000001</v>
      </c>
      <c r="FP72" s="167">
        <v>0.66190000000000004</v>
      </c>
      <c r="FQ72" s="167">
        <v>0.57399999999999995</v>
      </c>
      <c r="FT72" s="168">
        <v>9983</v>
      </c>
      <c r="FU72" s="167">
        <f>VLOOKUP(FT72,Sheet4!A74:F150,3,0)</f>
        <v>13.0036</v>
      </c>
      <c r="FV72" s="167">
        <f>VLOOKUP(FT72,Sheet4!A74:F150,4,0)</f>
        <v>1.7424999999999999</v>
      </c>
      <c r="FW72" s="167">
        <f>VLOOKUP(FT72,Sheet4!A74:F150,5,0)</f>
        <v>0.66390000000000005</v>
      </c>
      <c r="FX72" s="167">
        <f>VLOOKUP(FT72,Sheet4!A74:F150,6,0)</f>
        <v>0.57569999999999999</v>
      </c>
    </row>
    <row r="73" spans="1:180" x14ac:dyDescent="0.25">
      <c r="A73" s="9">
        <v>9984</v>
      </c>
      <c r="B73" s="9">
        <v>9.5559999999999992</v>
      </c>
      <c r="C73" s="9">
        <v>1.2805</v>
      </c>
      <c r="D73" s="9">
        <v>0.4879</v>
      </c>
      <c r="E73" s="9">
        <v>0.42309999999999998</v>
      </c>
      <c r="H73" s="9">
        <v>9984</v>
      </c>
      <c r="I73" s="9">
        <v>9.9682999999999993</v>
      </c>
      <c r="J73" s="9">
        <v>1.3358000000000001</v>
      </c>
      <c r="K73" s="9">
        <v>0.50890000000000002</v>
      </c>
      <c r="L73" s="9">
        <v>0.44130000000000003</v>
      </c>
      <c r="O73" s="154">
        <v>9984</v>
      </c>
      <c r="P73" s="154">
        <v>9.9887999999999995</v>
      </c>
      <c r="Q73" s="154">
        <v>1.3385</v>
      </c>
      <c r="R73" s="154">
        <v>0.51</v>
      </c>
      <c r="S73" s="154">
        <v>0.44219999999999998</v>
      </c>
      <c r="V73" s="151">
        <v>9984</v>
      </c>
      <c r="W73" s="151">
        <v>10.0395</v>
      </c>
      <c r="X73" s="151">
        <v>1.3452999999999999</v>
      </c>
      <c r="Y73" s="151">
        <v>0.51259999999999994</v>
      </c>
      <c r="Z73" s="151">
        <v>0.44450000000000001</v>
      </c>
      <c r="AC73" s="155">
        <v>9984</v>
      </c>
      <c r="AD73" s="155">
        <v>10.146800000000001</v>
      </c>
      <c r="AE73" s="155">
        <v>1.3596999999999999</v>
      </c>
      <c r="AF73" s="155">
        <v>0.51800000000000002</v>
      </c>
      <c r="AG73" s="155">
        <v>0.44919999999999999</v>
      </c>
      <c r="AJ73" s="160">
        <v>9984</v>
      </c>
      <c r="AK73" s="6">
        <v>10.282999999999999</v>
      </c>
      <c r="AL73" s="6">
        <v>1.3779999999999999</v>
      </c>
      <c r="AM73" s="6">
        <v>0.52500000000000002</v>
      </c>
      <c r="AN73" s="6">
        <v>0.45529999999999998</v>
      </c>
      <c r="AQ73" s="129">
        <v>9984</v>
      </c>
      <c r="AR73" s="53">
        <v>10.337999999999999</v>
      </c>
      <c r="AS73" s="53">
        <v>1.3853</v>
      </c>
      <c r="AT73" s="53">
        <v>0.52780000000000005</v>
      </c>
      <c r="AU73" s="53">
        <v>0.4577</v>
      </c>
      <c r="AX73" s="129">
        <v>9984</v>
      </c>
      <c r="AY73" s="53">
        <v>10.373799999999999</v>
      </c>
      <c r="AZ73" s="53">
        <v>1.3900999999999999</v>
      </c>
      <c r="BA73" s="53">
        <v>0.52959999999999996</v>
      </c>
      <c r="BB73" s="53">
        <v>0.45929999999999999</v>
      </c>
      <c r="BC73" s="3"/>
      <c r="BD73" s="182"/>
      <c r="BE73" s="129">
        <v>9984</v>
      </c>
      <c r="BF73" s="53">
        <v>10.3893</v>
      </c>
      <c r="BG73" s="53">
        <v>1.3922000000000001</v>
      </c>
      <c r="BH73" s="53">
        <v>0.53039999999999998</v>
      </c>
      <c r="BI73" s="53">
        <v>0.46</v>
      </c>
      <c r="BL73" s="129">
        <v>9984</v>
      </c>
      <c r="BM73" s="53">
        <v>10.4709</v>
      </c>
      <c r="BN73" s="53">
        <v>1.4031</v>
      </c>
      <c r="BO73" s="53">
        <v>0.53459999999999996</v>
      </c>
      <c r="BP73" s="53">
        <v>0.46360000000000001</v>
      </c>
      <c r="BS73" s="129">
        <v>9984</v>
      </c>
      <c r="BT73" s="53">
        <v>10.581099999999999</v>
      </c>
      <c r="BU73" s="53">
        <v>1.4178999999999999</v>
      </c>
      <c r="BV73" s="53">
        <v>0.54020000000000001</v>
      </c>
      <c r="BW73" s="53">
        <v>0.46839999999999998</v>
      </c>
      <c r="BZ73" s="129">
        <v>9984</v>
      </c>
      <c r="CA73" s="53">
        <v>10.616099999999999</v>
      </c>
      <c r="CB73" s="53">
        <v>1.4226000000000001</v>
      </c>
      <c r="CC73" s="53">
        <v>0.54200000000000004</v>
      </c>
      <c r="CD73" s="53">
        <v>0.47</v>
      </c>
      <c r="CG73" s="129">
        <v>9984</v>
      </c>
      <c r="CH73" s="53">
        <v>10.644299999999999</v>
      </c>
      <c r="CI73" s="53">
        <v>1.4263999999999999</v>
      </c>
      <c r="CJ73" s="53">
        <v>0.54339999999999999</v>
      </c>
      <c r="CK73" s="53">
        <v>0.47120000000000001</v>
      </c>
      <c r="CN73" s="207">
        <v>9984</v>
      </c>
      <c r="CO73" s="53">
        <v>10.7103</v>
      </c>
      <c r="CP73" s="53">
        <v>1.4352</v>
      </c>
      <c r="CQ73" s="53">
        <v>0.54679999999999995</v>
      </c>
      <c r="CR73" s="53">
        <v>0.47420000000000001</v>
      </c>
      <c r="CU73" s="215">
        <v>9984</v>
      </c>
      <c r="CV73" s="53">
        <v>10.7324</v>
      </c>
      <c r="CW73" s="53">
        <v>1.4381999999999999</v>
      </c>
      <c r="CX73" s="53">
        <v>0.54790000000000005</v>
      </c>
      <c r="CY73" s="53">
        <v>0.47510000000000002</v>
      </c>
      <c r="DB73" s="217">
        <v>9984</v>
      </c>
      <c r="DC73" s="53">
        <v>10.755599999999999</v>
      </c>
      <c r="DD73" s="53">
        <v>1.4413</v>
      </c>
      <c r="DE73" s="53">
        <v>0.54910000000000003</v>
      </c>
      <c r="DF73" s="53">
        <v>0.47620000000000001</v>
      </c>
      <c r="DI73" s="222">
        <v>9984</v>
      </c>
      <c r="DJ73" s="53">
        <v>10.775</v>
      </c>
      <c r="DK73" s="53">
        <v>1.4439</v>
      </c>
      <c r="DL73" s="53">
        <v>0.55010000000000003</v>
      </c>
      <c r="DM73" s="53">
        <v>0.47699999999999998</v>
      </c>
      <c r="DN73" s="231"/>
      <c r="DO73" s="231"/>
      <c r="DP73" s="227">
        <v>9984</v>
      </c>
      <c r="DQ73" s="53">
        <v>10.802199999999999</v>
      </c>
      <c r="DR73" s="53">
        <v>1.4475</v>
      </c>
      <c r="DS73" s="53">
        <v>0.55149999999999999</v>
      </c>
      <c r="DT73" s="53">
        <v>0.47820000000000001</v>
      </c>
      <c r="DW73" s="235">
        <v>9984</v>
      </c>
      <c r="DX73" s="53">
        <v>10.832800000000001</v>
      </c>
      <c r="DY73" s="53">
        <v>1.4516</v>
      </c>
      <c r="DZ73" s="53">
        <v>0.55310000000000004</v>
      </c>
      <c r="EA73" s="53">
        <v>0.47960000000000003</v>
      </c>
      <c r="ED73" s="237">
        <v>9984</v>
      </c>
      <c r="EE73" s="53">
        <v>10.8629</v>
      </c>
      <c r="EF73" s="53">
        <v>1.4557</v>
      </c>
      <c r="EG73" s="53">
        <v>0.55459999999999998</v>
      </c>
      <c r="EH73" s="53">
        <v>0.48089999999999999</v>
      </c>
      <c r="EK73" s="239">
        <v>9984</v>
      </c>
      <c r="EL73" s="53">
        <v>10.920400000000001</v>
      </c>
      <c r="EM73" s="53">
        <v>1.4634</v>
      </c>
      <c r="EN73" s="53">
        <v>0.5575</v>
      </c>
      <c r="EO73" s="53">
        <v>0.48349999999999999</v>
      </c>
      <c r="ER73" s="243">
        <v>9984</v>
      </c>
      <c r="ES73" s="53">
        <v>10.979200000000001</v>
      </c>
      <c r="ET73" s="53">
        <v>1.4713000000000001</v>
      </c>
      <c r="EU73" s="53">
        <v>0.5605</v>
      </c>
      <c r="EV73" s="53">
        <v>0.48609999999999998</v>
      </c>
      <c r="EY73" s="245">
        <v>9984</v>
      </c>
      <c r="EZ73" s="53">
        <v>10.996499999999999</v>
      </c>
      <c r="FA73" s="53">
        <v>1.4736</v>
      </c>
      <c r="FB73" s="53">
        <v>0.56140000000000001</v>
      </c>
      <c r="FC73" s="53">
        <v>0.48680000000000001</v>
      </c>
      <c r="FF73" s="249">
        <v>9984</v>
      </c>
      <c r="FG73" s="53">
        <v>11.023899999999999</v>
      </c>
      <c r="FH73" s="53">
        <v>1.4772000000000001</v>
      </c>
      <c r="FI73" s="53">
        <v>0.56279999999999997</v>
      </c>
      <c r="FJ73" s="53">
        <v>0.48809999999999998</v>
      </c>
      <c r="FM73" s="252">
        <v>9984</v>
      </c>
      <c r="FN73" s="53">
        <v>11.037699999999999</v>
      </c>
      <c r="FO73" s="53">
        <v>1.4791000000000001</v>
      </c>
      <c r="FP73" s="53">
        <v>0.5635</v>
      </c>
      <c r="FQ73" s="53">
        <v>0.48870000000000002</v>
      </c>
      <c r="FT73" s="254">
        <v>9984</v>
      </c>
      <c r="FU73" s="53">
        <f>VLOOKUP(FT73,Sheet4!A75:F151,3,0)</f>
        <v>11.0693</v>
      </c>
      <c r="FV73" s="53">
        <f>VLOOKUP(FT73,Sheet4!A75:F151,4,0)</f>
        <v>1.4833000000000001</v>
      </c>
      <c r="FW73" s="53">
        <f>VLOOKUP(FT73,Sheet4!A75:F151,5,0)</f>
        <v>0.56510000000000005</v>
      </c>
      <c r="FX73" s="53">
        <f>VLOOKUP(FT73,Sheet4!A75:F151,6,0)</f>
        <v>0.49009999999999998</v>
      </c>
    </row>
    <row r="74" spans="1:180" x14ac:dyDescent="0.25">
      <c r="A74" s="9">
        <v>9985</v>
      </c>
      <c r="B74" s="9">
        <v>9.7426999999999992</v>
      </c>
      <c r="C74" s="9">
        <v>1.3056000000000001</v>
      </c>
      <c r="D74" s="9">
        <v>0.49740000000000001</v>
      </c>
      <c r="E74" s="9">
        <v>0.43130000000000002</v>
      </c>
      <c r="H74" s="9">
        <v>9985</v>
      </c>
      <c r="I74" s="9">
        <v>10.154999999999999</v>
      </c>
      <c r="J74" s="9">
        <v>1.3608</v>
      </c>
      <c r="K74" s="9">
        <v>0.51849999999999996</v>
      </c>
      <c r="L74" s="9">
        <v>0.4496</v>
      </c>
      <c r="O74" s="148">
        <v>9985</v>
      </c>
      <c r="P74" s="148">
        <v>10.1755</v>
      </c>
      <c r="Q74" s="148">
        <v>1.3635999999999999</v>
      </c>
      <c r="R74" s="148">
        <v>0.51949999999999996</v>
      </c>
      <c r="S74" s="148">
        <v>0.45050000000000001</v>
      </c>
      <c r="V74" s="151">
        <v>9985</v>
      </c>
      <c r="W74" s="151">
        <v>10.2262</v>
      </c>
      <c r="X74" s="151">
        <v>1.3704000000000001</v>
      </c>
      <c r="Y74" s="151">
        <v>0.52210000000000001</v>
      </c>
      <c r="Z74" s="151">
        <v>0.45269999999999999</v>
      </c>
      <c r="AC74" s="155">
        <v>9985</v>
      </c>
      <c r="AD74" s="155">
        <v>10.333500000000001</v>
      </c>
      <c r="AE74" s="155">
        <v>1.3847</v>
      </c>
      <c r="AF74" s="155">
        <v>0.52759999999999996</v>
      </c>
      <c r="AG74" s="155">
        <v>0.45750000000000002</v>
      </c>
      <c r="AJ74" s="168">
        <v>9985</v>
      </c>
      <c r="AK74" s="169">
        <v>10.4697</v>
      </c>
      <c r="AL74" s="169">
        <v>1.403</v>
      </c>
      <c r="AM74" s="169">
        <v>0.53449999999999998</v>
      </c>
      <c r="AN74" s="169">
        <v>0.46350000000000002</v>
      </c>
      <c r="AQ74" s="165">
        <v>9985</v>
      </c>
      <c r="AR74" s="167">
        <v>10.524699999999999</v>
      </c>
      <c r="AS74" s="167">
        <v>1.4104000000000001</v>
      </c>
      <c r="AT74" s="167">
        <v>0.5373</v>
      </c>
      <c r="AU74" s="167">
        <v>0.46600000000000003</v>
      </c>
      <c r="AX74" s="165">
        <v>9985</v>
      </c>
      <c r="AY74" s="167">
        <v>10.560499999999999</v>
      </c>
      <c r="AZ74" s="167">
        <v>1.4151</v>
      </c>
      <c r="BA74" s="167">
        <v>0.53920000000000001</v>
      </c>
      <c r="BB74" s="167">
        <v>0.46750000000000003</v>
      </c>
      <c r="BC74" s="3"/>
      <c r="BD74" s="182"/>
      <c r="BE74" s="165">
        <v>9985</v>
      </c>
      <c r="BF74" s="167">
        <v>10.576000000000001</v>
      </c>
      <c r="BG74" s="167">
        <v>1.4172</v>
      </c>
      <c r="BH74" s="167">
        <v>0.54</v>
      </c>
      <c r="BI74" s="167">
        <v>0.46820000000000001</v>
      </c>
      <c r="BL74" s="165">
        <v>9985</v>
      </c>
      <c r="BM74" s="53">
        <v>10.6576</v>
      </c>
      <c r="BN74" s="53">
        <v>1.4281999999999999</v>
      </c>
      <c r="BO74" s="53">
        <v>0.54410000000000003</v>
      </c>
      <c r="BP74" s="53">
        <v>0.4718</v>
      </c>
      <c r="BS74" s="165">
        <v>9985</v>
      </c>
      <c r="BT74" s="167">
        <v>10.767799999999999</v>
      </c>
      <c r="BU74" s="167">
        <v>1.4429000000000001</v>
      </c>
      <c r="BV74" s="167">
        <v>0.54979999999999996</v>
      </c>
      <c r="BW74" s="167">
        <v>0.47670000000000001</v>
      </c>
      <c r="BZ74" s="165">
        <v>9985</v>
      </c>
      <c r="CA74" s="167">
        <v>10.8028</v>
      </c>
      <c r="CB74" s="167">
        <v>1.4476</v>
      </c>
      <c r="CC74" s="167">
        <v>0.55149999999999999</v>
      </c>
      <c r="CD74" s="167">
        <v>0.4783</v>
      </c>
      <c r="CG74" s="165">
        <v>9985</v>
      </c>
      <c r="CH74" s="167">
        <v>10.831</v>
      </c>
      <c r="CI74" s="167">
        <v>1.4514</v>
      </c>
      <c r="CJ74" s="167">
        <v>0.55300000000000005</v>
      </c>
      <c r="CK74" s="167">
        <v>0.47949999999999998</v>
      </c>
      <c r="CN74" s="168">
        <v>9985</v>
      </c>
      <c r="CO74" s="167">
        <v>10.897</v>
      </c>
      <c r="CP74" s="167">
        <v>1.4601999999999999</v>
      </c>
      <c r="CQ74" s="167">
        <v>0.55640000000000001</v>
      </c>
      <c r="CR74" s="167">
        <v>0.4824</v>
      </c>
      <c r="CU74" s="168">
        <v>9985</v>
      </c>
      <c r="CV74" s="167">
        <v>10.9191</v>
      </c>
      <c r="CW74" s="167">
        <v>1.4632000000000001</v>
      </c>
      <c r="CX74" s="167">
        <v>0.5575</v>
      </c>
      <c r="CY74" s="167">
        <v>0.4834</v>
      </c>
      <c r="DB74" s="168">
        <v>9985</v>
      </c>
      <c r="DC74" s="167">
        <v>10.942299999999999</v>
      </c>
      <c r="DD74" s="167">
        <v>1.4662999999999999</v>
      </c>
      <c r="DE74" s="167">
        <v>0.55869999999999997</v>
      </c>
      <c r="DF74" s="167">
        <v>0.4844</v>
      </c>
      <c r="DI74" s="168">
        <v>9985</v>
      </c>
      <c r="DJ74" s="167">
        <v>10.9617</v>
      </c>
      <c r="DK74" s="167">
        <v>1.4689000000000001</v>
      </c>
      <c r="DL74" s="167">
        <v>0.55969999999999998</v>
      </c>
      <c r="DM74" s="167">
        <v>0.48530000000000001</v>
      </c>
      <c r="DN74" s="231"/>
      <c r="DO74" s="231"/>
      <c r="DP74" s="168">
        <v>9985</v>
      </c>
      <c r="DQ74" s="167">
        <v>10.988899999999999</v>
      </c>
      <c r="DR74" s="167">
        <v>1.4725999999999999</v>
      </c>
      <c r="DS74" s="167">
        <v>0.56100000000000005</v>
      </c>
      <c r="DT74" s="167">
        <v>0.48649999999999999</v>
      </c>
      <c r="DW74" s="168">
        <v>9985</v>
      </c>
      <c r="DX74" s="167">
        <v>11.019500000000001</v>
      </c>
      <c r="DY74" s="167">
        <v>1.4766999999999999</v>
      </c>
      <c r="DZ74" s="167">
        <v>0.56259999999999999</v>
      </c>
      <c r="EA74" s="167">
        <v>0.4879</v>
      </c>
      <c r="ED74" s="168">
        <v>9985</v>
      </c>
      <c r="EE74" s="167">
        <v>11.0496</v>
      </c>
      <c r="EF74" s="167">
        <v>1.4806999999999999</v>
      </c>
      <c r="EG74" s="167">
        <v>0.56410000000000005</v>
      </c>
      <c r="EH74" s="167">
        <v>0.48920000000000002</v>
      </c>
      <c r="EK74" s="168">
        <v>9985</v>
      </c>
      <c r="EL74" s="167">
        <v>11.107100000000001</v>
      </c>
      <c r="EM74" s="167">
        <v>1.4883999999999999</v>
      </c>
      <c r="EN74" s="167">
        <v>0.56710000000000005</v>
      </c>
      <c r="EO74" s="167">
        <v>0.49170000000000003</v>
      </c>
      <c r="ER74" s="168">
        <v>9985</v>
      </c>
      <c r="ES74" s="167">
        <v>11.165900000000001</v>
      </c>
      <c r="ET74" s="167">
        <v>1.4963</v>
      </c>
      <c r="EU74" s="167">
        <v>0.57010000000000005</v>
      </c>
      <c r="EV74" s="167">
        <v>0.49430000000000002</v>
      </c>
      <c r="EY74" s="168">
        <v>9985</v>
      </c>
      <c r="EZ74" s="167">
        <v>11.183199999999999</v>
      </c>
      <c r="FA74" s="167">
        <v>1.4985999999999999</v>
      </c>
      <c r="FB74" s="167">
        <v>0.57099999999999995</v>
      </c>
      <c r="FC74" s="167">
        <v>0.49509999999999998</v>
      </c>
      <c r="FF74" s="168">
        <v>9985</v>
      </c>
      <c r="FG74" s="167">
        <v>11.210599999999999</v>
      </c>
      <c r="FH74" s="167">
        <v>1.5023</v>
      </c>
      <c r="FI74" s="167">
        <v>0.57240000000000002</v>
      </c>
      <c r="FJ74" s="167">
        <v>0.49630000000000002</v>
      </c>
      <c r="FM74" s="168">
        <v>9985</v>
      </c>
      <c r="FN74" s="167">
        <v>11.224399999999999</v>
      </c>
      <c r="FO74" s="167">
        <v>1.5041</v>
      </c>
      <c r="FP74" s="167">
        <v>0.57310000000000005</v>
      </c>
      <c r="FQ74" s="167">
        <v>0.49690000000000001</v>
      </c>
      <c r="FT74" s="168">
        <v>9985</v>
      </c>
      <c r="FU74" s="167">
        <f>VLOOKUP(FT74,Sheet4!A76:F152,3,0)</f>
        <v>11.256</v>
      </c>
      <c r="FV74" s="167">
        <f>VLOOKUP(FT74,Sheet4!A76:F152,4,0)</f>
        <v>1.5083</v>
      </c>
      <c r="FW74" s="167">
        <f>VLOOKUP(FT74,Sheet4!A76:F152,5,0)</f>
        <v>0.57469999999999999</v>
      </c>
      <c r="FX74" s="167">
        <f>VLOOKUP(FT74,Sheet4!A76:F152,6,0)</f>
        <v>0.49830000000000002</v>
      </c>
    </row>
    <row r="75" spans="1:180" x14ac:dyDescent="0.25">
      <c r="A75" s="9">
        <v>9986</v>
      </c>
      <c r="B75" s="9">
        <v>10.3729</v>
      </c>
      <c r="C75" s="9">
        <v>1.39</v>
      </c>
      <c r="D75" s="9">
        <v>0.52959999999999996</v>
      </c>
      <c r="E75" s="9">
        <v>0.4592</v>
      </c>
      <c r="H75" s="9">
        <v>9986</v>
      </c>
      <c r="I75" s="9">
        <v>10.880100000000001</v>
      </c>
      <c r="J75" s="9">
        <v>1.458</v>
      </c>
      <c r="K75" s="9">
        <v>0.55549999999999999</v>
      </c>
      <c r="L75" s="9">
        <v>0.48170000000000002</v>
      </c>
      <c r="O75" s="154">
        <v>9986</v>
      </c>
      <c r="P75" s="154">
        <v>10.9053</v>
      </c>
      <c r="Q75" s="154">
        <v>1.4614</v>
      </c>
      <c r="R75" s="154">
        <v>0.55679999999999996</v>
      </c>
      <c r="S75" s="154">
        <v>0.48280000000000001</v>
      </c>
      <c r="V75" s="151">
        <v>9986</v>
      </c>
      <c r="W75" s="151">
        <v>10.967599999999999</v>
      </c>
      <c r="X75" s="151">
        <v>1.4697</v>
      </c>
      <c r="Y75" s="151">
        <v>0.56000000000000005</v>
      </c>
      <c r="Z75" s="151">
        <v>0.48559999999999998</v>
      </c>
      <c r="AC75" s="155">
        <v>9986</v>
      </c>
      <c r="AD75" s="155">
        <v>11.099600000000001</v>
      </c>
      <c r="AE75" s="155">
        <v>1.4874000000000001</v>
      </c>
      <c r="AF75" s="155">
        <v>0.56669999999999998</v>
      </c>
      <c r="AG75" s="155">
        <v>0.4914</v>
      </c>
      <c r="AJ75" s="160">
        <v>9986</v>
      </c>
      <c r="AK75" s="6">
        <v>11.267200000000001</v>
      </c>
      <c r="AL75" s="6">
        <v>1.5098</v>
      </c>
      <c r="AM75" s="6">
        <v>0.57530000000000003</v>
      </c>
      <c r="AN75" s="6">
        <v>0.49880000000000002</v>
      </c>
      <c r="AQ75" s="129">
        <v>9986</v>
      </c>
      <c r="AR75" s="53">
        <v>11.3348</v>
      </c>
      <c r="AS75" s="53">
        <v>1.5188999999999999</v>
      </c>
      <c r="AT75" s="53">
        <v>0.57869999999999999</v>
      </c>
      <c r="AU75" s="53">
        <v>0.50180000000000002</v>
      </c>
      <c r="AX75" s="129">
        <v>9986</v>
      </c>
      <c r="AY75" s="53">
        <v>11.3789</v>
      </c>
      <c r="AZ75" s="53">
        <v>1.5247999999999999</v>
      </c>
      <c r="BA75" s="53">
        <v>0.58099999999999996</v>
      </c>
      <c r="BB75" s="53">
        <v>0.50380000000000003</v>
      </c>
      <c r="BC75" s="3"/>
      <c r="BD75" s="182"/>
      <c r="BE75" s="129">
        <v>9986</v>
      </c>
      <c r="BF75" s="53">
        <v>11.398</v>
      </c>
      <c r="BG75" s="53">
        <v>1.5274000000000001</v>
      </c>
      <c r="BH75" s="53">
        <v>0.58189999999999997</v>
      </c>
      <c r="BI75" s="53">
        <v>0.50460000000000005</v>
      </c>
      <c r="BL75" s="129">
        <v>9986</v>
      </c>
      <c r="BM75" s="53">
        <v>11.4984</v>
      </c>
      <c r="BN75" s="53">
        <v>1.5407999999999999</v>
      </c>
      <c r="BO75" s="53">
        <v>0.58709999999999996</v>
      </c>
      <c r="BP75" s="53">
        <v>0.5091</v>
      </c>
      <c r="BS75" s="129">
        <v>9986</v>
      </c>
      <c r="BT75" s="53">
        <v>11.634</v>
      </c>
      <c r="BU75" s="53">
        <v>1.5589999999999999</v>
      </c>
      <c r="BV75" s="53">
        <v>0.59399999999999997</v>
      </c>
      <c r="BW75" s="53">
        <v>0.5151</v>
      </c>
      <c r="BZ75" s="129">
        <v>9986</v>
      </c>
      <c r="CA75" s="53">
        <v>11.677099999999999</v>
      </c>
      <c r="CB75" s="53">
        <v>1.5648</v>
      </c>
      <c r="CC75" s="53">
        <v>0.59619999999999995</v>
      </c>
      <c r="CD75" s="53">
        <v>0.51700000000000002</v>
      </c>
      <c r="CG75" s="129">
        <v>9986</v>
      </c>
      <c r="CH75" s="53">
        <v>11.7118</v>
      </c>
      <c r="CI75" s="53">
        <v>1.5693999999999999</v>
      </c>
      <c r="CJ75" s="53">
        <v>0.59799999999999998</v>
      </c>
      <c r="CK75" s="53">
        <v>0.51849999999999996</v>
      </c>
      <c r="CN75" s="207">
        <v>9986</v>
      </c>
      <c r="CO75" s="53">
        <v>11.792999999999999</v>
      </c>
      <c r="CP75" s="53">
        <v>1.5803</v>
      </c>
      <c r="CQ75" s="53">
        <v>0.60209999999999997</v>
      </c>
      <c r="CR75" s="53">
        <v>0.52210000000000001</v>
      </c>
      <c r="CU75" s="215">
        <v>9986</v>
      </c>
      <c r="CV75" s="53">
        <v>11.8201</v>
      </c>
      <c r="CW75" s="53">
        <v>1.5839000000000001</v>
      </c>
      <c r="CX75" s="53">
        <v>0.60350000000000004</v>
      </c>
      <c r="CY75" s="53">
        <v>0.52329999999999999</v>
      </c>
      <c r="DB75" s="217">
        <v>9986</v>
      </c>
      <c r="DC75" s="53">
        <v>11.848600000000001</v>
      </c>
      <c r="DD75" s="53">
        <v>1.5878000000000001</v>
      </c>
      <c r="DE75" s="53">
        <v>0.60489999999999999</v>
      </c>
      <c r="DF75" s="53">
        <v>0.52459999999999996</v>
      </c>
      <c r="DI75" s="222">
        <v>9986</v>
      </c>
      <c r="DJ75" s="53">
        <v>11.8725</v>
      </c>
      <c r="DK75" s="53">
        <v>1.591</v>
      </c>
      <c r="DL75" s="53">
        <v>0.60619999999999996</v>
      </c>
      <c r="DM75" s="53">
        <v>0.52559999999999996</v>
      </c>
      <c r="DN75" s="231"/>
      <c r="DO75" s="231"/>
      <c r="DP75" s="227">
        <v>9986</v>
      </c>
      <c r="DQ75" s="53">
        <v>11.906000000000001</v>
      </c>
      <c r="DR75" s="53">
        <v>1.5954999999999999</v>
      </c>
      <c r="DS75" s="53">
        <v>0.6079</v>
      </c>
      <c r="DT75" s="53">
        <v>0.52710000000000001</v>
      </c>
      <c r="DW75" s="235">
        <v>9986</v>
      </c>
      <c r="DX75" s="53">
        <v>11.9436</v>
      </c>
      <c r="DY75" s="53">
        <v>1.6005</v>
      </c>
      <c r="DZ75" s="53">
        <v>0.60980000000000001</v>
      </c>
      <c r="EA75" s="53">
        <v>0.52880000000000005</v>
      </c>
      <c r="EC75" s="231"/>
      <c r="ED75" s="237">
        <v>9986</v>
      </c>
      <c r="EE75" s="53">
        <v>11.980700000000001</v>
      </c>
      <c r="EF75" s="53">
        <v>1.6054999999999999</v>
      </c>
      <c r="EG75" s="53">
        <v>0.61170000000000002</v>
      </c>
      <c r="EH75" s="53">
        <v>0.53039999999999998</v>
      </c>
      <c r="EK75" s="239">
        <v>9986</v>
      </c>
      <c r="EL75" s="53">
        <v>12.051399999999999</v>
      </c>
      <c r="EM75" s="53">
        <v>1.6149</v>
      </c>
      <c r="EN75" s="53">
        <v>0.61529999999999996</v>
      </c>
      <c r="EO75" s="53">
        <v>0.53349999999999997</v>
      </c>
      <c r="ER75" s="243">
        <v>9986</v>
      </c>
      <c r="ES75" s="53">
        <v>12.123699999999999</v>
      </c>
      <c r="ET75" s="53">
        <v>1.6246</v>
      </c>
      <c r="EU75" s="53">
        <v>0.61899999999999999</v>
      </c>
      <c r="EV75" s="53">
        <v>0.53669999999999995</v>
      </c>
      <c r="EY75" s="245">
        <v>9986</v>
      </c>
      <c r="EZ75" s="53">
        <v>12.145</v>
      </c>
      <c r="FA75" s="53">
        <v>1.6274999999999999</v>
      </c>
      <c r="FB75" s="53">
        <v>0.62009999999999998</v>
      </c>
      <c r="FC75" s="53">
        <v>0.53769999999999996</v>
      </c>
      <c r="FF75" s="249">
        <v>9986</v>
      </c>
      <c r="FG75" s="53">
        <v>12.178699999999999</v>
      </c>
      <c r="FH75" s="53">
        <v>1.6319999999999999</v>
      </c>
      <c r="FI75" s="53">
        <v>0.62180000000000002</v>
      </c>
      <c r="FJ75" s="53">
        <v>0.53920000000000001</v>
      </c>
      <c r="FM75" s="252">
        <v>9986</v>
      </c>
      <c r="FN75" s="53">
        <v>12.195600000000001</v>
      </c>
      <c r="FO75" s="53">
        <v>1.6343000000000001</v>
      </c>
      <c r="FP75" s="53">
        <v>0.62270000000000003</v>
      </c>
      <c r="FQ75" s="53">
        <v>0.53990000000000005</v>
      </c>
      <c r="FT75" s="254">
        <v>9986</v>
      </c>
      <c r="FU75" s="53">
        <f>VLOOKUP(FT75,Sheet4!A77:F153,3,0)</f>
        <v>12.234400000000001</v>
      </c>
      <c r="FV75" s="53">
        <f>VLOOKUP(FT75,Sheet4!A77:F153,4,0)</f>
        <v>1.6395</v>
      </c>
      <c r="FW75" s="53">
        <f>VLOOKUP(FT75,Sheet4!A77:F153,5,0)</f>
        <v>0.62460000000000004</v>
      </c>
      <c r="FX75" s="53">
        <f>VLOOKUP(FT75,Sheet4!A77:F153,6,0)</f>
        <v>0.54159999999999997</v>
      </c>
    </row>
    <row r="76" spans="1:180" x14ac:dyDescent="0.25">
      <c r="A76" s="9">
        <v>9987</v>
      </c>
      <c r="B76" s="9">
        <v>11.943</v>
      </c>
      <c r="C76" s="9">
        <v>1.6004</v>
      </c>
      <c r="D76" s="9">
        <v>0.60980000000000001</v>
      </c>
      <c r="E76" s="9">
        <v>0.52869999999999995</v>
      </c>
      <c r="H76" s="9">
        <v>9987</v>
      </c>
      <c r="I76" s="9">
        <v>12.4977</v>
      </c>
      <c r="J76" s="9">
        <v>1.6747000000000001</v>
      </c>
      <c r="K76" s="9">
        <v>0.6381</v>
      </c>
      <c r="L76" s="9">
        <v>0.55330000000000001</v>
      </c>
      <c r="O76" s="148">
        <v>9987</v>
      </c>
      <c r="P76" s="148">
        <v>12.5253</v>
      </c>
      <c r="Q76" s="148">
        <v>1.6783999999999999</v>
      </c>
      <c r="R76" s="148">
        <v>0.63949999999999996</v>
      </c>
      <c r="S76" s="148">
        <v>0.55449999999999999</v>
      </c>
      <c r="V76" s="151">
        <v>9987</v>
      </c>
      <c r="W76" s="151">
        <v>12.593500000000001</v>
      </c>
      <c r="X76" s="151">
        <v>1.6876</v>
      </c>
      <c r="Y76" s="151">
        <v>0.64300000000000002</v>
      </c>
      <c r="Z76" s="151">
        <v>0.5575</v>
      </c>
      <c r="AC76" s="155">
        <v>9987</v>
      </c>
      <c r="AD76" s="155">
        <v>12.7379</v>
      </c>
      <c r="AE76" s="155">
        <v>1.7069000000000001</v>
      </c>
      <c r="AF76" s="155">
        <v>0.65029999999999999</v>
      </c>
      <c r="AG76" s="155">
        <v>0.56389999999999996</v>
      </c>
      <c r="AJ76" s="168">
        <v>9987</v>
      </c>
      <c r="AK76" s="169">
        <v>12.921099999999999</v>
      </c>
      <c r="AL76" s="169">
        <v>1.7315</v>
      </c>
      <c r="AM76" s="169">
        <v>0.65969999999999995</v>
      </c>
      <c r="AN76" s="169">
        <v>0.57199999999999995</v>
      </c>
      <c r="AQ76" s="165">
        <v>9987</v>
      </c>
      <c r="AR76" s="167">
        <v>12.994999999999999</v>
      </c>
      <c r="AS76" s="167">
        <v>1.7414000000000001</v>
      </c>
      <c r="AT76" s="167">
        <v>0.66349999999999998</v>
      </c>
      <c r="AU76" s="167">
        <v>0.57530000000000003</v>
      </c>
      <c r="AX76" s="165">
        <v>9987</v>
      </c>
      <c r="AY76" s="167">
        <v>13.043200000000001</v>
      </c>
      <c r="AZ76" s="167">
        <v>1.7478</v>
      </c>
      <c r="BA76" s="167">
        <v>0.66590000000000005</v>
      </c>
      <c r="BB76" s="167">
        <v>0.57750000000000001</v>
      </c>
      <c r="BC76" s="3"/>
      <c r="BD76" s="182"/>
      <c r="BE76" s="165">
        <v>9987</v>
      </c>
      <c r="BF76" s="167">
        <v>13.0641</v>
      </c>
      <c r="BG76" s="167">
        <v>1.7505999999999999</v>
      </c>
      <c r="BH76" s="167">
        <v>0.66700000000000004</v>
      </c>
      <c r="BI76" s="167">
        <v>0.57840000000000003</v>
      </c>
      <c r="BL76" s="165">
        <v>9987</v>
      </c>
      <c r="BM76" s="53">
        <v>13.1739</v>
      </c>
      <c r="BN76" s="53">
        <v>1.7654000000000001</v>
      </c>
      <c r="BO76" s="53">
        <v>0.67259999999999998</v>
      </c>
      <c r="BP76" s="53">
        <v>0.58320000000000005</v>
      </c>
      <c r="BS76" s="165">
        <v>9987</v>
      </c>
      <c r="BT76" s="167">
        <v>13.3222</v>
      </c>
      <c r="BU76" s="167">
        <v>1.7851999999999999</v>
      </c>
      <c r="BV76" s="167">
        <v>0.68020000000000003</v>
      </c>
      <c r="BW76" s="167">
        <v>0.58979999999999999</v>
      </c>
      <c r="BZ76" s="165">
        <v>9987</v>
      </c>
      <c r="CA76" s="167">
        <v>13.369300000000001</v>
      </c>
      <c r="CB76" s="167">
        <v>1.7915000000000001</v>
      </c>
      <c r="CC76" s="167">
        <v>0.68259999999999998</v>
      </c>
      <c r="CD76" s="167">
        <v>0.59189999999999998</v>
      </c>
      <c r="CG76" s="165">
        <v>9987</v>
      </c>
      <c r="CH76" s="167">
        <v>13.4072</v>
      </c>
      <c r="CI76" s="167">
        <v>1.7966</v>
      </c>
      <c r="CJ76" s="167">
        <v>0.6845</v>
      </c>
      <c r="CK76" s="167">
        <v>0.59360000000000002</v>
      </c>
      <c r="CN76" s="168">
        <v>9987</v>
      </c>
      <c r="CO76" s="167">
        <v>13.496</v>
      </c>
      <c r="CP76" s="167">
        <v>1.8085</v>
      </c>
      <c r="CQ76" s="167">
        <v>0.68899999999999995</v>
      </c>
      <c r="CR76" s="167">
        <v>0.59750000000000003</v>
      </c>
      <c r="CU76" s="168">
        <v>9987</v>
      </c>
      <c r="CV76" s="167">
        <v>13.525700000000001</v>
      </c>
      <c r="CW76" s="167">
        <v>1.8125</v>
      </c>
      <c r="CX76" s="167">
        <v>0.69059999999999999</v>
      </c>
      <c r="CY76" s="167">
        <v>0.5988</v>
      </c>
      <c r="DB76" s="168">
        <v>9987</v>
      </c>
      <c r="DC76" s="167">
        <v>13.556899999999999</v>
      </c>
      <c r="DD76" s="167">
        <v>1.8167000000000002</v>
      </c>
      <c r="DE76" s="167">
        <v>0.69220000000000004</v>
      </c>
      <c r="DF76" s="167">
        <v>0.60019999999999996</v>
      </c>
      <c r="DI76" s="168">
        <v>9987</v>
      </c>
      <c r="DJ76" s="167">
        <v>13.583</v>
      </c>
      <c r="DK76" s="167">
        <v>1.8202</v>
      </c>
      <c r="DL76" s="167">
        <v>0.69350000000000001</v>
      </c>
      <c r="DM76" s="167">
        <v>0.60129999999999995</v>
      </c>
      <c r="DN76" s="231"/>
      <c r="DO76" s="231"/>
      <c r="DP76" s="168">
        <v>9987</v>
      </c>
      <c r="DQ76" s="167">
        <v>13.6196</v>
      </c>
      <c r="DR76" s="167">
        <v>1.8250999999999999</v>
      </c>
      <c r="DS76" s="167">
        <v>0.69540000000000002</v>
      </c>
      <c r="DT76" s="167">
        <v>0.60299999999999998</v>
      </c>
      <c r="DW76" s="168">
        <v>9987</v>
      </c>
      <c r="DX76" s="167">
        <v>13.6608</v>
      </c>
      <c r="DY76" s="167">
        <v>1.8306</v>
      </c>
      <c r="DZ76" s="167">
        <v>0.69750000000000001</v>
      </c>
      <c r="EA76" s="167">
        <v>0.6048</v>
      </c>
      <c r="ED76" s="168">
        <v>9987</v>
      </c>
      <c r="EE76" s="167">
        <v>13.7013</v>
      </c>
      <c r="EF76" s="167">
        <v>1.8360000000000001</v>
      </c>
      <c r="EG76" s="167">
        <v>0.69950000000000001</v>
      </c>
      <c r="EH76" s="167">
        <v>0.60660000000000003</v>
      </c>
      <c r="EK76" s="168">
        <v>9987</v>
      </c>
      <c r="EL76" s="167">
        <v>13.778600000000001</v>
      </c>
      <c r="EM76" s="167">
        <v>1.8464</v>
      </c>
      <c r="EN76" s="167">
        <v>0.70350000000000001</v>
      </c>
      <c r="EO76" s="167">
        <v>0.61</v>
      </c>
      <c r="ER76" s="168">
        <v>9987</v>
      </c>
      <c r="ES76" s="167">
        <v>13.8576</v>
      </c>
      <c r="ET76" s="167">
        <v>1.857</v>
      </c>
      <c r="EU76" s="167">
        <v>0.70750000000000002</v>
      </c>
      <c r="EV76" s="167">
        <v>0.61350000000000005</v>
      </c>
      <c r="EY76" s="168">
        <v>9987</v>
      </c>
      <c r="EZ76" s="167">
        <v>13.8809</v>
      </c>
      <c r="FA76" s="167">
        <v>1.8601000000000001</v>
      </c>
      <c r="FB76" s="167">
        <v>0.7087</v>
      </c>
      <c r="FC76" s="167">
        <v>0.61450000000000005</v>
      </c>
      <c r="FF76" s="168">
        <v>9987</v>
      </c>
      <c r="FG76" s="167">
        <v>13.9178</v>
      </c>
      <c r="FH76" s="167">
        <v>1.865</v>
      </c>
      <c r="FI76" s="167">
        <v>0.71060000000000001</v>
      </c>
      <c r="FJ76" s="167">
        <v>0.61619999999999997</v>
      </c>
      <c r="FM76" s="168">
        <v>9987</v>
      </c>
      <c r="FN76" s="167">
        <v>13.936299999999999</v>
      </c>
      <c r="FO76" s="167">
        <v>1.8674999999999999</v>
      </c>
      <c r="FP76" s="167">
        <v>0.71150000000000002</v>
      </c>
      <c r="FQ76" s="167">
        <v>0.61699999999999999</v>
      </c>
      <c r="FT76" s="168">
        <v>9987</v>
      </c>
      <c r="FU76" s="167">
        <f>VLOOKUP(FT76,Sheet4!A78:F154,3,0)</f>
        <v>13.9787</v>
      </c>
      <c r="FV76" s="167">
        <f>VLOOKUP(FT76,Sheet4!A78:F154,4,0)</f>
        <v>1.8732</v>
      </c>
      <c r="FW76" s="167">
        <f>VLOOKUP(FT76,Sheet4!A78:F154,5,0)</f>
        <v>0.7137</v>
      </c>
      <c r="FX76" s="167">
        <f>VLOOKUP(FT76,Sheet4!A78:F154,6,0)</f>
        <v>0.61890000000000001</v>
      </c>
    </row>
    <row r="77" spans="1:180" x14ac:dyDescent="0.25">
      <c r="A77" s="9">
        <v>9988</v>
      </c>
      <c r="B77" s="9">
        <v>12.231</v>
      </c>
      <c r="C77" s="9">
        <v>1.639</v>
      </c>
      <c r="D77" s="9">
        <v>0.62450000000000006</v>
      </c>
      <c r="E77" s="9">
        <v>0.54149999999999998</v>
      </c>
      <c r="H77" s="9">
        <v>9988</v>
      </c>
      <c r="I77" s="9">
        <v>12.7857</v>
      </c>
      <c r="J77" s="9">
        <v>1.7133</v>
      </c>
      <c r="K77" s="9">
        <v>0.65280000000000005</v>
      </c>
      <c r="L77" s="9">
        <v>0.56610000000000005</v>
      </c>
      <c r="O77" s="154">
        <v>9988</v>
      </c>
      <c r="P77" s="154">
        <v>12.8133</v>
      </c>
      <c r="Q77" s="154">
        <v>1.7170000000000001</v>
      </c>
      <c r="R77" s="154">
        <v>0.6542</v>
      </c>
      <c r="S77" s="154">
        <v>0.56730000000000003</v>
      </c>
      <c r="V77" s="151">
        <v>9988</v>
      </c>
      <c r="W77" s="151">
        <v>12.881500000000001</v>
      </c>
      <c r="X77" s="151">
        <v>1.7262</v>
      </c>
      <c r="Y77" s="151">
        <v>0.65769999999999995</v>
      </c>
      <c r="Z77" s="151">
        <v>0.57030000000000003</v>
      </c>
      <c r="AC77" s="155">
        <v>9988</v>
      </c>
      <c r="AD77" s="155">
        <v>13.0259</v>
      </c>
      <c r="AE77" s="155">
        <v>1.7455000000000001</v>
      </c>
      <c r="AF77" s="155">
        <v>0.66500000000000004</v>
      </c>
      <c r="AG77" s="155">
        <v>0.57669999999999999</v>
      </c>
      <c r="AJ77" s="160">
        <v>9988</v>
      </c>
      <c r="AK77" s="6">
        <v>13.209099999999999</v>
      </c>
      <c r="AL77" s="6">
        <v>1.7701</v>
      </c>
      <c r="AM77" s="6">
        <v>0.6744</v>
      </c>
      <c r="AN77" s="6">
        <v>0.58479999999999999</v>
      </c>
      <c r="AQ77" s="129">
        <v>9988</v>
      </c>
      <c r="AR77" s="53">
        <v>13.282999999999999</v>
      </c>
      <c r="AS77" s="53">
        <v>1.78</v>
      </c>
      <c r="AT77" s="53">
        <v>0.67820000000000003</v>
      </c>
      <c r="AU77" s="53">
        <v>0.58809999999999996</v>
      </c>
      <c r="AX77" s="129">
        <v>9988</v>
      </c>
      <c r="AY77" s="53">
        <v>13.331200000000001</v>
      </c>
      <c r="AZ77" s="53">
        <v>1.7864</v>
      </c>
      <c r="BA77" s="53">
        <v>0.68059999999999998</v>
      </c>
      <c r="BB77" s="53">
        <v>0.59019999999999995</v>
      </c>
      <c r="BC77" s="3"/>
      <c r="BD77" s="182"/>
      <c r="BE77" s="129">
        <v>9988</v>
      </c>
      <c r="BF77" s="53">
        <v>13.3521</v>
      </c>
      <c r="BG77" s="53">
        <v>1.7891999999999999</v>
      </c>
      <c r="BH77" s="53">
        <v>0.68169999999999997</v>
      </c>
      <c r="BI77" s="53">
        <v>0.59109999999999996</v>
      </c>
      <c r="BK77" s="22"/>
      <c r="BL77" s="129">
        <v>9988</v>
      </c>
      <c r="BM77" s="53">
        <v>13.4619</v>
      </c>
      <c r="BN77" s="53">
        <v>1.8039000000000001</v>
      </c>
      <c r="BO77" s="53">
        <v>0.68730000000000002</v>
      </c>
      <c r="BP77" s="53">
        <v>0.59599999999999997</v>
      </c>
      <c r="BQ77" s="22"/>
      <c r="BS77" s="129">
        <v>9988</v>
      </c>
      <c r="BT77" s="53">
        <v>13.610200000000001</v>
      </c>
      <c r="BU77" s="53">
        <v>1.8238000000000001</v>
      </c>
      <c r="BV77" s="53">
        <v>0.69489999999999996</v>
      </c>
      <c r="BW77" s="53">
        <v>0.60260000000000002</v>
      </c>
      <c r="BZ77" s="129">
        <v>9988</v>
      </c>
      <c r="CA77" s="53">
        <v>13.657299999999999</v>
      </c>
      <c r="CB77" s="53">
        <v>1.8301000000000001</v>
      </c>
      <c r="CC77" s="53">
        <v>0.69730000000000003</v>
      </c>
      <c r="CD77" s="53">
        <v>0.60460000000000003</v>
      </c>
      <c r="CG77" s="129">
        <v>9988</v>
      </c>
      <c r="CH77" s="53">
        <v>13.6952</v>
      </c>
      <c r="CI77" s="53">
        <v>1.8351999999999999</v>
      </c>
      <c r="CJ77" s="53">
        <v>0.69920000000000004</v>
      </c>
      <c r="CK77" s="53">
        <v>0.60629999999999995</v>
      </c>
      <c r="CN77" s="207">
        <v>9988</v>
      </c>
      <c r="CO77" s="53">
        <v>13.784000000000001</v>
      </c>
      <c r="CP77" s="53">
        <v>1.8471</v>
      </c>
      <c r="CQ77" s="53">
        <v>0.70369999999999999</v>
      </c>
      <c r="CR77" s="53">
        <v>0.61019999999999996</v>
      </c>
      <c r="CU77" s="215">
        <v>9988</v>
      </c>
      <c r="CV77" s="53">
        <v>13.813700000000001</v>
      </c>
      <c r="CW77" s="53">
        <v>1.8511</v>
      </c>
      <c r="CX77" s="53">
        <v>0.70530000000000004</v>
      </c>
      <c r="CY77" s="53">
        <v>0.61160000000000003</v>
      </c>
      <c r="DB77" s="217">
        <v>9988</v>
      </c>
      <c r="DC77" s="53">
        <v>13.844900000000001</v>
      </c>
      <c r="DD77" s="53">
        <v>1.8553000000000002</v>
      </c>
      <c r="DE77" s="53">
        <v>0.70689999999999997</v>
      </c>
      <c r="DF77" s="53">
        <v>0.6129</v>
      </c>
      <c r="DI77" s="222">
        <v>9988</v>
      </c>
      <c r="DJ77" s="53">
        <v>13.871</v>
      </c>
      <c r="DK77" s="53">
        <v>1.8588</v>
      </c>
      <c r="DL77" s="53">
        <v>0.70820000000000005</v>
      </c>
      <c r="DM77" s="53">
        <v>0.61409999999999998</v>
      </c>
      <c r="DN77" s="231"/>
      <c r="DO77" s="231"/>
      <c r="DP77" s="227">
        <v>9988</v>
      </c>
      <c r="DQ77" s="53">
        <v>13.9076</v>
      </c>
      <c r="DR77" s="53">
        <v>1.8636999999999999</v>
      </c>
      <c r="DS77" s="53">
        <v>0.71009999999999995</v>
      </c>
      <c r="DT77" s="53">
        <v>0.61570000000000003</v>
      </c>
      <c r="DW77" s="235">
        <v>9988</v>
      </c>
      <c r="DX77" s="53">
        <v>13.9488</v>
      </c>
      <c r="DY77" s="53">
        <v>1.8692</v>
      </c>
      <c r="DZ77" s="53">
        <v>0.71220000000000006</v>
      </c>
      <c r="EA77" s="53">
        <v>0.61750000000000005</v>
      </c>
      <c r="ED77" s="237">
        <v>9988</v>
      </c>
      <c r="EE77" s="53">
        <v>13.9893</v>
      </c>
      <c r="EF77" s="53">
        <v>1.8746</v>
      </c>
      <c r="EG77" s="53">
        <v>0.71419999999999995</v>
      </c>
      <c r="EH77" s="53">
        <v>0.61929999999999996</v>
      </c>
      <c r="EK77" s="239">
        <v>9988</v>
      </c>
      <c r="EL77" s="53">
        <v>14.066599999999999</v>
      </c>
      <c r="EM77" s="53">
        <v>1.885</v>
      </c>
      <c r="EN77" s="53">
        <v>0.71819999999999995</v>
      </c>
      <c r="EO77" s="53">
        <v>0.62280000000000002</v>
      </c>
      <c r="ER77" s="243">
        <v>9988</v>
      </c>
      <c r="ES77" s="53">
        <v>14.1456</v>
      </c>
      <c r="ET77" s="53">
        <v>1.8956</v>
      </c>
      <c r="EU77" s="53">
        <v>0.72219999999999995</v>
      </c>
      <c r="EV77" s="53">
        <v>0.62629999999999997</v>
      </c>
      <c r="EY77" s="245">
        <v>9988</v>
      </c>
      <c r="EZ77" s="53">
        <v>14.168900000000001</v>
      </c>
      <c r="FA77" s="53">
        <v>1.8987000000000001</v>
      </c>
      <c r="FB77" s="53">
        <v>0.72340000000000004</v>
      </c>
      <c r="FC77" s="53">
        <v>0.62729999999999997</v>
      </c>
      <c r="FF77" s="249">
        <v>9988</v>
      </c>
      <c r="FG77" s="53">
        <v>14.2058</v>
      </c>
      <c r="FH77" s="53">
        <v>1.9036</v>
      </c>
      <c r="FI77" s="53">
        <v>0.72529999999999994</v>
      </c>
      <c r="FJ77" s="53">
        <v>0.62890000000000001</v>
      </c>
      <c r="FM77" s="252">
        <v>9988</v>
      </c>
      <c r="FN77" s="53">
        <v>14.224299999999999</v>
      </c>
      <c r="FO77" s="53">
        <v>1.9060999999999999</v>
      </c>
      <c r="FP77" s="53">
        <v>0.72619999999999996</v>
      </c>
      <c r="FQ77" s="53">
        <v>0.62970000000000004</v>
      </c>
      <c r="FT77" s="254">
        <v>9988</v>
      </c>
      <c r="FU77" s="53">
        <f>VLOOKUP(FT77,Sheet4!A79:F155,3,0)</f>
        <v>14.2667</v>
      </c>
      <c r="FV77" s="53">
        <f>VLOOKUP(FT77,Sheet4!A79:F155,4,0)</f>
        <v>1.9117999999999999</v>
      </c>
      <c r="FW77" s="53">
        <f>VLOOKUP(FT77,Sheet4!A79:F155,5,0)</f>
        <v>0.72840000000000005</v>
      </c>
      <c r="FX77" s="53">
        <f>VLOOKUP(FT77,Sheet4!A79:F155,6,0)</f>
        <v>0.63160000000000005</v>
      </c>
    </row>
    <row r="78" spans="1:180" x14ac:dyDescent="0.25">
      <c r="A78" s="9">
        <v>9994</v>
      </c>
      <c r="B78" s="9">
        <v>12.231</v>
      </c>
      <c r="C78" s="9">
        <v>1.639</v>
      </c>
      <c r="D78" s="9">
        <v>0.62450000000000006</v>
      </c>
      <c r="E78" s="9">
        <v>0.54149999999999998</v>
      </c>
      <c r="H78" s="9">
        <v>9994</v>
      </c>
      <c r="I78" s="9">
        <v>12.7857</v>
      </c>
      <c r="J78" s="9">
        <v>1.7133</v>
      </c>
      <c r="K78" s="9">
        <v>0.65280000000000005</v>
      </c>
      <c r="L78" s="9">
        <v>0.56610000000000005</v>
      </c>
      <c r="O78" s="148">
        <v>9994</v>
      </c>
      <c r="P78" s="148">
        <v>12.8133</v>
      </c>
      <c r="Q78" s="148">
        <v>1.7170000000000001</v>
      </c>
      <c r="R78" s="148">
        <v>0.6542</v>
      </c>
      <c r="S78" s="148">
        <v>0.56730000000000003</v>
      </c>
      <c r="V78" s="151">
        <v>9994</v>
      </c>
      <c r="W78" s="151">
        <v>12.881500000000001</v>
      </c>
      <c r="X78" s="151">
        <v>1.7262</v>
      </c>
      <c r="Y78" s="151">
        <v>0.65769999999999995</v>
      </c>
      <c r="Z78" s="151">
        <v>0.57030000000000003</v>
      </c>
      <c r="AC78" s="155">
        <v>9994</v>
      </c>
      <c r="AD78" s="155">
        <v>13.0259</v>
      </c>
      <c r="AE78" s="155">
        <v>1.7455000000000001</v>
      </c>
      <c r="AF78" s="155">
        <v>0.66500000000000004</v>
      </c>
      <c r="AG78" s="155">
        <v>0.57669999999999999</v>
      </c>
      <c r="AJ78" s="168">
        <v>9994</v>
      </c>
      <c r="AK78" s="169">
        <v>13.209099999999999</v>
      </c>
      <c r="AL78" s="169">
        <v>1.7701</v>
      </c>
      <c r="AM78" s="169">
        <v>0.6744</v>
      </c>
      <c r="AN78" s="169">
        <v>0.58479999999999999</v>
      </c>
      <c r="AQ78" s="165">
        <v>9994</v>
      </c>
      <c r="AR78" s="167">
        <v>13.282999999999999</v>
      </c>
      <c r="AS78" s="167">
        <v>1.78</v>
      </c>
      <c r="AT78" s="167">
        <v>0.67820000000000003</v>
      </c>
      <c r="AU78" s="167">
        <v>0.58809999999999996</v>
      </c>
      <c r="AX78" s="165">
        <v>9994</v>
      </c>
      <c r="AY78" s="167">
        <v>13.331200000000001</v>
      </c>
      <c r="AZ78" s="167">
        <v>1.7864</v>
      </c>
      <c r="BA78" s="167">
        <v>0.68059999999999998</v>
      </c>
      <c r="BB78" s="167">
        <v>0.59019999999999995</v>
      </c>
      <c r="BC78" s="3"/>
      <c r="BD78" s="182"/>
      <c r="BE78" s="165">
        <v>9994</v>
      </c>
      <c r="BF78" s="167">
        <v>13.3521</v>
      </c>
      <c r="BG78" s="167">
        <v>1.7891999999999999</v>
      </c>
      <c r="BH78" s="167">
        <v>0.68169999999999997</v>
      </c>
      <c r="BI78" s="167">
        <v>0.59109999999999996</v>
      </c>
      <c r="BK78" s="83"/>
      <c r="BL78" s="165">
        <v>9994</v>
      </c>
      <c r="BM78" s="53">
        <v>13.4619</v>
      </c>
      <c r="BN78" s="53">
        <v>1.8039000000000001</v>
      </c>
      <c r="BO78" s="53">
        <v>0.68730000000000002</v>
      </c>
      <c r="BP78" s="53">
        <v>0.59599999999999997</v>
      </c>
      <c r="BQ78" s="22"/>
      <c r="BS78" s="165">
        <v>9994</v>
      </c>
      <c r="BT78" s="167">
        <v>13.610200000000001</v>
      </c>
      <c r="BU78" s="167">
        <v>1.8238000000000001</v>
      </c>
      <c r="BV78" s="167">
        <v>0.69489999999999996</v>
      </c>
      <c r="BW78" s="167">
        <v>0.60260000000000002</v>
      </c>
      <c r="BZ78" s="165">
        <v>9994</v>
      </c>
      <c r="CA78" s="167">
        <v>13.657299999999999</v>
      </c>
      <c r="CB78" s="167">
        <v>1.8301000000000001</v>
      </c>
      <c r="CC78" s="167">
        <v>0.69730000000000003</v>
      </c>
      <c r="CD78" s="167">
        <v>0.60460000000000003</v>
      </c>
      <c r="CG78" s="165">
        <v>9994</v>
      </c>
      <c r="CH78" s="167">
        <v>13.6952</v>
      </c>
      <c r="CI78" s="167">
        <v>1.8351999999999999</v>
      </c>
      <c r="CJ78" s="167">
        <v>0.69920000000000004</v>
      </c>
      <c r="CK78" s="167">
        <v>0.60629999999999995</v>
      </c>
      <c r="CN78" s="168">
        <v>9994</v>
      </c>
      <c r="CO78" s="167">
        <v>13.784000000000001</v>
      </c>
      <c r="CP78" s="167">
        <v>1.8471</v>
      </c>
      <c r="CQ78" s="167">
        <v>0.70369999999999999</v>
      </c>
      <c r="CR78" s="167">
        <v>0.61019999999999996</v>
      </c>
      <c r="CU78" s="168">
        <v>9994</v>
      </c>
      <c r="CV78" s="167">
        <v>13.813700000000001</v>
      </c>
      <c r="CW78" s="167">
        <v>1.8511</v>
      </c>
      <c r="CX78" s="167">
        <v>0.70530000000000004</v>
      </c>
      <c r="CY78" s="167">
        <v>0.61160000000000003</v>
      </c>
      <c r="DB78" s="168">
        <v>9994</v>
      </c>
      <c r="DC78" s="167">
        <v>13.844900000000001</v>
      </c>
      <c r="DD78" s="167">
        <v>1.8553000000000002</v>
      </c>
      <c r="DE78" s="167">
        <v>0.70689999999999997</v>
      </c>
      <c r="DF78" s="167">
        <v>0.6129</v>
      </c>
      <c r="DI78" s="168">
        <v>9994</v>
      </c>
      <c r="DJ78" s="167">
        <v>13.871</v>
      </c>
      <c r="DK78" s="167">
        <v>1.8588</v>
      </c>
      <c r="DL78" s="167">
        <v>0.70820000000000005</v>
      </c>
      <c r="DM78" s="167">
        <v>0.61409999999999998</v>
      </c>
      <c r="DN78" s="231"/>
      <c r="DO78" s="231"/>
      <c r="DP78" s="168">
        <v>9994</v>
      </c>
      <c r="DQ78" s="167">
        <v>13.9076</v>
      </c>
      <c r="DR78" s="167">
        <v>1.8636999999999999</v>
      </c>
      <c r="DS78" s="167">
        <v>0.71009999999999995</v>
      </c>
      <c r="DT78" s="167">
        <v>0.61570000000000003</v>
      </c>
      <c r="DW78" s="168">
        <v>9994</v>
      </c>
      <c r="DX78" s="167">
        <v>13.9488</v>
      </c>
      <c r="DY78" s="167">
        <v>1.8692</v>
      </c>
      <c r="DZ78" s="167">
        <v>0.71220000000000006</v>
      </c>
      <c r="EA78" s="167">
        <v>0.61750000000000005</v>
      </c>
      <c r="ED78" s="168">
        <v>9994</v>
      </c>
      <c r="EE78" s="167">
        <v>13.9893</v>
      </c>
      <c r="EF78" s="167">
        <v>1.8746</v>
      </c>
      <c r="EG78" s="167">
        <v>0.71419999999999995</v>
      </c>
      <c r="EH78" s="167">
        <v>0.61929999999999996</v>
      </c>
      <c r="EK78" s="168">
        <v>9994</v>
      </c>
      <c r="EL78" s="167">
        <v>14.066599999999999</v>
      </c>
      <c r="EM78" s="167">
        <v>1.885</v>
      </c>
      <c r="EN78" s="167">
        <v>0.71819999999999995</v>
      </c>
      <c r="EO78" s="167">
        <v>0.62280000000000002</v>
      </c>
      <c r="ER78" s="168">
        <v>9994</v>
      </c>
      <c r="ES78" s="167">
        <v>14.1456</v>
      </c>
      <c r="ET78" s="167">
        <v>1.8956</v>
      </c>
      <c r="EU78" s="167">
        <v>0.72219999999999995</v>
      </c>
      <c r="EV78" s="167">
        <v>0.62629999999999997</v>
      </c>
      <c r="EY78" s="168">
        <v>9994</v>
      </c>
      <c r="EZ78" s="167">
        <v>14.168900000000001</v>
      </c>
      <c r="FA78" s="167">
        <v>1.8987000000000001</v>
      </c>
      <c r="FB78" s="167">
        <v>0.72340000000000004</v>
      </c>
      <c r="FC78" s="167">
        <v>0.62729999999999997</v>
      </c>
      <c r="FF78" s="168">
        <v>9994</v>
      </c>
      <c r="FG78" s="167">
        <v>14.2058</v>
      </c>
      <c r="FH78" s="167">
        <v>1.9036</v>
      </c>
      <c r="FI78" s="167">
        <v>0.72529999999999994</v>
      </c>
      <c r="FJ78" s="167">
        <v>0.62890000000000001</v>
      </c>
      <c r="FM78" s="168">
        <v>9994</v>
      </c>
      <c r="FN78" s="167">
        <v>14.224299999999999</v>
      </c>
      <c r="FO78" s="167">
        <v>1.9060999999999999</v>
      </c>
      <c r="FP78" s="167">
        <v>0.72619999999999996</v>
      </c>
      <c r="FQ78" s="167">
        <v>0.62970000000000004</v>
      </c>
      <c r="FT78" s="168">
        <v>9994</v>
      </c>
      <c r="FU78" s="167">
        <f>VLOOKUP(FT78,Sheet4!A80:F156,3,0)</f>
        <v>14.2667</v>
      </c>
      <c r="FV78" s="167">
        <f>VLOOKUP(FT78,Sheet4!A80:F156,4,0)</f>
        <v>1.9117999999999999</v>
      </c>
      <c r="FW78" s="167">
        <f>VLOOKUP(FT78,Sheet4!A80:F156,5,0)</f>
        <v>0.72840000000000005</v>
      </c>
      <c r="FX78" s="167">
        <f>VLOOKUP(FT78,Sheet4!A80:F156,6,0)</f>
        <v>0.63160000000000005</v>
      </c>
    </row>
    <row r="79" spans="1:180" x14ac:dyDescent="0.25">
      <c r="A79" s="9">
        <v>9995</v>
      </c>
      <c r="B79" s="9">
        <v>12.231</v>
      </c>
      <c r="C79" s="9">
        <v>1.639</v>
      </c>
      <c r="D79" s="9">
        <v>0.62450000000000006</v>
      </c>
      <c r="E79" s="9">
        <v>0.54149999999999998</v>
      </c>
      <c r="H79" s="9">
        <v>9995</v>
      </c>
      <c r="I79" s="9">
        <v>12.7857</v>
      </c>
      <c r="J79" s="9">
        <v>1.7133</v>
      </c>
      <c r="K79" s="9">
        <v>0.65280000000000005</v>
      </c>
      <c r="L79" s="9">
        <v>0.56610000000000005</v>
      </c>
      <c r="O79" s="154">
        <v>9995</v>
      </c>
      <c r="P79" s="154">
        <v>12.8133</v>
      </c>
      <c r="Q79" s="154">
        <v>1.7170000000000001</v>
      </c>
      <c r="R79" s="154">
        <v>0.6542</v>
      </c>
      <c r="S79" s="154">
        <v>0.56730000000000003</v>
      </c>
      <c r="V79" s="151">
        <v>9995</v>
      </c>
      <c r="W79" s="151">
        <v>12.881500000000001</v>
      </c>
      <c r="X79" s="151">
        <v>1.7262</v>
      </c>
      <c r="Y79" s="151">
        <v>0.65769999999999995</v>
      </c>
      <c r="Z79" s="151">
        <v>0.57030000000000003</v>
      </c>
      <c r="AC79" s="155">
        <v>9995</v>
      </c>
      <c r="AD79" s="155">
        <v>13.0259</v>
      </c>
      <c r="AE79" s="155">
        <v>1.7455000000000001</v>
      </c>
      <c r="AF79" s="155">
        <v>0.66500000000000004</v>
      </c>
      <c r="AG79" s="155">
        <v>0.57669999999999999</v>
      </c>
      <c r="AJ79" s="160">
        <v>9995</v>
      </c>
      <c r="AK79" s="6">
        <v>13.209099999999999</v>
      </c>
      <c r="AL79" s="6">
        <v>1.7701</v>
      </c>
      <c r="AM79" s="6">
        <v>0.6744</v>
      </c>
      <c r="AN79" s="6">
        <v>0.58479999999999999</v>
      </c>
      <c r="AQ79" s="129">
        <v>9995</v>
      </c>
      <c r="AR79" s="53">
        <v>13.282999999999999</v>
      </c>
      <c r="AS79" s="53">
        <v>1.78</v>
      </c>
      <c r="AT79" s="53">
        <v>0.67820000000000003</v>
      </c>
      <c r="AU79" s="53">
        <v>0.58809999999999996</v>
      </c>
      <c r="AX79" s="129">
        <v>9995</v>
      </c>
      <c r="AY79" s="53">
        <v>13.331200000000001</v>
      </c>
      <c r="AZ79" s="53">
        <v>1.7864</v>
      </c>
      <c r="BA79" s="53">
        <v>0.68059999999999998</v>
      </c>
      <c r="BB79" s="53">
        <v>0.59019999999999995</v>
      </c>
      <c r="BC79" s="3"/>
      <c r="BD79" s="182"/>
      <c r="BE79" s="129">
        <v>9995</v>
      </c>
      <c r="BF79" s="53">
        <v>13.3521</v>
      </c>
      <c r="BG79" s="53">
        <v>1.7891999999999999</v>
      </c>
      <c r="BH79" s="53">
        <v>0.68169999999999997</v>
      </c>
      <c r="BI79" s="53">
        <v>0.59109999999999996</v>
      </c>
      <c r="BK79" s="22"/>
      <c r="BL79" s="129">
        <v>9995</v>
      </c>
      <c r="BM79" s="53">
        <v>13.4619</v>
      </c>
      <c r="BN79" s="53">
        <v>1.8039000000000001</v>
      </c>
      <c r="BO79" s="53">
        <v>0.68730000000000002</v>
      </c>
      <c r="BP79" s="53">
        <v>0.59599999999999997</v>
      </c>
      <c r="BQ79" s="22"/>
      <c r="BS79" s="129">
        <v>9995</v>
      </c>
      <c r="BT79" s="53">
        <v>13.610200000000001</v>
      </c>
      <c r="BU79" s="53">
        <v>1.8238000000000001</v>
      </c>
      <c r="BV79" s="53">
        <v>0.69489999999999996</v>
      </c>
      <c r="BW79" s="53">
        <v>0.60260000000000002</v>
      </c>
      <c r="BZ79" s="129">
        <v>9995</v>
      </c>
      <c r="CA79" s="53">
        <v>13.657299999999999</v>
      </c>
      <c r="CB79" s="53">
        <v>1.8301000000000001</v>
      </c>
      <c r="CC79" s="53">
        <v>0.69730000000000003</v>
      </c>
      <c r="CD79" s="53">
        <v>0.60460000000000003</v>
      </c>
      <c r="CG79" s="129">
        <v>9995</v>
      </c>
      <c r="CH79" s="53">
        <v>13.6952</v>
      </c>
      <c r="CI79" s="53">
        <v>1.8351999999999999</v>
      </c>
      <c r="CJ79" s="53">
        <v>0.69920000000000004</v>
      </c>
      <c r="CK79" s="53">
        <v>0.60629999999999995</v>
      </c>
      <c r="CN79" s="207">
        <v>9995</v>
      </c>
      <c r="CO79" s="53">
        <v>13.784000000000001</v>
      </c>
      <c r="CP79" s="53">
        <v>1.8471</v>
      </c>
      <c r="CQ79" s="53">
        <v>0.70369999999999999</v>
      </c>
      <c r="CR79" s="53">
        <v>0.61019999999999996</v>
      </c>
      <c r="CU79" s="215">
        <v>9995</v>
      </c>
      <c r="CV79" s="53">
        <v>13.813700000000001</v>
      </c>
      <c r="CW79" s="53">
        <v>1.8511</v>
      </c>
      <c r="CX79" s="53">
        <v>0.70530000000000004</v>
      </c>
      <c r="CY79" s="53">
        <v>0.61160000000000003</v>
      </c>
      <c r="DB79" s="217">
        <v>9995</v>
      </c>
      <c r="DC79" s="53">
        <v>13.844900000000001</v>
      </c>
      <c r="DD79" s="53">
        <v>1.8553000000000002</v>
      </c>
      <c r="DE79" s="53">
        <v>0.70689999999999997</v>
      </c>
      <c r="DF79" s="53">
        <v>0.6129</v>
      </c>
      <c r="DI79" s="222">
        <v>9995</v>
      </c>
      <c r="DJ79" s="53">
        <v>13.871</v>
      </c>
      <c r="DK79" s="53">
        <v>1.8588</v>
      </c>
      <c r="DL79" s="53">
        <v>0.70820000000000005</v>
      </c>
      <c r="DM79" s="53">
        <v>0.61409999999999998</v>
      </c>
      <c r="DN79" s="231"/>
      <c r="DO79" s="231"/>
      <c r="DP79" s="227">
        <v>9995</v>
      </c>
      <c r="DQ79" s="53">
        <v>13.9076</v>
      </c>
      <c r="DR79" s="53">
        <v>1.8636999999999999</v>
      </c>
      <c r="DS79" s="53">
        <v>0.71009999999999995</v>
      </c>
      <c r="DT79" s="53">
        <v>0.61570000000000003</v>
      </c>
      <c r="DW79" s="235">
        <v>9995</v>
      </c>
      <c r="DX79" s="53">
        <v>13.9488</v>
      </c>
      <c r="DY79" s="53">
        <v>1.8692</v>
      </c>
      <c r="DZ79" s="53">
        <v>0.71220000000000006</v>
      </c>
      <c r="EA79" s="53">
        <v>0.61750000000000005</v>
      </c>
      <c r="ED79" s="237">
        <v>9995</v>
      </c>
      <c r="EE79" s="53">
        <v>13.9893</v>
      </c>
      <c r="EF79" s="53">
        <v>1.8746</v>
      </c>
      <c r="EG79" s="53">
        <v>0.71419999999999995</v>
      </c>
      <c r="EH79" s="53">
        <v>0.61929999999999996</v>
      </c>
      <c r="EK79" s="239">
        <v>9995</v>
      </c>
      <c r="EL79" s="53">
        <v>14.066599999999999</v>
      </c>
      <c r="EM79" s="53">
        <v>1.885</v>
      </c>
      <c r="EN79" s="53">
        <v>0.71819999999999995</v>
      </c>
      <c r="EO79" s="53">
        <v>0.62280000000000002</v>
      </c>
      <c r="ER79" s="243">
        <v>9995</v>
      </c>
      <c r="ES79" s="53">
        <v>14.1456</v>
      </c>
      <c r="ET79" s="53">
        <v>1.8956</v>
      </c>
      <c r="EU79" s="53">
        <v>0.72219999999999995</v>
      </c>
      <c r="EV79" s="53">
        <v>0.62629999999999997</v>
      </c>
      <c r="EY79" s="245">
        <v>9995</v>
      </c>
      <c r="EZ79" s="53">
        <v>14.168900000000001</v>
      </c>
      <c r="FA79" s="53">
        <v>1.8987000000000001</v>
      </c>
      <c r="FB79" s="53">
        <v>0.72340000000000004</v>
      </c>
      <c r="FC79" s="53">
        <v>0.62729999999999997</v>
      </c>
      <c r="FF79" s="249">
        <v>9995</v>
      </c>
      <c r="FG79" s="53">
        <v>14.2058</v>
      </c>
      <c r="FH79" s="53">
        <v>1.9036</v>
      </c>
      <c r="FI79" s="53">
        <v>0.72529999999999994</v>
      </c>
      <c r="FJ79" s="53">
        <v>0.62890000000000001</v>
      </c>
      <c r="FM79" s="252">
        <v>9995</v>
      </c>
      <c r="FN79" s="53">
        <v>14.224299999999999</v>
      </c>
      <c r="FO79" s="53">
        <v>1.9060999999999999</v>
      </c>
      <c r="FP79" s="53">
        <v>0.72619999999999996</v>
      </c>
      <c r="FQ79" s="53">
        <v>0.62970000000000004</v>
      </c>
      <c r="FT79" s="254">
        <v>9995</v>
      </c>
      <c r="FU79" s="53">
        <f>VLOOKUP(FT79,Sheet4!A81:F157,3,0)</f>
        <v>14.2667</v>
      </c>
      <c r="FV79" s="53">
        <f>VLOOKUP(FT79,Sheet4!A81:F157,4,0)</f>
        <v>1.9117999999999999</v>
      </c>
      <c r="FW79" s="53">
        <f>VLOOKUP(FT79,Sheet4!A81:F157,5,0)</f>
        <v>0.72840000000000005</v>
      </c>
      <c r="FX79" s="53">
        <f>VLOOKUP(FT79,Sheet4!A81:F157,6,0)</f>
        <v>0.63160000000000005</v>
      </c>
    </row>
    <row r="80" spans="1:180" x14ac:dyDescent="0.25">
      <c r="A80" s="9">
        <v>9996</v>
      </c>
      <c r="B80" s="9">
        <v>12.231</v>
      </c>
      <c r="C80" s="9">
        <v>1.639</v>
      </c>
      <c r="D80" s="9">
        <v>0.62450000000000006</v>
      </c>
      <c r="E80" s="9">
        <v>0.54149999999999998</v>
      </c>
      <c r="H80" s="9">
        <v>9996</v>
      </c>
      <c r="I80" s="9">
        <v>12.7857</v>
      </c>
      <c r="J80" s="9">
        <v>1.7133</v>
      </c>
      <c r="K80" s="9">
        <v>0.65280000000000005</v>
      </c>
      <c r="L80" s="9">
        <v>0.56610000000000005</v>
      </c>
      <c r="O80" s="148">
        <v>9996</v>
      </c>
      <c r="P80" s="148">
        <v>12.8133</v>
      </c>
      <c r="Q80" s="148">
        <v>1.7170000000000001</v>
      </c>
      <c r="R80" s="148">
        <v>0.6542</v>
      </c>
      <c r="S80" s="148">
        <v>0.56730000000000003</v>
      </c>
      <c r="V80" s="151">
        <v>9996</v>
      </c>
      <c r="W80" s="151">
        <v>12.881500000000001</v>
      </c>
      <c r="X80" s="151">
        <v>1.7262</v>
      </c>
      <c r="Y80" s="151">
        <v>0.65769999999999995</v>
      </c>
      <c r="Z80" s="151">
        <v>0.57030000000000003</v>
      </c>
      <c r="AC80" s="155">
        <v>9996</v>
      </c>
      <c r="AD80" s="155">
        <v>13.0259</v>
      </c>
      <c r="AE80" s="155">
        <v>1.7455000000000001</v>
      </c>
      <c r="AF80" s="155">
        <v>0.66500000000000004</v>
      </c>
      <c r="AG80" s="155">
        <v>0.57669999999999999</v>
      </c>
      <c r="AJ80" s="168">
        <v>9996</v>
      </c>
      <c r="AK80" s="169">
        <v>13.209099999999999</v>
      </c>
      <c r="AL80" s="169">
        <v>1.7701</v>
      </c>
      <c r="AM80" s="169">
        <v>0.6744</v>
      </c>
      <c r="AN80" s="169">
        <v>0.58479999999999999</v>
      </c>
      <c r="AQ80" s="165">
        <v>9996</v>
      </c>
      <c r="AR80" s="167">
        <v>13.282999999999999</v>
      </c>
      <c r="AS80" s="167">
        <v>1.78</v>
      </c>
      <c r="AT80" s="167">
        <v>0.67820000000000003</v>
      </c>
      <c r="AU80" s="167">
        <v>0.58809999999999996</v>
      </c>
      <c r="AX80" s="165">
        <v>9996</v>
      </c>
      <c r="AY80" s="167">
        <v>13.331200000000001</v>
      </c>
      <c r="AZ80" s="167">
        <v>1.7864</v>
      </c>
      <c r="BA80" s="167">
        <v>0.68059999999999998</v>
      </c>
      <c r="BB80" s="53">
        <v>0.59019999999999995</v>
      </c>
      <c r="BC80" s="3"/>
      <c r="BD80" s="182"/>
      <c r="BE80" s="165">
        <v>9996</v>
      </c>
      <c r="BF80" s="167">
        <v>13.3521</v>
      </c>
      <c r="BG80" s="167">
        <v>1.7891999999999999</v>
      </c>
      <c r="BH80" s="167">
        <v>0.68169999999999997</v>
      </c>
      <c r="BI80" s="167">
        <v>0.59109999999999996</v>
      </c>
      <c r="BK80" s="22"/>
      <c r="BL80" s="165">
        <v>9996</v>
      </c>
      <c r="BM80" s="53">
        <v>13.4619</v>
      </c>
      <c r="BN80" s="53">
        <v>1.8039000000000001</v>
      </c>
      <c r="BO80" s="53">
        <v>0.68730000000000002</v>
      </c>
      <c r="BP80" s="53">
        <v>0.59599999999999997</v>
      </c>
      <c r="BQ80" s="22"/>
      <c r="BS80" s="165">
        <v>9996</v>
      </c>
      <c r="BT80" s="167">
        <v>13.610200000000001</v>
      </c>
      <c r="BU80" s="167">
        <v>1.8238000000000001</v>
      </c>
      <c r="BV80" s="167">
        <v>0.69489999999999996</v>
      </c>
      <c r="BW80" s="167">
        <v>0.60260000000000002</v>
      </c>
      <c r="BZ80" s="165">
        <v>9996</v>
      </c>
      <c r="CA80" s="167">
        <v>13.657299999999999</v>
      </c>
      <c r="CB80" s="167">
        <v>1.8301000000000001</v>
      </c>
      <c r="CC80" s="167">
        <v>0.69730000000000003</v>
      </c>
      <c r="CD80" s="167">
        <v>0.60460000000000003</v>
      </c>
      <c r="CG80" s="165">
        <v>9996</v>
      </c>
      <c r="CH80" s="167">
        <v>13.6952</v>
      </c>
      <c r="CI80" s="167">
        <v>1.8351999999999999</v>
      </c>
      <c r="CJ80" s="167">
        <v>0.69920000000000004</v>
      </c>
      <c r="CK80" s="167">
        <v>0.60629999999999995</v>
      </c>
      <c r="CN80" s="168">
        <v>9996</v>
      </c>
      <c r="CO80" s="167">
        <v>13.784000000000001</v>
      </c>
      <c r="CP80" s="167">
        <v>1.8471</v>
      </c>
      <c r="CQ80" s="167">
        <v>0.70369999999999999</v>
      </c>
      <c r="CR80" s="167">
        <v>0.61019999999999996</v>
      </c>
      <c r="CU80" s="168">
        <v>9996</v>
      </c>
      <c r="CV80" s="167">
        <v>13.813700000000001</v>
      </c>
      <c r="CW80" s="167">
        <v>1.8511</v>
      </c>
      <c r="CX80" s="167">
        <v>0.70530000000000004</v>
      </c>
      <c r="CY80" s="167">
        <v>0.61160000000000003</v>
      </c>
      <c r="DB80" s="168">
        <v>9996</v>
      </c>
      <c r="DC80" s="167">
        <v>13.844900000000001</v>
      </c>
      <c r="DD80" s="167">
        <v>1.8553000000000002</v>
      </c>
      <c r="DE80" s="167">
        <v>0.70689999999999997</v>
      </c>
      <c r="DF80" s="167">
        <v>0.6129</v>
      </c>
      <c r="DI80" s="168">
        <v>9996</v>
      </c>
      <c r="DJ80" s="167">
        <v>13.871</v>
      </c>
      <c r="DK80" s="167">
        <v>1.8588</v>
      </c>
      <c r="DL80" s="167">
        <v>0.70820000000000005</v>
      </c>
      <c r="DM80" s="167">
        <v>0.61409999999999998</v>
      </c>
      <c r="DN80" s="231"/>
      <c r="DO80" s="231"/>
      <c r="DP80" s="168">
        <v>9996</v>
      </c>
      <c r="DQ80" s="167">
        <v>13.9076</v>
      </c>
      <c r="DR80" s="167">
        <v>1.8636999999999999</v>
      </c>
      <c r="DS80" s="167">
        <v>0.71009999999999995</v>
      </c>
      <c r="DT80" s="167">
        <v>0.61570000000000003</v>
      </c>
      <c r="DW80" s="168">
        <v>9996</v>
      </c>
      <c r="DX80" s="167">
        <v>13.9488</v>
      </c>
      <c r="DY80" s="167">
        <v>1.8692</v>
      </c>
      <c r="DZ80" s="167">
        <v>0.71220000000000006</v>
      </c>
      <c r="EA80" s="167">
        <v>0.61750000000000005</v>
      </c>
      <c r="ED80" s="168">
        <v>9996</v>
      </c>
      <c r="EE80" s="167">
        <v>13.9893</v>
      </c>
      <c r="EF80" s="167">
        <v>1.8746</v>
      </c>
      <c r="EG80" s="167">
        <v>0.71419999999999995</v>
      </c>
      <c r="EH80" s="167">
        <v>0.61929999999999996</v>
      </c>
      <c r="EK80" s="168">
        <v>9996</v>
      </c>
      <c r="EL80" s="167">
        <v>14.066599999999999</v>
      </c>
      <c r="EM80" s="167">
        <v>1.885</v>
      </c>
      <c r="EN80" s="167">
        <v>0.71819999999999995</v>
      </c>
      <c r="EO80" s="167">
        <v>0.62280000000000002</v>
      </c>
      <c r="ER80" s="168">
        <v>9996</v>
      </c>
      <c r="ES80" s="167">
        <v>14.1456</v>
      </c>
      <c r="ET80" s="167">
        <v>1.8956</v>
      </c>
      <c r="EU80" s="167">
        <v>0.72219999999999995</v>
      </c>
      <c r="EV80" s="167">
        <v>0.62629999999999997</v>
      </c>
      <c r="EY80" s="168">
        <v>9996</v>
      </c>
      <c r="EZ80" s="167">
        <v>14.168900000000001</v>
      </c>
      <c r="FA80" s="167">
        <v>1.8987000000000001</v>
      </c>
      <c r="FB80" s="167">
        <v>0.72340000000000004</v>
      </c>
      <c r="FC80" s="167">
        <v>0.62729999999999997</v>
      </c>
      <c r="FF80" s="168">
        <v>9996</v>
      </c>
      <c r="FG80" s="167">
        <v>14.2058</v>
      </c>
      <c r="FH80" s="167">
        <v>1.9036</v>
      </c>
      <c r="FI80" s="167">
        <v>0.72529999999999994</v>
      </c>
      <c r="FJ80" s="167">
        <v>0.62890000000000001</v>
      </c>
      <c r="FM80" s="168">
        <v>9996</v>
      </c>
      <c r="FN80" s="167">
        <v>14.224299999999999</v>
      </c>
      <c r="FO80" s="167">
        <v>1.9060999999999999</v>
      </c>
      <c r="FP80" s="167">
        <v>0.72619999999999996</v>
      </c>
      <c r="FQ80" s="167">
        <v>0.62970000000000004</v>
      </c>
      <c r="FT80" s="168">
        <v>9996</v>
      </c>
      <c r="FU80" s="167">
        <f>VLOOKUP(FT80,Sheet4!A82:F158,3,0)</f>
        <v>14.2667</v>
      </c>
      <c r="FV80" s="167">
        <f>VLOOKUP(FT80,Sheet4!A82:F158,4,0)</f>
        <v>1.9117999999999999</v>
      </c>
      <c r="FW80" s="167">
        <f>VLOOKUP(FT80,Sheet4!A82:F158,5,0)</f>
        <v>0.72840000000000005</v>
      </c>
      <c r="FX80" s="167">
        <f>VLOOKUP(FT80,Sheet4!A82:F158,6,0)</f>
        <v>0.63160000000000005</v>
      </c>
    </row>
    <row r="81" spans="1:180" x14ac:dyDescent="0.25">
      <c r="A81" s="9">
        <v>9997</v>
      </c>
      <c r="B81" s="9">
        <v>9.8440999999999992</v>
      </c>
      <c r="C81" s="9">
        <v>1.3190999999999999</v>
      </c>
      <c r="D81" s="9">
        <v>0.50260000000000005</v>
      </c>
      <c r="E81" s="9">
        <v>0.43580000000000002</v>
      </c>
      <c r="H81" s="9">
        <v>9997</v>
      </c>
      <c r="I81" s="9">
        <v>10.256399999999999</v>
      </c>
      <c r="J81" s="9">
        <v>1.3744000000000001</v>
      </c>
      <c r="K81" s="9">
        <v>0.52359999999999995</v>
      </c>
      <c r="L81" s="9">
        <v>0.4541</v>
      </c>
      <c r="O81" s="154">
        <v>9997</v>
      </c>
      <c r="P81" s="154">
        <v>10.276899999999999</v>
      </c>
      <c r="Q81" s="154">
        <v>1.3771</v>
      </c>
      <c r="R81" s="154">
        <v>0.52470000000000006</v>
      </c>
      <c r="S81" s="154">
        <v>0.45500000000000002</v>
      </c>
      <c r="V81" s="151">
        <v>9997</v>
      </c>
      <c r="W81" s="151">
        <v>10.3276</v>
      </c>
      <c r="X81" s="151">
        <v>1.3838999999999999</v>
      </c>
      <c r="Y81" s="151">
        <v>0.52729999999999999</v>
      </c>
      <c r="Z81" s="151">
        <v>0.4572</v>
      </c>
      <c r="AC81" s="155">
        <v>9997</v>
      </c>
      <c r="AD81" s="155">
        <v>10.434900000000001</v>
      </c>
      <c r="AE81" s="155">
        <v>1.3983000000000001</v>
      </c>
      <c r="AF81" s="155">
        <v>0.53280000000000005</v>
      </c>
      <c r="AG81" s="155">
        <v>0.46200000000000002</v>
      </c>
      <c r="AJ81" s="160">
        <v>9997</v>
      </c>
      <c r="AK81" s="6">
        <v>10.571099999999999</v>
      </c>
      <c r="AL81" s="6">
        <v>1.4166000000000001</v>
      </c>
      <c r="AM81" s="6">
        <v>0.53969999999999996</v>
      </c>
      <c r="AN81" s="6">
        <v>0.46800000000000003</v>
      </c>
      <c r="AQ81" s="129">
        <v>9997</v>
      </c>
      <c r="AR81" s="53">
        <v>10.626099999999999</v>
      </c>
      <c r="AS81" s="53">
        <v>1.4238999999999999</v>
      </c>
      <c r="AT81" s="53">
        <v>0.54249999999999998</v>
      </c>
      <c r="AU81" s="53">
        <v>0.47039999999999998</v>
      </c>
      <c r="AX81" s="129">
        <v>9997</v>
      </c>
      <c r="AY81" s="53">
        <v>10.661899999999999</v>
      </c>
      <c r="AZ81" s="53">
        <v>1.4287000000000001</v>
      </c>
      <c r="BA81" s="53">
        <v>0.54430000000000001</v>
      </c>
      <c r="BB81" s="53">
        <v>0.47199999999999998</v>
      </c>
      <c r="BC81" s="3"/>
      <c r="BD81" s="182"/>
      <c r="BE81" s="129">
        <v>9997</v>
      </c>
      <c r="BF81" s="53">
        <v>10.6774</v>
      </c>
      <c r="BG81" s="53">
        <v>1.4308000000000001</v>
      </c>
      <c r="BH81" s="53">
        <v>0.54510000000000003</v>
      </c>
      <c r="BI81" s="53">
        <v>0.47270000000000001</v>
      </c>
      <c r="BK81" s="83"/>
      <c r="BL81" s="129">
        <v>9997</v>
      </c>
      <c r="BM81" s="53">
        <v>10.759</v>
      </c>
      <c r="BN81" s="53">
        <v>1.4417</v>
      </c>
      <c r="BO81" s="53">
        <v>0.54930000000000001</v>
      </c>
      <c r="BP81" s="53">
        <v>0.4763</v>
      </c>
      <c r="BQ81" s="22"/>
      <c r="BS81" s="129">
        <v>9997</v>
      </c>
      <c r="BT81" s="53">
        <v>10.869199999999999</v>
      </c>
      <c r="BU81" s="53">
        <v>1.4564999999999999</v>
      </c>
      <c r="BV81" s="53">
        <v>0.55489999999999995</v>
      </c>
      <c r="BW81" s="53">
        <v>0.48120000000000002</v>
      </c>
      <c r="BZ81" s="129">
        <v>9997</v>
      </c>
      <c r="CA81" s="53">
        <v>10.904199999999999</v>
      </c>
      <c r="CB81" s="53">
        <v>1.4612000000000001</v>
      </c>
      <c r="CC81" s="53">
        <v>0.55669999999999997</v>
      </c>
      <c r="CD81" s="53">
        <v>0.48280000000000001</v>
      </c>
      <c r="CG81" s="129">
        <v>9997</v>
      </c>
      <c r="CH81" s="53">
        <v>10.932399999999999</v>
      </c>
      <c r="CI81" s="53">
        <v>1.4650000000000001</v>
      </c>
      <c r="CJ81" s="53">
        <v>0.55820000000000003</v>
      </c>
      <c r="CK81" s="53">
        <v>0.48399999999999999</v>
      </c>
      <c r="CN81" s="207">
        <v>9997</v>
      </c>
      <c r="CO81" s="53">
        <v>10.9984</v>
      </c>
      <c r="CP81" s="53">
        <v>1.4738</v>
      </c>
      <c r="CQ81" s="53">
        <v>0.5615</v>
      </c>
      <c r="CR81" s="53">
        <v>0.4869</v>
      </c>
      <c r="CU81" s="215">
        <v>9997</v>
      </c>
      <c r="CV81" s="53">
        <v>11.0204</v>
      </c>
      <c r="CW81" s="53">
        <v>1.4767999999999999</v>
      </c>
      <c r="CX81" s="53">
        <v>0.56269999999999998</v>
      </c>
      <c r="CY81" s="53">
        <v>0.4879</v>
      </c>
      <c r="DB81" s="217">
        <v>9997</v>
      </c>
      <c r="DC81" s="53">
        <v>11.043600000000001</v>
      </c>
      <c r="DD81" s="53">
        <v>1.4799</v>
      </c>
      <c r="DE81" s="53">
        <v>0.56379999999999997</v>
      </c>
      <c r="DF81" s="53">
        <v>0.4889</v>
      </c>
      <c r="DI81" s="222">
        <v>9997</v>
      </c>
      <c r="DJ81" s="53">
        <v>11.063000000000001</v>
      </c>
      <c r="DK81" s="53">
        <v>1.4824999999999999</v>
      </c>
      <c r="DL81" s="53">
        <v>0.56479999999999997</v>
      </c>
      <c r="DM81" s="53">
        <v>0.48980000000000001</v>
      </c>
      <c r="DN81" s="231"/>
      <c r="DO81" s="231"/>
      <c r="DP81" s="227">
        <v>9997</v>
      </c>
      <c r="DQ81" s="53">
        <v>11.090199999999999</v>
      </c>
      <c r="DR81" s="53">
        <v>1.4861</v>
      </c>
      <c r="DS81" s="53">
        <v>0.56620000000000004</v>
      </c>
      <c r="DT81" s="53">
        <v>0.49099999999999999</v>
      </c>
      <c r="DW81" s="235">
        <v>9997</v>
      </c>
      <c r="DX81" s="53">
        <v>11.120799999999999</v>
      </c>
      <c r="DY81" s="53">
        <v>1.4902</v>
      </c>
      <c r="DZ81" s="53">
        <v>0.56779999999999997</v>
      </c>
      <c r="EA81" s="53">
        <v>0.49230000000000002</v>
      </c>
      <c r="ED81" s="237">
        <v>9997</v>
      </c>
      <c r="EE81" s="53">
        <v>11.1509</v>
      </c>
      <c r="EF81" s="53">
        <v>1.4943</v>
      </c>
      <c r="EG81" s="53">
        <v>0.56930000000000003</v>
      </c>
      <c r="EH81" s="53">
        <v>0.49370000000000003</v>
      </c>
      <c r="EK81" s="239">
        <v>9997</v>
      </c>
      <c r="EL81" s="53">
        <v>11.208399999999999</v>
      </c>
      <c r="EM81" s="53">
        <v>1.502</v>
      </c>
      <c r="EN81" s="53">
        <v>0.57230000000000003</v>
      </c>
      <c r="EO81" s="53">
        <v>0.49619999999999997</v>
      </c>
      <c r="ER81" s="243">
        <v>9997</v>
      </c>
      <c r="ES81" s="53">
        <v>11.267200000000001</v>
      </c>
      <c r="ET81" s="53">
        <v>1.5098</v>
      </c>
      <c r="EU81" s="53">
        <v>0.57530000000000003</v>
      </c>
      <c r="EV81" s="53">
        <v>0.49880000000000002</v>
      </c>
      <c r="EY81" s="245">
        <v>9997</v>
      </c>
      <c r="EZ81" s="53">
        <v>11.2845</v>
      </c>
      <c r="FA81" s="53">
        <v>1.5122</v>
      </c>
      <c r="FB81" s="53">
        <v>0.57609999999999995</v>
      </c>
      <c r="FC81" s="53">
        <v>0.49959999999999999</v>
      </c>
      <c r="FF81" s="249">
        <v>9997</v>
      </c>
      <c r="FG81" s="53">
        <v>11.3119</v>
      </c>
      <c r="FH81" s="53">
        <v>1.5158</v>
      </c>
      <c r="FI81" s="53">
        <v>0.57750000000000001</v>
      </c>
      <c r="FJ81" s="53">
        <v>0.50080000000000002</v>
      </c>
      <c r="FM81" s="252">
        <v>9997</v>
      </c>
      <c r="FN81" s="53">
        <v>11.325699999999999</v>
      </c>
      <c r="FO81" s="53">
        <v>1.5177</v>
      </c>
      <c r="FP81" s="53">
        <v>0.57820000000000005</v>
      </c>
      <c r="FQ81" s="53">
        <v>0.50139999999999996</v>
      </c>
      <c r="FT81" s="254">
        <v>9997</v>
      </c>
      <c r="FU81" s="53">
        <f>VLOOKUP(FT81,Sheet4!A83:F159,3,0)</f>
        <v>11.3573</v>
      </c>
      <c r="FV81" s="53">
        <f>VLOOKUP(FT81,Sheet4!A83:F159,4,0)</f>
        <v>1.5219</v>
      </c>
      <c r="FW81" s="53">
        <f>VLOOKUP(FT81,Sheet4!A83:F159,5,0)</f>
        <v>0.57989999999999997</v>
      </c>
      <c r="FX81" s="53">
        <f>VLOOKUP(FT81,Sheet4!A83:F159,6,0)</f>
        <v>0.50280000000000002</v>
      </c>
    </row>
    <row r="82" spans="1:180" x14ac:dyDescent="0.25">
      <c r="A82" s="9">
        <v>9998</v>
      </c>
      <c r="B82" s="9">
        <v>10.0502</v>
      </c>
      <c r="C82" s="9">
        <v>1.3468</v>
      </c>
      <c r="D82" s="9">
        <v>0.5131</v>
      </c>
      <c r="E82" s="9">
        <v>0.44490000000000002</v>
      </c>
      <c r="H82" s="9">
        <v>9998</v>
      </c>
      <c r="I82" s="9">
        <v>10.557399999999999</v>
      </c>
      <c r="J82" s="9">
        <v>1.4147000000000001</v>
      </c>
      <c r="K82" s="9">
        <v>0.53900000000000003</v>
      </c>
      <c r="L82" s="9">
        <v>0.46739999999999998</v>
      </c>
      <c r="O82" s="148">
        <v>9998</v>
      </c>
      <c r="P82" s="148">
        <v>10.582599999999999</v>
      </c>
      <c r="Q82" s="148">
        <v>1.4180999999999999</v>
      </c>
      <c r="R82" s="148">
        <v>0.5403</v>
      </c>
      <c r="S82" s="148">
        <v>0.46850000000000003</v>
      </c>
      <c r="V82" s="151">
        <v>9998</v>
      </c>
      <c r="W82" s="151">
        <v>10.6449</v>
      </c>
      <c r="X82" s="151">
        <v>1.4265000000000001</v>
      </c>
      <c r="Y82" s="151">
        <v>0.54349999999999998</v>
      </c>
      <c r="Z82" s="151">
        <v>0.4713</v>
      </c>
      <c r="AC82" s="155">
        <v>9998</v>
      </c>
      <c r="AD82" s="155">
        <v>10.776899999999999</v>
      </c>
      <c r="AE82" s="155">
        <v>1.4440999999999999</v>
      </c>
      <c r="AF82" s="155">
        <v>0.55020000000000002</v>
      </c>
      <c r="AG82" s="155">
        <v>0.47710000000000002</v>
      </c>
      <c r="AJ82" s="168">
        <v>9998</v>
      </c>
      <c r="AK82" s="169">
        <v>10.9445</v>
      </c>
      <c r="AL82" s="169">
        <v>1.4665999999999999</v>
      </c>
      <c r="AM82" s="169">
        <v>0.55879999999999996</v>
      </c>
      <c r="AN82" s="169">
        <v>0.48449999999999999</v>
      </c>
      <c r="AQ82" s="165">
        <v>9998</v>
      </c>
      <c r="AR82" s="167">
        <v>11.0121</v>
      </c>
      <c r="AS82" s="167">
        <v>1.4757</v>
      </c>
      <c r="AT82" s="167">
        <v>0.56220000000000003</v>
      </c>
      <c r="AU82" s="167">
        <v>0.48749999999999999</v>
      </c>
      <c r="AX82" s="165">
        <v>9998</v>
      </c>
      <c r="AY82" s="167">
        <v>11.0562</v>
      </c>
      <c r="AZ82" s="167">
        <v>1.4816</v>
      </c>
      <c r="BA82" s="167">
        <v>0.5645</v>
      </c>
      <c r="BB82" s="167">
        <v>0.48949999999999999</v>
      </c>
      <c r="BC82" s="3"/>
      <c r="BD82" s="182"/>
      <c r="BE82" s="165">
        <v>9998</v>
      </c>
      <c r="BF82" s="167">
        <v>11.0753</v>
      </c>
      <c r="BG82" s="167">
        <v>1.4841</v>
      </c>
      <c r="BH82" s="167">
        <v>0.5655</v>
      </c>
      <c r="BI82" s="167">
        <v>0.49030000000000001</v>
      </c>
      <c r="BK82" s="22"/>
      <c r="BL82" s="165">
        <v>9998</v>
      </c>
      <c r="BM82" s="53">
        <v>11.175700000000001</v>
      </c>
      <c r="BN82" s="53">
        <v>1.4976</v>
      </c>
      <c r="BO82" s="53">
        <v>0.5706</v>
      </c>
      <c r="BP82" s="53">
        <v>0.49480000000000002</v>
      </c>
      <c r="BQ82" s="22"/>
      <c r="BS82" s="165">
        <v>9998</v>
      </c>
      <c r="BT82" s="167">
        <v>11.311299999999999</v>
      </c>
      <c r="BU82" s="167">
        <v>1.5158</v>
      </c>
      <c r="BV82" s="167">
        <v>0.57750000000000001</v>
      </c>
      <c r="BW82" s="167">
        <v>0.50080000000000002</v>
      </c>
      <c r="BZ82" s="165">
        <v>9998</v>
      </c>
      <c r="CA82" s="167">
        <v>11.3544</v>
      </c>
      <c r="CB82" s="167">
        <v>1.5215000000000001</v>
      </c>
      <c r="CC82" s="167">
        <v>0.57969999999999999</v>
      </c>
      <c r="CD82" s="167">
        <v>0.50270000000000004</v>
      </c>
      <c r="CG82" s="165">
        <v>9998</v>
      </c>
      <c r="CH82" s="167">
        <v>11.389099999999999</v>
      </c>
      <c r="CI82" s="167">
        <v>1.5262</v>
      </c>
      <c r="CJ82" s="167">
        <v>0.58150000000000002</v>
      </c>
      <c r="CK82" s="167">
        <v>0.50419999999999998</v>
      </c>
      <c r="CN82" s="168">
        <v>9998</v>
      </c>
      <c r="CO82" s="167">
        <v>11.4703</v>
      </c>
      <c r="CP82" s="167">
        <v>1.5370999999999999</v>
      </c>
      <c r="CQ82" s="167">
        <v>0.58560000000000001</v>
      </c>
      <c r="CR82" s="167">
        <v>0.50780000000000003</v>
      </c>
      <c r="CU82" s="168">
        <v>9998</v>
      </c>
      <c r="CV82" s="167">
        <v>11.497400000000001</v>
      </c>
      <c r="CW82" s="167">
        <v>1.5407</v>
      </c>
      <c r="CX82" s="167">
        <v>0.58699999999999997</v>
      </c>
      <c r="CY82" s="167">
        <v>0.50900000000000001</v>
      </c>
      <c r="DB82" s="168">
        <v>9998</v>
      </c>
      <c r="DC82" s="167">
        <v>11.5259</v>
      </c>
      <c r="DD82" s="167">
        <v>1.5445</v>
      </c>
      <c r="DE82" s="167">
        <v>0.58850000000000002</v>
      </c>
      <c r="DF82" s="167">
        <v>0.51029999999999998</v>
      </c>
      <c r="DI82" s="168">
        <v>9998</v>
      </c>
      <c r="DJ82" s="167">
        <v>11.549799999999999</v>
      </c>
      <c r="DK82" s="167">
        <v>1.5477000000000001</v>
      </c>
      <c r="DL82" s="167">
        <v>0.5897</v>
      </c>
      <c r="DM82" s="167">
        <v>0.51129999999999998</v>
      </c>
      <c r="DN82" s="231"/>
      <c r="DO82" s="231"/>
      <c r="DP82" s="168">
        <v>9998</v>
      </c>
      <c r="DQ82" s="167">
        <v>11.583299999999999</v>
      </c>
      <c r="DR82" s="167">
        <v>1.5522</v>
      </c>
      <c r="DS82" s="167">
        <v>0.59140000000000004</v>
      </c>
      <c r="DT82" s="167">
        <v>0.51280000000000003</v>
      </c>
      <c r="DW82" s="168">
        <v>9998</v>
      </c>
      <c r="DX82" s="167">
        <v>11.620900000000001</v>
      </c>
      <c r="DY82" s="167">
        <v>1.5571999999999999</v>
      </c>
      <c r="DZ82" s="167">
        <v>0.59330000000000005</v>
      </c>
      <c r="EA82" s="167">
        <v>0.51449999999999996</v>
      </c>
      <c r="ED82" s="168">
        <v>9998</v>
      </c>
      <c r="EE82" s="167">
        <v>11.657999999999999</v>
      </c>
      <c r="EF82" s="167">
        <v>1.5622</v>
      </c>
      <c r="EG82" s="167">
        <v>0.59519999999999995</v>
      </c>
      <c r="EH82" s="167">
        <v>0.5161</v>
      </c>
      <c r="EK82" s="168">
        <v>9998</v>
      </c>
      <c r="EL82" s="167">
        <v>11.7287</v>
      </c>
      <c r="EM82" s="167">
        <v>1.5717000000000001</v>
      </c>
      <c r="EN82" s="167">
        <v>0.5988</v>
      </c>
      <c r="EO82" s="167">
        <v>0.51929999999999998</v>
      </c>
      <c r="ER82" s="168">
        <v>9998</v>
      </c>
      <c r="ES82" s="167">
        <v>11.801</v>
      </c>
      <c r="ET82" s="167">
        <v>1.5813999999999999</v>
      </c>
      <c r="EU82" s="167">
        <v>0.60250000000000004</v>
      </c>
      <c r="EV82" s="167">
        <v>0.52249999999999996</v>
      </c>
      <c r="EY82" s="168">
        <v>9998</v>
      </c>
      <c r="EZ82" s="167">
        <v>11.8223</v>
      </c>
      <c r="FA82" s="167">
        <v>1.5842000000000001</v>
      </c>
      <c r="FB82" s="167">
        <v>0.60360000000000003</v>
      </c>
      <c r="FC82" s="167">
        <v>0.52339999999999998</v>
      </c>
      <c r="FF82" s="168">
        <v>9998</v>
      </c>
      <c r="FG82" s="167">
        <v>11.856</v>
      </c>
      <c r="FH82" s="167">
        <v>1.5888</v>
      </c>
      <c r="FI82" s="167">
        <v>0.60529999999999995</v>
      </c>
      <c r="FJ82" s="167">
        <v>0.52490000000000003</v>
      </c>
      <c r="FM82" s="168">
        <v>9998</v>
      </c>
      <c r="FN82" s="167">
        <v>11.8729</v>
      </c>
      <c r="FO82" s="167">
        <v>1.591</v>
      </c>
      <c r="FP82" s="167">
        <v>0.60619999999999996</v>
      </c>
      <c r="FQ82" s="167">
        <v>0.52559999999999996</v>
      </c>
      <c r="FT82" s="168">
        <v>9998</v>
      </c>
      <c r="FU82" s="167">
        <f>VLOOKUP(FT82,Sheet4!A84:F160,3,0)</f>
        <v>11.9117</v>
      </c>
      <c r="FV82" s="167">
        <f>VLOOKUP(FT82,Sheet4!A84:F160,4,0)</f>
        <v>1.5962000000000001</v>
      </c>
      <c r="FW82" s="167">
        <f>VLOOKUP(FT82,Sheet4!A84:F160,5,0)</f>
        <v>0.60819999999999996</v>
      </c>
      <c r="FX82" s="167">
        <f>VLOOKUP(FT82,Sheet4!A84:F160,6,0)</f>
        <v>0.52739999999999998</v>
      </c>
    </row>
    <row r="83" spans="1:180" x14ac:dyDescent="0.25">
      <c r="A83" s="9">
        <v>10005</v>
      </c>
      <c r="B83" s="9">
        <v>0</v>
      </c>
      <c r="C83" s="9">
        <v>0</v>
      </c>
      <c r="D83" s="9">
        <v>0</v>
      </c>
      <c r="E83" s="9">
        <v>0</v>
      </c>
      <c r="H83" s="9">
        <v>10005</v>
      </c>
      <c r="I83" s="9">
        <v>0</v>
      </c>
      <c r="J83" s="9">
        <v>0</v>
      </c>
      <c r="K83" s="9">
        <v>0</v>
      </c>
      <c r="L83" s="9">
        <v>0</v>
      </c>
      <c r="O83" s="154">
        <v>10005</v>
      </c>
      <c r="P83" s="154">
        <v>0</v>
      </c>
      <c r="Q83" s="154">
        <v>0</v>
      </c>
      <c r="R83" s="154">
        <v>0</v>
      </c>
      <c r="S83" s="154">
        <v>0</v>
      </c>
      <c r="V83" s="151">
        <v>10005</v>
      </c>
      <c r="W83" s="151">
        <v>0</v>
      </c>
      <c r="X83" s="151">
        <v>0</v>
      </c>
      <c r="Y83" s="151">
        <v>0</v>
      </c>
      <c r="Z83" s="151">
        <v>0</v>
      </c>
      <c r="AC83" s="155">
        <v>10005</v>
      </c>
      <c r="AD83" s="155">
        <v>0</v>
      </c>
      <c r="AE83" s="155">
        <v>0</v>
      </c>
      <c r="AF83" s="155">
        <v>0</v>
      </c>
      <c r="AG83" s="155">
        <v>0</v>
      </c>
      <c r="AJ83" s="160">
        <v>10005</v>
      </c>
      <c r="AK83" s="160">
        <v>0</v>
      </c>
      <c r="AL83" s="160">
        <v>0</v>
      </c>
      <c r="AM83" s="160">
        <v>0</v>
      </c>
      <c r="AN83" s="160">
        <v>0</v>
      </c>
      <c r="AQ83" s="129">
        <v>10005</v>
      </c>
      <c r="AR83" s="9">
        <v>0</v>
      </c>
      <c r="AS83" s="9">
        <v>0</v>
      </c>
      <c r="AT83" s="9">
        <v>0</v>
      </c>
      <c r="AU83" s="9">
        <v>0</v>
      </c>
      <c r="AX83" s="129">
        <v>10005</v>
      </c>
      <c r="AY83" s="185">
        <v>0</v>
      </c>
      <c r="AZ83" s="185">
        <v>0</v>
      </c>
      <c r="BA83" s="185">
        <v>0</v>
      </c>
      <c r="BB83" s="185">
        <v>0</v>
      </c>
      <c r="BC83" s="3"/>
      <c r="BD83" s="182"/>
      <c r="BE83" s="129">
        <v>10005</v>
      </c>
      <c r="BF83" s="53">
        <v>0</v>
      </c>
      <c r="BG83" s="53">
        <v>0</v>
      </c>
      <c r="BH83" s="53">
        <v>0</v>
      </c>
      <c r="BI83" s="53">
        <v>0</v>
      </c>
      <c r="BK83" s="22"/>
      <c r="BL83" s="129">
        <v>10005</v>
      </c>
      <c r="BM83" s="53">
        <v>0</v>
      </c>
      <c r="BN83" s="53">
        <v>0</v>
      </c>
      <c r="BO83" s="53">
        <v>0</v>
      </c>
      <c r="BP83" s="53">
        <v>0</v>
      </c>
      <c r="BQ83" s="22"/>
      <c r="BS83" s="129">
        <v>10005</v>
      </c>
      <c r="BT83" s="53">
        <v>0</v>
      </c>
      <c r="BU83" s="53">
        <v>0</v>
      </c>
      <c r="BV83" s="53">
        <v>0</v>
      </c>
      <c r="BW83" s="53">
        <v>0</v>
      </c>
      <c r="BZ83" s="129">
        <v>10005</v>
      </c>
      <c r="CA83" s="53">
        <v>0</v>
      </c>
      <c r="CB83" s="53">
        <v>0</v>
      </c>
      <c r="CC83" s="53">
        <v>0</v>
      </c>
      <c r="CD83" s="53">
        <v>0</v>
      </c>
      <c r="CG83" s="129">
        <v>10005</v>
      </c>
      <c r="CH83" s="53">
        <v>0</v>
      </c>
      <c r="CI83" s="53">
        <v>0</v>
      </c>
      <c r="CJ83" s="53">
        <v>0</v>
      </c>
      <c r="CK83" s="53">
        <v>0</v>
      </c>
      <c r="CN83" s="207">
        <v>10005</v>
      </c>
      <c r="CO83" s="53">
        <v>0</v>
      </c>
      <c r="CP83" s="53">
        <v>0</v>
      </c>
      <c r="CQ83" s="53">
        <v>0</v>
      </c>
      <c r="CR83" s="53">
        <v>0</v>
      </c>
      <c r="CU83" s="215">
        <v>10005</v>
      </c>
      <c r="CV83" s="53">
        <v>0</v>
      </c>
      <c r="CW83" s="53">
        <v>0</v>
      </c>
      <c r="CX83" s="53">
        <v>0</v>
      </c>
      <c r="CY83" s="53">
        <v>0</v>
      </c>
      <c r="DB83" s="217">
        <v>10005</v>
      </c>
      <c r="DC83" s="53">
        <v>0</v>
      </c>
      <c r="DD83" s="53">
        <v>0</v>
      </c>
      <c r="DE83" s="53">
        <v>0</v>
      </c>
      <c r="DF83" s="53">
        <v>0</v>
      </c>
      <c r="DI83" s="222">
        <v>10005</v>
      </c>
      <c r="DJ83" s="53">
        <v>0</v>
      </c>
      <c r="DK83" s="53">
        <v>0</v>
      </c>
      <c r="DL83" s="53">
        <v>0</v>
      </c>
      <c r="DM83" s="53">
        <v>0</v>
      </c>
      <c r="DN83" s="231"/>
      <c r="DO83" s="231"/>
      <c r="DP83" s="227">
        <v>10005</v>
      </c>
      <c r="DQ83" s="53">
        <v>0</v>
      </c>
      <c r="DR83" s="53">
        <v>0</v>
      </c>
      <c r="DS83" s="53">
        <v>0</v>
      </c>
      <c r="DT83" s="53">
        <v>0</v>
      </c>
      <c r="DW83" s="235">
        <v>10005</v>
      </c>
      <c r="DX83" s="53">
        <v>0</v>
      </c>
      <c r="DY83" s="53">
        <v>0</v>
      </c>
      <c r="DZ83" s="53">
        <v>0</v>
      </c>
      <c r="EA83" s="53">
        <v>0</v>
      </c>
      <c r="ED83" s="237">
        <v>10005</v>
      </c>
      <c r="EE83" s="53">
        <v>0</v>
      </c>
      <c r="EF83" s="53">
        <v>0</v>
      </c>
      <c r="EG83" s="53">
        <v>0</v>
      </c>
      <c r="EH83" s="53">
        <v>0</v>
      </c>
      <c r="EK83" s="239">
        <v>10005</v>
      </c>
      <c r="EL83" s="53">
        <v>0</v>
      </c>
      <c r="EM83" s="53">
        <v>0</v>
      </c>
      <c r="EN83" s="53">
        <v>0</v>
      </c>
      <c r="EO83" s="53">
        <v>0</v>
      </c>
      <c r="ER83" s="243">
        <v>10005</v>
      </c>
      <c r="ES83" s="53">
        <v>0</v>
      </c>
      <c r="ET83" s="53">
        <v>0</v>
      </c>
      <c r="EU83" s="53">
        <v>0</v>
      </c>
      <c r="EV83" s="53">
        <v>0</v>
      </c>
      <c r="EY83" s="245">
        <v>10005</v>
      </c>
      <c r="EZ83" s="53">
        <v>0</v>
      </c>
      <c r="FA83" s="53">
        <v>0</v>
      </c>
      <c r="FB83" s="53">
        <v>0</v>
      </c>
      <c r="FC83" s="53">
        <v>0</v>
      </c>
      <c r="FF83" s="249">
        <v>10005</v>
      </c>
      <c r="FG83" s="53">
        <v>0</v>
      </c>
      <c r="FH83" s="53">
        <v>0</v>
      </c>
      <c r="FI83" s="53">
        <v>0</v>
      </c>
      <c r="FJ83" s="53">
        <v>0</v>
      </c>
      <c r="FM83" s="252">
        <v>10005</v>
      </c>
      <c r="FN83" s="53">
        <v>0</v>
      </c>
      <c r="FO83" s="53">
        <v>0</v>
      </c>
      <c r="FP83" s="53">
        <v>0</v>
      </c>
      <c r="FQ83" s="53">
        <v>0</v>
      </c>
      <c r="FT83" s="254">
        <v>10005</v>
      </c>
      <c r="FU83" s="53">
        <f>VLOOKUP(FT83,Sheet4!A85:F161,3,0)</f>
        <v>0</v>
      </c>
      <c r="FV83" s="53">
        <f>VLOOKUP(FT83,Sheet4!A85:F161,4,0)</f>
        <v>0</v>
      </c>
      <c r="FW83" s="53">
        <f>VLOOKUP(FT83,Sheet4!A85:F161,5,0)</f>
        <v>0</v>
      </c>
      <c r="FX83" s="53">
        <f>VLOOKUP(FT83,Sheet4!A85:F161,6,0)</f>
        <v>0</v>
      </c>
    </row>
    <row r="84" spans="1:180" x14ac:dyDescent="0.25">
      <c r="A84" s="9" t="s">
        <v>137</v>
      </c>
      <c r="B84" s="9">
        <v>726.52829999999994</v>
      </c>
      <c r="C84" s="9" t="s">
        <v>3</v>
      </c>
      <c r="D84" s="9">
        <v>37.093299999999999</v>
      </c>
      <c r="E84" s="9" t="s">
        <v>138</v>
      </c>
      <c r="H84" s="120" t="s">
        <v>137</v>
      </c>
      <c r="I84" s="120">
        <v>753.21010000000001</v>
      </c>
      <c r="J84" s="120" t="s">
        <v>3</v>
      </c>
      <c r="K84" s="120">
        <v>38.455500000000001</v>
      </c>
      <c r="L84" s="120" t="s">
        <v>147</v>
      </c>
      <c r="O84" s="148" t="s">
        <v>156</v>
      </c>
      <c r="P84" s="148">
        <v>754.53639999999996</v>
      </c>
      <c r="Q84" s="148" t="s">
        <v>3</v>
      </c>
      <c r="R84" s="148" t="s">
        <v>159</v>
      </c>
      <c r="S84" s="148" t="s">
        <v>160</v>
      </c>
      <c r="V84" s="151" t="s">
        <v>156</v>
      </c>
      <c r="W84" s="151">
        <v>757.81489999999997</v>
      </c>
      <c r="X84" s="151" t="s">
        <v>3</v>
      </c>
      <c r="Y84" s="151" t="s">
        <v>162</v>
      </c>
      <c r="Z84" s="151" t="s">
        <v>163</v>
      </c>
      <c r="AC84" s="155" t="s">
        <v>156</v>
      </c>
      <c r="AD84" s="155">
        <v>764.75919999999996</v>
      </c>
      <c r="AE84" s="155" t="s">
        <v>3</v>
      </c>
      <c r="AF84" s="155">
        <v>39.045099999999998</v>
      </c>
      <c r="AG84" s="155" t="s">
        <v>166</v>
      </c>
      <c r="AJ84" s="172" t="s">
        <v>156</v>
      </c>
      <c r="AK84" s="173">
        <v>773.57410000000004</v>
      </c>
      <c r="AL84" s="173" t="s">
        <v>3</v>
      </c>
      <c r="AM84" s="173">
        <v>39.495999999999981</v>
      </c>
      <c r="AN84" s="173" t="s">
        <v>178</v>
      </c>
      <c r="AQ84" s="166" t="s">
        <v>156</v>
      </c>
      <c r="AR84" s="166">
        <v>777.13210000000015</v>
      </c>
      <c r="AS84" s="166" t="s">
        <v>3</v>
      </c>
      <c r="AT84" s="166">
        <v>39.677199999999971</v>
      </c>
      <c r="AU84" s="177" t="s">
        <v>179</v>
      </c>
      <c r="AX84" s="166" t="s">
        <v>156</v>
      </c>
      <c r="AY84" s="167">
        <v>779.44979999999964</v>
      </c>
      <c r="AZ84" s="167" t="s">
        <v>3</v>
      </c>
      <c r="BA84" s="167">
        <v>39.794599999999996</v>
      </c>
      <c r="BB84" s="167" t="s">
        <v>197</v>
      </c>
      <c r="BE84" s="166" t="s">
        <v>156</v>
      </c>
      <c r="BF84" s="167">
        <v>780.45450000000005</v>
      </c>
      <c r="BG84" s="167" t="s">
        <v>3</v>
      </c>
      <c r="BH84" s="167">
        <v>39.846499999999999</v>
      </c>
      <c r="BI84" s="167" t="s">
        <v>196</v>
      </c>
      <c r="BL84" s="166" t="s">
        <v>156</v>
      </c>
      <c r="BM84" s="53">
        <v>785.73760000000004</v>
      </c>
      <c r="BN84" s="53" t="s">
        <v>3</v>
      </c>
      <c r="BO84" s="53">
        <v>40.116199999999999</v>
      </c>
      <c r="BP84" s="53" t="s">
        <v>205</v>
      </c>
      <c r="BS84" s="166" t="s">
        <v>156</v>
      </c>
      <c r="BT84" s="9">
        <v>792.87040000000002</v>
      </c>
      <c r="BU84" s="9" t="s">
        <v>3</v>
      </c>
      <c r="BV84" s="9">
        <v>40.480400000000003</v>
      </c>
      <c r="BW84" s="9" t="s">
        <v>206</v>
      </c>
      <c r="BZ84" s="166" t="s">
        <v>156</v>
      </c>
      <c r="CA84" s="167">
        <v>795.13580000000002</v>
      </c>
      <c r="CB84" s="167" t="s">
        <v>3</v>
      </c>
      <c r="CC84" s="167">
        <v>40.5961</v>
      </c>
      <c r="CD84" s="167" t="s">
        <v>211</v>
      </c>
      <c r="CG84" s="166" t="s">
        <v>156</v>
      </c>
      <c r="CH84" s="167">
        <v>796.95889999999997</v>
      </c>
      <c r="CI84" s="167" t="s">
        <v>3</v>
      </c>
      <c r="CJ84" s="167">
        <v>40.689100000000003</v>
      </c>
      <c r="CK84" s="167" t="s">
        <v>216</v>
      </c>
      <c r="CN84" s="166" t="s">
        <v>156</v>
      </c>
      <c r="CO84" s="167">
        <v>801.23130000000003</v>
      </c>
      <c r="CP84" s="167" t="s">
        <v>3</v>
      </c>
      <c r="CQ84" s="167">
        <v>40.907200000000003</v>
      </c>
      <c r="CR84" s="167" t="s">
        <v>225</v>
      </c>
      <c r="CU84" s="166" t="s">
        <v>156</v>
      </c>
      <c r="CV84" s="167">
        <v>802.65719999999999</v>
      </c>
      <c r="CW84" s="167" t="s">
        <v>3</v>
      </c>
      <c r="CX84" s="167">
        <v>40.98</v>
      </c>
      <c r="CY84" s="167" t="s">
        <v>239</v>
      </c>
      <c r="DB84" s="166" t="s">
        <v>156</v>
      </c>
      <c r="DC84" s="167">
        <v>804.15729999999996</v>
      </c>
      <c r="DD84" s="167" t="s">
        <v>3</v>
      </c>
      <c r="DE84" s="167">
        <v>41.056600000000003</v>
      </c>
      <c r="DF84" s="225" t="s">
        <v>240</v>
      </c>
      <c r="DI84" s="166" t="s">
        <v>156</v>
      </c>
      <c r="DJ84" s="167">
        <v>805.41489999999999</v>
      </c>
      <c r="DK84" s="167" t="s">
        <v>3</v>
      </c>
      <c r="DL84" s="167">
        <v>41.120800000000003</v>
      </c>
      <c r="DM84" s="225" t="s">
        <v>241</v>
      </c>
      <c r="DN84" s="231"/>
      <c r="DO84" s="231"/>
      <c r="DP84" s="166" t="s">
        <v>156</v>
      </c>
      <c r="DQ84" s="167">
        <v>807.17679999999996</v>
      </c>
      <c r="DR84" s="167" t="s">
        <v>3</v>
      </c>
      <c r="DS84" s="167">
        <v>41.210799999999999</v>
      </c>
      <c r="DT84" s="167" t="s">
        <v>237</v>
      </c>
      <c r="DW84" s="166" t="s">
        <v>156</v>
      </c>
      <c r="DX84" s="167">
        <v>809.15629999999999</v>
      </c>
      <c r="DY84" s="167" t="s">
        <v>3</v>
      </c>
      <c r="DZ84" s="167">
        <v>41.311900000000001</v>
      </c>
      <c r="EA84" s="167" t="s">
        <v>245</v>
      </c>
      <c r="ED84" s="166" t="s">
        <v>156</v>
      </c>
      <c r="EE84" s="167">
        <v>811.10630000000003</v>
      </c>
      <c r="EF84" s="167" t="s">
        <v>3</v>
      </c>
      <c r="EG84" s="167">
        <v>41.4114</v>
      </c>
      <c r="EH84" s="167" t="s">
        <v>248</v>
      </c>
      <c r="EK84" s="166" t="s">
        <v>156</v>
      </c>
      <c r="EL84" s="167">
        <v>814.82780000000002</v>
      </c>
      <c r="EM84" s="167" t="s">
        <v>3</v>
      </c>
      <c r="EN84" s="167">
        <v>41.601399999999998</v>
      </c>
      <c r="EO84" s="167" t="s">
        <v>252</v>
      </c>
      <c r="ER84" s="166" t="s">
        <v>156</v>
      </c>
      <c r="ES84" s="167">
        <v>818.63170000000002</v>
      </c>
      <c r="ET84" s="167" t="s">
        <v>3</v>
      </c>
      <c r="EU84" s="167">
        <v>41.7956</v>
      </c>
      <c r="EV84" s="167" t="s">
        <v>257</v>
      </c>
      <c r="EY84" s="166" t="s">
        <v>156</v>
      </c>
      <c r="EZ84" s="167">
        <v>819.75130000000001</v>
      </c>
      <c r="FA84" s="167" t="s">
        <v>3</v>
      </c>
      <c r="FB84" s="167">
        <v>41.852800000000002</v>
      </c>
      <c r="FC84" s="167" t="s">
        <v>261</v>
      </c>
      <c r="FF84" s="166" t="s">
        <v>156</v>
      </c>
      <c r="FG84" s="167">
        <v>821.52650000000006</v>
      </c>
      <c r="FH84" s="167" t="s">
        <v>3</v>
      </c>
      <c r="FI84" s="167">
        <v>41.943399999999997</v>
      </c>
      <c r="FJ84" s="167" t="s">
        <v>266</v>
      </c>
      <c r="FM84" s="166" t="s">
        <v>156</v>
      </c>
      <c r="FN84" s="167">
        <v>822.41669999999999</v>
      </c>
      <c r="FO84" s="167" t="s">
        <v>3</v>
      </c>
      <c r="FP84" s="167">
        <v>41.988900000000001</v>
      </c>
      <c r="FQ84" s="167" t="s">
        <v>270</v>
      </c>
      <c r="FT84" s="166" t="s">
        <v>156</v>
      </c>
      <c r="FU84" s="167">
        <f>VLOOKUP(FT84,Sheet4!A86:F162,3,0)</f>
        <v>824.45870000000002</v>
      </c>
      <c r="FV84" s="167" t="str">
        <f>VLOOKUP(FT84,Sheet4!A86:F162,4,0)</f>
        <v>MWH</v>
      </c>
      <c r="FW84" s="167">
        <f>VLOOKUP(FT84,Sheet4!A86:F162,5,0)</f>
        <v>42.0931</v>
      </c>
      <c r="FX84" s="167" t="str">
        <f>VLOOKUP(FT84,Sheet4!A86:F162,6,0)</f>
        <v>36.5006 g</v>
      </c>
    </row>
    <row r="85" spans="1:180" x14ac:dyDescent="0.25">
      <c r="AJ85" s="174"/>
      <c r="AK85" s="174"/>
      <c r="AL85" s="174"/>
      <c r="AM85" s="174"/>
      <c r="AN85" s="174"/>
      <c r="BM85" s="3"/>
      <c r="BO85" s="3"/>
      <c r="BS85" s="202"/>
      <c r="BT85" s="3"/>
      <c r="BU85" s="202"/>
      <c r="BV85" s="3"/>
      <c r="BW85" s="188"/>
      <c r="DN85" s="231"/>
      <c r="DO85" s="231"/>
      <c r="DP85" s="231"/>
      <c r="DQ85" s="231"/>
      <c r="DR85" s="231"/>
      <c r="DS85" s="231"/>
      <c r="DT85" s="231"/>
      <c r="DW85" s="231"/>
      <c r="DX85" s="231"/>
      <c r="DY85" s="231"/>
      <c r="DZ85" s="231"/>
      <c r="EA85" s="231"/>
      <c r="EK85" s="231"/>
      <c r="EL85" s="231"/>
      <c r="EM85" s="231"/>
      <c r="EN85" s="231"/>
      <c r="EO85" s="231"/>
      <c r="FF85" s="250"/>
      <c r="FG85" s="250"/>
      <c r="FH85" s="250"/>
      <c r="FI85" s="250"/>
      <c r="FJ85" s="250"/>
    </row>
    <row r="86" spans="1:180" x14ac:dyDescent="0.25">
      <c r="AR86" s="183"/>
      <c r="AS86" s="183"/>
      <c r="AT86" s="183"/>
      <c r="AU86" s="183"/>
      <c r="AY86" s="182"/>
      <c r="AZ86" s="182"/>
      <c r="BA86" s="182"/>
      <c r="BB86" s="182"/>
      <c r="BF86" s="194"/>
      <c r="BG86" s="194"/>
      <c r="BH86" s="194"/>
      <c r="BI86" s="194"/>
      <c r="CJ86" s="3"/>
      <c r="CO86" s="3"/>
      <c r="CQ86" s="3"/>
      <c r="CR86" s="3"/>
      <c r="DC86" s="224">
        <f>SUM(DC7:DC83)</f>
        <v>804.15730000000008</v>
      </c>
      <c r="DE86" s="224">
        <f>SUM(DE7:DE83)</f>
        <v>41.056599999999989</v>
      </c>
      <c r="DF86" s="224">
        <f>SUM(DF7:DF83)</f>
        <v>35.602000000000011</v>
      </c>
      <c r="DJ86" s="229">
        <f>SUM(DJ7:DJ83)</f>
        <v>805.41499999999996</v>
      </c>
      <c r="DL86" s="229">
        <f>SUM(DL7:DL83)</f>
        <v>41.120599999999989</v>
      </c>
      <c r="DM86" s="229">
        <f>SUM(DM7:DM83)</f>
        <v>35.657400000000017</v>
      </c>
      <c r="DN86" s="231"/>
      <c r="DO86" s="231"/>
      <c r="DP86" s="231"/>
      <c r="DQ86" s="232">
        <f>SUM(DQ7:DQ83)</f>
        <v>807.17679999999973</v>
      </c>
      <c r="DR86" s="231"/>
      <c r="DS86" s="232">
        <f>SUM(DS7:DS83)</f>
        <v>41.210299999999997</v>
      </c>
      <c r="DT86" s="232">
        <f>SUM(DT7:DT83)</f>
        <v>35.735299999999988</v>
      </c>
      <c r="DW86" s="231"/>
      <c r="DX86" s="232">
        <f>SUM(DX7:DX83)</f>
        <v>809.15620000000013</v>
      </c>
      <c r="DY86" s="231"/>
      <c r="DZ86" s="232">
        <f>SUM(DZ7:DZ83)</f>
        <v>41.312100000000015</v>
      </c>
      <c r="EA86" s="232">
        <f>SUM(EA7:EA83)</f>
        <v>35.823600000000013</v>
      </c>
      <c r="EE86" s="232">
        <f>SUM(EE7:EE83)</f>
        <v>811.10629999999981</v>
      </c>
      <c r="EG86" s="232">
        <f>SUM(EG7:EG83)</f>
        <v>41.411500000000011</v>
      </c>
      <c r="EH86" s="232">
        <f>SUM(EH7:EH83)</f>
        <v>35.90900000000002</v>
      </c>
      <c r="EK86" s="231"/>
      <c r="EL86" s="232">
        <f>SUM(EL7:EL83)</f>
        <v>814.82769999999994</v>
      </c>
      <c r="EM86" s="231"/>
      <c r="EN86" s="232">
        <f>SUM(EN7:EN83)</f>
        <v>41.601700000000008</v>
      </c>
      <c r="EO86" s="232">
        <f>SUM(EO7:EO83)</f>
        <v>36.074100000000001</v>
      </c>
      <c r="ES86" s="232">
        <f>SUM(ES7:ES83)</f>
        <v>818.63150000000019</v>
      </c>
      <c r="EU86" s="232">
        <f>SUM(EU7:EU83)</f>
        <v>41.795400000000015</v>
      </c>
      <c r="EV86" s="232">
        <f>SUM(EV7:EV83)</f>
        <v>36.243299999999998</v>
      </c>
      <c r="EZ86" s="232">
        <f>SUM(EZ7:EZ83)</f>
        <v>819.75130000000047</v>
      </c>
      <c r="FB86" s="232">
        <f>SUM(FB7:FB83)</f>
        <v>41.852299999999985</v>
      </c>
      <c r="FC86" s="232">
        <f>SUM(FC7:FC83)</f>
        <v>36.292700000000004</v>
      </c>
      <c r="FF86" s="250"/>
      <c r="FG86" s="232">
        <f>SUM(FG7:FG83)</f>
        <v>821.52650000000006</v>
      </c>
      <c r="FH86" s="250"/>
      <c r="FI86" s="232">
        <f>SUM(FI7:FI83)</f>
        <v>41.942599999999992</v>
      </c>
      <c r="FJ86" s="232">
        <f>SUM(FJ7:FJ83)</f>
        <v>36.370400000000004</v>
      </c>
      <c r="FN86" s="232">
        <f>SUM(FN7:FN83)</f>
        <v>822.41669999999976</v>
      </c>
      <c r="FP86" s="232">
        <f>SUM(FP7:FP83)</f>
        <v>41.988299999999995</v>
      </c>
      <c r="FQ86" s="232">
        <f>SUM(FQ7:FQ83)</f>
        <v>36.410100000000014</v>
      </c>
      <c r="FU86" s="232">
        <f>SUM(FU7:FU83)</f>
        <v>824.45870000000025</v>
      </c>
      <c r="FW86" s="232">
        <f>SUM(FW7:FW83)</f>
        <v>42.092900000000022</v>
      </c>
      <c r="FX86" s="232">
        <f>SUM(FX7:FX83)</f>
        <v>36.500999999999998</v>
      </c>
    </row>
    <row r="88" spans="1:180" x14ac:dyDescent="0.25">
      <c r="EK88" s="231"/>
      <c r="EL88" s="231"/>
      <c r="EM88" s="231"/>
      <c r="EN88" s="231"/>
      <c r="EO88" s="231"/>
      <c r="EP88" s="231"/>
    </row>
    <row r="89" spans="1:180" x14ac:dyDescent="0.25">
      <c r="BA89" s="182"/>
      <c r="BB89" s="182"/>
      <c r="CX89" s="3"/>
      <c r="DE89" s="224"/>
      <c r="DL89" s="229"/>
    </row>
    <row r="91" spans="1:180" x14ac:dyDescent="0.25">
      <c r="CA91" s="3">
        <f>SUM(CA7:CA83)</f>
        <v>795.1360999999996</v>
      </c>
      <c r="CC91" s="3">
        <f>SUM(CC7:CC83)</f>
        <v>40.595799999999997</v>
      </c>
      <c r="CD91" s="3">
        <f>SUM(CD7:CD83)</f>
        <v>35.202199999999991</v>
      </c>
      <c r="CH91" s="3">
        <f>SUM(CH7:CH83)</f>
        <v>796.95880000000011</v>
      </c>
      <c r="CJ91" s="3"/>
      <c r="CK91" s="3"/>
      <c r="CN91" s="219"/>
      <c r="CO91" s="3"/>
      <c r="CQ91" s="3"/>
      <c r="CR91" s="3"/>
      <c r="CV91" s="3"/>
      <c r="CX91" s="3"/>
      <c r="CY91" s="3"/>
      <c r="DC91" s="224"/>
      <c r="DE91" s="224"/>
      <c r="DF91" s="224"/>
      <c r="DJ91" s="229"/>
      <c r="DL91" s="229"/>
      <c r="DM91" s="229"/>
    </row>
  </sheetData>
  <mergeCells count="156">
    <mergeCell ref="FT1:FX1"/>
    <mergeCell ref="FT2:FX2"/>
    <mergeCell ref="FT4:FX4"/>
    <mergeCell ref="FT5:FT6"/>
    <mergeCell ref="FU5:FU6"/>
    <mergeCell ref="FV5:FX5"/>
    <mergeCell ref="CG1:CK1"/>
    <mergeCell ref="CG2:CK2"/>
    <mergeCell ref="CG4:CK4"/>
    <mergeCell ref="CG5:CG6"/>
    <mergeCell ref="CH5:CH6"/>
    <mergeCell ref="CI5:CK5"/>
    <mergeCell ref="ED1:EH1"/>
    <mergeCell ref="ED2:EH2"/>
    <mergeCell ref="ED4:EH4"/>
    <mergeCell ref="ED5:ED6"/>
    <mergeCell ref="EE5:EE6"/>
    <mergeCell ref="EF5:EH5"/>
    <mergeCell ref="DI1:DM1"/>
    <mergeCell ref="DI2:DM2"/>
    <mergeCell ref="DI4:DM4"/>
    <mergeCell ref="DI5:DI6"/>
    <mergeCell ref="DJ5:DJ6"/>
    <mergeCell ref="DK5:DM5"/>
    <mergeCell ref="AX1:BB1"/>
    <mergeCell ref="AX2:BB2"/>
    <mergeCell ref="AX4:BB4"/>
    <mergeCell ref="AX5:AX6"/>
    <mergeCell ref="AY5:AY6"/>
    <mergeCell ref="AZ5:BB5"/>
    <mergeCell ref="BZ1:CD1"/>
    <mergeCell ref="BZ2:CD2"/>
    <mergeCell ref="BZ4:CD4"/>
    <mergeCell ref="BZ5:BZ6"/>
    <mergeCell ref="CA5:CA6"/>
    <mergeCell ref="CB5:CD5"/>
    <mergeCell ref="BS1:BW1"/>
    <mergeCell ref="BS2:BW2"/>
    <mergeCell ref="BS4:BW4"/>
    <mergeCell ref="BS5:BS6"/>
    <mergeCell ref="BT5:BT6"/>
    <mergeCell ref="BU5:BW5"/>
    <mergeCell ref="O1:S1"/>
    <mergeCell ref="O2:S2"/>
    <mergeCell ref="O4:S4"/>
    <mergeCell ref="O5:O6"/>
    <mergeCell ref="P5:P6"/>
    <mergeCell ref="Q5:S5"/>
    <mergeCell ref="BL1:BP1"/>
    <mergeCell ref="BL2:BP2"/>
    <mergeCell ref="BL4:BP4"/>
    <mergeCell ref="BL5:BL6"/>
    <mergeCell ref="BM5:BM6"/>
    <mergeCell ref="BN5:BP5"/>
    <mergeCell ref="AD5:AD6"/>
    <mergeCell ref="AE5:AG5"/>
    <mergeCell ref="BE1:BI1"/>
    <mergeCell ref="BE2:BI2"/>
    <mergeCell ref="BE4:BI4"/>
    <mergeCell ref="BE5:BE6"/>
    <mergeCell ref="BF5:BF6"/>
    <mergeCell ref="BG5:BI5"/>
    <mergeCell ref="AC1:AG1"/>
    <mergeCell ref="AC2:AG2"/>
    <mergeCell ref="AQ1:AU1"/>
    <mergeCell ref="AQ2:AU2"/>
    <mergeCell ref="A1:E1"/>
    <mergeCell ref="A2:E2"/>
    <mergeCell ref="A4:E4"/>
    <mergeCell ref="A5:A6"/>
    <mergeCell ref="B5:B6"/>
    <mergeCell ref="C5:E5"/>
    <mergeCell ref="H5:H6"/>
    <mergeCell ref="H1:L1"/>
    <mergeCell ref="H2:L2"/>
    <mergeCell ref="H4:L4"/>
    <mergeCell ref="I5:I6"/>
    <mergeCell ref="J5:L5"/>
    <mergeCell ref="AJ1:AN1"/>
    <mergeCell ref="AJ2:AN2"/>
    <mergeCell ref="V1:Z1"/>
    <mergeCell ref="CN1:CR1"/>
    <mergeCell ref="CN2:CR2"/>
    <mergeCell ref="CN4:CR4"/>
    <mergeCell ref="CN5:CN6"/>
    <mergeCell ref="CO5:CO6"/>
    <mergeCell ref="CP5:CR5"/>
    <mergeCell ref="AS5:AU5"/>
    <mergeCell ref="AR5:AR6"/>
    <mergeCell ref="AQ5:AQ6"/>
    <mergeCell ref="AQ4:AU4"/>
    <mergeCell ref="AJ4:AN4"/>
    <mergeCell ref="AJ5:AJ6"/>
    <mergeCell ref="AK5:AK6"/>
    <mergeCell ref="AL5:AN5"/>
    <mergeCell ref="V4:Z4"/>
    <mergeCell ref="V2:Z2"/>
    <mergeCell ref="V5:V6"/>
    <mergeCell ref="W5:W6"/>
    <mergeCell ref="X5:Z5"/>
    <mergeCell ref="AC4:AG4"/>
    <mergeCell ref="AC5:AC6"/>
    <mergeCell ref="CU1:CY1"/>
    <mergeCell ref="CU2:CY2"/>
    <mergeCell ref="CU4:CY4"/>
    <mergeCell ref="CU5:CU6"/>
    <mergeCell ref="CV5:CV6"/>
    <mergeCell ref="CW5:CY5"/>
    <mergeCell ref="DW1:EA1"/>
    <mergeCell ref="DW2:EA2"/>
    <mergeCell ref="DW4:EA4"/>
    <mergeCell ref="DW5:DW6"/>
    <mergeCell ref="DX5:DX6"/>
    <mergeCell ref="DY5:EA5"/>
    <mergeCell ref="DP1:DT1"/>
    <mergeCell ref="DP2:DT2"/>
    <mergeCell ref="DP4:DT4"/>
    <mergeCell ref="DP5:DP6"/>
    <mergeCell ref="DQ5:DQ6"/>
    <mergeCell ref="DR5:DT5"/>
    <mergeCell ref="DB1:DF1"/>
    <mergeCell ref="DB2:DF2"/>
    <mergeCell ref="DB4:DF4"/>
    <mergeCell ref="DB5:DB6"/>
    <mergeCell ref="DC5:DC6"/>
    <mergeCell ref="DD5:DF5"/>
    <mergeCell ref="EK1:EO1"/>
    <mergeCell ref="EK2:EO2"/>
    <mergeCell ref="EK4:EO4"/>
    <mergeCell ref="EK5:EK6"/>
    <mergeCell ref="EL5:EL6"/>
    <mergeCell ref="EM5:EO5"/>
    <mergeCell ref="ER1:EV1"/>
    <mergeCell ref="ER2:EV2"/>
    <mergeCell ref="ER4:EV4"/>
    <mergeCell ref="ER5:ER6"/>
    <mergeCell ref="ES5:ES6"/>
    <mergeCell ref="ET5:EV5"/>
    <mergeCell ref="FM1:FQ1"/>
    <mergeCell ref="FM2:FQ2"/>
    <mergeCell ref="FM4:FQ4"/>
    <mergeCell ref="FM5:FM6"/>
    <mergeCell ref="FN5:FN6"/>
    <mergeCell ref="FO5:FQ5"/>
    <mergeCell ref="EY1:FC1"/>
    <mergeCell ref="EY2:FC2"/>
    <mergeCell ref="EY4:FC4"/>
    <mergeCell ref="EY5:EY6"/>
    <mergeCell ref="EZ5:EZ6"/>
    <mergeCell ref="FA5:FC5"/>
    <mergeCell ref="FF1:FJ1"/>
    <mergeCell ref="FF2:FJ2"/>
    <mergeCell ref="FF4:FJ4"/>
    <mergeCell ref="FF5:FF6"/>
    <mergeCell ref="FG5:FG6"/>
    <mergeCell ref="FH5:FJ5"/>
  </mergeCells>
  <pageMargins left="1.5" right="0.25" top="0.75" bottom="0.75" header="0.3" footer="0.3"/>
  <pageSetup paperSize="9" scale="110" orientation="portrait" horizontalDpi="0" verticalDpi="0" r:id="rId1"/>
  <rowBreaks count="1" manualBreakCount="1">
    <brk id="46" min="77" max="81" man="1"/>
  </rowBreaks>
  <colBreaks count="4" manualBreakCount="4">
    <brk id="20" max="83" man="1"/>
    <brk id="28" max="83" man="1"/>
    <brk id="42" max="83" man="1"/>
    <brk id="47" max="8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>
      <selection activeCell="A31" sqref="A31:F31"/>
    </sheetView>
  </sheetViews>
  <sheetFormatPr defaultRowHeight="15" x14ac:dyDescent="0.25"/>
  <cols>
    <col min="1" max="1" width="10.140625" style="250" bestFit="1" customWidth="1"/>
    <col min="2" max="2" width="5.5703125" style="250" bestFit="1" customWidth="1"/>
    <col min="3" max="3" width="13.140625" style="250" bestFit="1" customWidth="1"/>
    <col min="4" max="4" width="11.28515625" style="250" bestFit="1" customWidth="1"/>
    <col min="5" max="5" width="12.42578125" style="250" bestFit="1" customWidth="1"/>
    <col min="6" max="6" width="17.28515625" style="250" bestFit="1" customWidth="1"/>
  </cols>
  <sheetData>
    <row r="1" spans="1:6" x14ac:dyDescent="0.25">
      <c r="B1" s="250" t="s">
        <v>274</v>
      </c>
      <c r="C1" s="250" t="s">
        <v>182</v>
      </c>
      <c r="D1" s="250" t="s">
        <v>183</v>
      </c>
      <c r="E1" s="250" t="s">
        <v>275</v>
      </c>
    </row>
    <row r="2" spans="1:6" x14ac:dyDescent="0.25">
      <c r="B2" s="250" t="s">
        <v>276</v>
      </c>
      <c r="C2" s="250" t="s">
        <v>184</v>
      </c>
      <c r="D2" s="250" t="s">
        <v>185</v>
      </c>
      <c r="E2" s="250" t="s">
        <v>277</v>
      </c>
    </row>
    <row r="4" spans="1:6" x14ac:dyDescent="0.25">
      <c r="C4" s="250" t="s">
        <v>186</v>
      </c>
      <c r="D4" s="250" t="s">
        <v>187</v>
      </c>
    </row>
    <row r="5" spans="1:6" x14ac:dyDescent="0.25">
      <c r="A5" s="250" t="s">
        <v>278</v>
      </c>
      <c r="B5" s="250" t="s">
        <v>279</v>
      </c>
      <c r="C5" s="250" t="s">
        <v>3</v>
      </c>
      <c r="E5" s="250" t="s">
        <v>256</v>
      </c>
    </row>
    <row r="6" spans="1:6" x14ac:dyDescent="0.25">
      <c r="B6" s="250" t="s">
        <v>280</v>
      </c>
      <c r="D6" s="250" t="s">
        <v>135</v>
      </c>
      <c r="E6" s="250" t="s">
        <v>8</v>
      </c>
      <c r="F6" s="250" t="s">
        <v>136</v>
      </c>
    </row>
    <row r="7" spans="1:6" x14ac:dyDescent="0.25">
      <c r="A7" s="250" t="s">
        <v>281</v>
      </c>
      <c r="B7" s="250" t="s">
        <v>282</v>
      </c>
      <c r="C7" s="250" t="s">
        <v>189</v>
      </c>
      <c r="D7" s="250" t="s">
        <v>188</v>
      </c>
      <c r="E7" s="250" t="s">
        <v>189</v>
      </c>
      <c r="F7" s="250" t="s">
        <v>230</v>
      </c>
    </row>
    <row r="9" spans="1:6" x14ac:dyDescent="0.25">
      <c r="A9" s="250">
        <v>6688</v>
      </c>
      <c r="B9" s="250">
        <v>3</v>
      </c>
      <c r="C9" s="250">
        <v>1.3041</v>
      </c>
      <c r="D9" s="250">
        <v>0.17480000000000001</v>
      </c>
      <c r="E9" s="250">
        <v>6.6600000000000006E-2</v>
      </c>
      <c r="F9" s="250">
        <v>5.7700000000000001E-2</v>
      </c>
    </row>
    <row r="10" spans="1:6" x14ac:dyDescent="0.25">
      <c r="A10" s="250">
        <v>6710</v>
      </c>
      <c r="B10" s="250">
        <v>3</v>
      </c>
      <c r="C10" s="250">
        <v>1.2777000000000001</v>
      </c>
      <c r="D10" s="250">
        <v>0.17119999999999999</v>
      </c>
      <c r="E10" s="250">
        <v>6.5199999999999994E-2</v>
      </c>
      <c r="F10" s="250">
        <v>5.6599999999999998E-2</v>
      </c>
    </row>
    <row r="11" spans="1:6" x14ac:dyDescent="0.25">
      <c r="A11" s="250">
        <v>6726</v>
      </c>
      <c r="B11" s="250">
        <v>3</v>
      </c>
      <c r="C11" s="250">
        <v>7.7600000000000002E-2</v>
      </c>
      <c r="D11" s="250">
        <v>1.04E-2</v>
      </c>
      <c r="E11" s="250">
        <v>4.0000000000000001E-3</v>
      </c>
      <c r="F11" s="250">
        <v>3.3999999999999998E-3</v>
      </c>
    </row>
    <row r="12" spans="1:6" x14ac:dyDescent="0.25">
      <c r="A12" s="250">
        <v>6739</v>
      </c>
      <c r="B12" s="250">
        <v>3</v>
      </c>
      <c r="C12" s="250">
        <v>2.1100000000000001E-2</v>
      </c>
      <c r="D12" s="250">
        <v>2.8E-3</v>
      </c>
      <c r="E12" s="250">
        <v>1.1000000000000001E-3</v>
      </c>
      <c r="F12" s="250">
        <v>8.9999999999999998E-4</v>
      </c>
    </row>
    <row r="13" spans="1:6" x14ac:dyDescent="0.25">
      <c r="A13" s="250">
        <v>9349</v>
      </c>
      <c r="B13" s="250">
        <v>3</v>
      </c>
      <c r="C13" s="250">
        <v>15.648099999999999</v>
      </c>
      <c r="D13" s="250">
        <v>2.0969000000000002</v>
      </c>
      <c r="E13" s="250">
        <v>0.79890000000000005</v>
      </c>
      <c r="F13" s="250">
        <v>0.69279999999999997</v>
      </c>
    </row>
    <row r="14" spans="1:6" x14ac:dyDescent="0.25">
      <c r="A14" s="250">
        <v>9350</v>
      </c>
      <c r="B14" s="250">
        <v>3</v>
      </c>
      <c r="C14" s="250">
        <v>16.619900000000001</v>
      </c>
      <c r="D14" s="250">
        <v>2.2271000000000001</v>
      </c>
      <c r="E14" s="250">
        <v>0.84850000000000003</v>
      </c>
      <c r="F14" s="250">
        <v>0.73580000000000001</v>
      </c>
    </row>
    <row r="15" spans="1:6" x14ac:dyDescent="0.25">
      <c r="A15" s="250">
        <v>9351</v>
      </c>
      <c r="B15" s="250">
        <v>3</v>
      </c>
      <c r="C15" s="250">
        <v>0.1328</v>
      </c>
      <c r="D15" s="250">
        <v>1.78E-2</v>
      </c>
      <c r="E15" s="250">
        <v>6.7999999999999996E-3</v>
      </c>
      <c r="F15" s="250">
        <v>5.8999999999999999E-3</v>
      </c>
    </row>
    <row r="16" spans="1:6" x14ac:dyDescent="0.25">
      <c r="A16" s="250">
        <v>9352</v>
      </c>
      <c r="B16" s="250">
        <v>3</v>
      </c>
      <c r="C16" s="250">
        <v>13.6678</v>
      </c>
      <c r="D16" s="250">
        <v>1.8314999999999999</v>
      </c>
      <c r="E16" s="250">
        <v>0.69779999999999998</v>
      </c>
      <c r="F16" s="250">
        <v>0.60509999999999997</v>
      </c>
    </row>
    <row r="17" spans="1:6" x14ac:dyDescent="0.25">
      <c r="A17" s="250">
        <v>9353</v>
      </c>
      <c r="B17" s="250">
        <v>3</v>
      </c>
      <c r="C17" s="250">
        <v>16.0871</v>
      </c>
      <c r="D17" s="250">
        <v>2.1556999999999999</v>
      </c>
      <c r="E17" s="250">
        <v>0.82130000000000003</v>
      </c>
      <c r="F17" s="250">
        <v>0.71220000000000006</v>
      </c>
    </row>
    <row r="18" spans="1:6" x14ac:dyDescent="0.25">
      <c r="A18" s="250">
        <v>9354</v>
      </c>
      <c r="B18" s="250">
        <v>3</v>
      </c>
      <c r="C18" s="250">
        <v>16.1904</v>
      </c>
      <c r="D18" s="250">
        <v>2.1696</v>
      </c>
      <c r="E18" s="250">
        <v>0.8266</v>
      </c>
      <c r="F18" s="250">
        <v>0.71679999999999999</v>
      </c>
    </row>
    <row r="19" spans="1:6" x14ac:dyDescent="0.25">
      <c r="A19" s="250">
        <v>9535</v>
      </c>
      <c r="B19" s="250">
        <v>3</v>
      </c>
      <c r="C19" s="250">
        <v>15.122199999999999</v>
      </c>
      <c r="D19" s="250">
        <v>2.0264000000000002</v>
      </c>
      <c r="E19" s="250">
        <v>0.77210000000000001</v>
      </c>
      <c r="F19" s="250">
        <v>0.66949999999999998</v>
      </c>
    </row>
    <row r="20" spans="1:6" x14ac:dyDescent="0.25">
      <c r="A20" s="250">
        <v>9536</v>
      </c>
      <c r="B20" s="250">
        <v>3</v>
      </c>
      <c r="C20" s="250">
        <v>15.1678</v>
      </c>
      <c r="D20" s="250">
        <v>2.0325000000000002</v>
      </c>
      <c r="E20" s="250">
        <v>0.77439999999999998</v>
      </c>
      <c r="F20" s="250">
        <v>0.67149999999999999</v>
      </c>
    </row>
    <row r="21" spans="1:6" x14ac:dyDescent="0.25">
      <c r="A21" s="250">
        <v>9537</v>
      </c>
      <c r="B21" s="250">
        <v>3</v>
      </c>
      <c r="C21" s="250">
        <v>15.1678</v>
      </c>
      <c r="D21" s="250">
        <v>2.0325000000000002</v>
      </c>
      <c r="E21" s="250">
        <v>0.77439999999999998</v>
      </c>
      <c r="F21" s="250">
        <v>0.67149999999999999</v>
      </c>
    </row>
    <row r="22" spans="1:6" x14ac:dyDescent="0.25">
      <c r="A22" s="250">
        <v>9538</v>
      </c>
      <c r="B22" s="250">
        <v>3</v>
      </c>
      <c r="C22" s="250">
        <v>15.1678</v>
      </c>
      <c r="D22" s="250">
        <v>2.0325000000000002</v>
      </c>
      <c r="E22" s="250">
        <v>0.77439999999999998</v>
      </c>
      <c r="F22" s="250">
        <v>0.67149999999999999</v>
      </c>
    </row>
    <row r="23" spans="1:6" x14ac:dyDescent="0.25">
      <c r="A23" s="250">
        <v>9539</v>
      </c>
      <c r="B23" s="250">
        <v>3</v>
      </c>
      <c r="C23" s="250">
        <v>15.491899999999999</v>
      </c>
      <c r="D23" s="250">
        <v>2.0760000000000001</v>
      </c>
      <c r="E23" s="250">
        <v>0.79090000000000005</v>
      </c>
      <c r="F23" s="250">
        <v>0.68589999999999995</v>
      </c>
    </row>
    <row r="24" spans="1:6" x14ac:dyDescent="0.25">
      <c r="A24" s="250">
        <v>9540</v>
      </c>
      <c r="B24" s="250">
        <v>3</v>
      </c>
      <c r="C24" s="250">
        <v>15.0274</v>
      </c>
      <c r="D24" s="250">
        <v>2.0137</v>
      </c>
      <c r="E24" s="250">
        <v>0.76719999999999999</v>
      </c>
      <c r="F24" s="250">
        <v>0.6653</v>
      </c>
    </row>
    <row r="25" spans="1:6" x14ac:dyDescent="0.25">
      <c r="A25" s="250">
        <v>9541</v>
      </c>
      <c r="B25" s="250">
        <v>3</v>
      </c>
      <c r="C25" s="250">
        <v>15.1678</v>
      </c>
      <c r="D25" s="250">
        <v>2.0325000000000002</v>
      </c>
      <c r="E25" s="250">
        <v>0.77439999999999998</v>
      </c>
      <c r="F25" s="250">
        <v>0.67149999999999999</v>
      </c>
    </row>
    <row r="26" spans="1:6" x14ac:dyDescent="0.25">
      <c r="A26" s="250">
        <v>9542</v>
      </c>
      <c r="B26" s="250">
        <v>3</v>
      </c>
      <c r="C26" s="250">
        <v>15.1364</v>
      </c>
      <c r="D26" s="250">
        <v>2.0283000000000002</v>
      </c>
      <c r="E26" s="250">
        <v>0.77280000000000004</v>
      </c>
      <c r="F26" s="250">
        <v>0.67010000000000003</v>
      </c>
    </row>
    <row r="27" spans="1:6" x14ac:dyDescent="0.25">
      <c r="A27" s="250">
        <v>9543</v>
      </c>
      <c r="B27" s="250">
        <v>3</v>
      </c>
      <c r="C27" s="250">
        <v>11.9003</v>
      </c>
      <c r="D27" s="250">
        <v>1.5947</v>
      </c>
      <c r="E27" s="250">
        <v>0.60760000000000003</v>
      </c>
      <c r="F27" s="250">
        <v>0.52690000000000003</v>
      </c>
    </row>
    <row r="28" spans="1:6" x14ac:dyDescent="0.25">
      <c r="A28" s="250">
        <v>9592</v>
      </c>
      <c r="B28" s="250">
        <v>3</v>
      </c>
      <c r="C28" s="250">
        <v>9.1585999999999999</v>
      </c>
      <c r="D28" s="250">
        <v>1.2273000000000001</v>
      </c>
      <c r="E28" s="250">
        <v>0.46760000000000002</v>
      </c>
      <c r="F28" s="250">
        <v>0.40550000000000003</v>
      </c>
    </row>
    <row r="29" spans="1:6" x14ac:dyDescent="0.25">
      <c r="A29" s="250">
        <v>9593</v>
      </c>
      <c r="B29" s="250">
        <v>3</v>
      </c>
      <c r="C29" s="250">
        <v>14.687200000000001</v>
      </c>
      <c r="D29" s="250">
        <v>1.9681</v>
      </c>
      <c r="E29" s="250">
        <v>0.74990000000000001</v>
      </c>
      <c r="F29" s="250">
        <v>0.6502</v>
      </c>
    </row>
    <row r="30" spans="1:6" x14ac:dyDescent="0.25">
      <c r="A30" s="250">
        <v>9594</v>
      </c>
      <c r="B30" s="250">
        <v>3</v>
      </c>
      <c r="C30" s="250">
        <v>14.4056</v>
      </c>
      <c r="D30" s="250">
        <v>1.9303999999999999</v>
      </c>
      <c r="E30" s="250">
        <v>0.73550000000000004</v>
      </c>
      <c r="F30" s="250">
        <v>0.63780000000000003</v>
      </c>
    </row>
    <row r="31" spans="1:6" x14ac:dyDescent="0.25">
      <c r="A31" s="250">
        <v>9595</v>
      </c>
      <c r="B31" s="250">
        <v>3</v>
      </c>
      <c r="C31" s="250">
        <v>12.908799999999999</v>
      </c>
      <c r="D31" s="250">
        <v>1.7298</v>
      </c>
      <c r="E31" s="250">
        <v>0.65910000000000002</v>
      </c>
      <c r="F31" s="250">
        <v>0.57150000000000001</v>
      </c>
    </row>
    <row r="32" spans="1:6" x14ac:dyDescent="0.25">
      <c r="A32" s="250">
        <v>9596</v>
      </c>
      <c r="B32" s="250">
        <v>3</v>
      </c>
      <c r="C32" s="250">
        <v>12.908799999999999</v>
      </c>
      <c r="D32" s="250">
        <v>1.7298</v>
      </c>
      <c r="E32" s="250">
        <v>0.65910000000000002</v>
      </c>
      <c r="F32" s="250">
        <v>0.57150000000000001</v>
      </c>
    </row>
    <row r="33" spans="1:6" x14ac:dyDescent="0.25">
      <c r="A33" s="250">
        <v>9597</v>
      </c>
      <c r="B33" s="250">
        <v>3</v>
      </c>
      <c r="C33" s="250">
        <v>16.593499999999999</v>
      </c>
      <c r="D33" s="250">
        <v>2.2235999999999998</v>
      </c>
      <c r="E33" s="250">
        <v>0.84719999999999995</v>
      </c>
      <c r="F33" s="250">
        <v>0.73460000000000003</v>
      </c>
    </row>
    <row r="34" spans="1:6" x14ac:dyDescent="0.25">
      <c r="A34" s="250">
        <v>9598</v>
      </c>
      <c r="B34" s="250">
        <v>3</v>
      </c>
      <c r="C34" s="250">
        <v>16.165800000000001</v>
      </c>
      <c r="D34" s="250">
        <v>2.1663000000000001</v>
      </c>
      <c r="E34" s="250">
        <v>0.82540000000000002</v>
      </c>
      <c r="F34" s="250">
        <v>0.7157</v>
      </c>
    </row>
    <row r="35" spans="1:6" x14ac:dyDescent="0.25">
      <c r="A35" s="250">
        <v>9635</v>
      </c>
      <c r="B35" s="250">
        <v>3</v>
      </c>
      <c r="C35" s="250">
        <v>12.453099999999999</v>
      </c>
      <c r="D35" s="250">
        <v>1.6688000000000001</v>
      </c>
      <c r="E35" s="250">
        <v>0.63580000000000003</v>
      </c>
      <c r="F35" s="250">
        <v>0.55130000000000001</v>
      </c>
    </row>
    <row r="36" spans="1:6" x14ac:dyDescent="0.25">
      <c r="A36" s="250">
        <v>9636</v>
      </c>
      <c r="B36" s="250">
        <v>3</v>
      </c>
      <c r="C36" s="250">
        <v>8.1990999999999996</v>
      </c>
      <c r="D36" s="250">
        <v>1.0987</v>
      </c>
      <c r="E36" s="250">
        <v>0.41860000000000003</v>
      </c>
      <c r="F36" s="250">
        <v>0.36299999999999999</v>
      </c>
    </row>
    <row r="37" spans="1:6" x14ac:dyDescent="0.25">
      <c r="A37" s="250">
        <v>9637</v>
      </c>
      <c r="B37" s="250">
        <v>3</v>
      </c>
      <c r="C37" s="250">
        <v>8.1694999999999993</v>
      </c>
      <c r="D37" s="250">
        <v>1.0947</v>
      </c>
      <c r="E37" s="250">
        <v>0.41710000000000003</v>
      </c>
      <c r="F37" s="250">
        <v>0.36170000000000002</v>
      </c>
    </row>
    <row r="38" spans="1:6" x14ac:dyDescent="0.25">
      <c r="A38" s="250">
        <v>9638</v>
      </c>
      <c r="B38" s="250">
        <v>3</v>
      </c>
      <c r="C38" s="250">
        <v>4.6715999999999998</v>
      </c>
      <c r="D38" s="250">
        <v>0.626</v>
      </c>
      <c r="E38" s="250">
        <v>0.23849999999999999</v>
      </c>
      <c r="F38" s="250">
        <v>0.20680000000000001</v>
      </c>
    </row>
    <row r="39" spans="1:6" x14ac:dyDescent="0.25">
      <c r="A39" s="250">
        <v>9639</v>
      </c>
      <c r="B39" s="250">
        <v>3</v>
      </c>
      <c r="C39" s="250">
        <v>8.1990999999999996</v>
      </c>
      <c r="D39" s="250">
        <v>1.0987</v>
      </c>
      <c r="E39" s="250">
        <v>0.41860000000000003</v>
      </c>
      <c r="F39" s="250">
        <v>0.36299999999999999</v>
      </c>
    </row>
    <row r="40" spans="1:6" x14ac:dyDescent="0.25">
      <c r="A40" s="250">
        <v>9640</v>
      </c>
      <c r="B40" s="250">
        <v>3</v>
      </c>
      <c r="C40" s="250">
        <v>8.1990999999999996</v>
      </c>
      <c r="D40" s="250">
        <v>1.0987</v>
      </c>
      <c r="E40" s="250">
        <v>0.41860000000000003</v>
      </c>
      <c r="F40" s="250">
        <v>0.36299999999999999</v>
      </c>
    </row>
    <row r="41" spans="1:6" x14ac:dyDescent="0.25">
      <c r="A41" s="250">
        <v>9641</v>
      </c>
      <c r="B41" s="250">
        <v>3</v>
      </c>
      <c r="C41" s="250">
        <v>8.1990999999999996</v>
      </c>
      <c r="D41" s="250">
        <v>1.0987</v>
      </c>
      <c r="E41" s="250">
        <v>0.41860000000000003</v>
      </c>
      <c r="F41" s="250">
        <v>0.36299999999999999</v>
      </c>
    </row>
    <row r="42" spans="1:6" x14ac:dyDescent="0.25">
      <c r="A42" s="250">
        <v>9869</v>
      </c>
      <c r="B42" s="250">
        <v>3</v>
      </c>
      <c r="C42" s="250">
        <v>9.6958000000000002</v>
      </c>
      <c r="D42" s="250">
        <v>1.2992999999999999</v>
      </c>
      <c r="E42" s="250">
        <v>0.495</v>
      </c>
      <c r="F42" s="250">
        <v>0.42930000000000001</v>
      </c>
    </row>
    <row r="43" spans="1:6" x14ac:dyDescent="0.25">
      <c r="A43" s="250">
        <v>9870</v>
      </c>
      <c r="B43" s="250">
        <v>3</v>
      </c>
      <c r="C43" s="250">
        <v>9.9773999999999994</v>
      </c>
      <c r="D43" s="250">
        <v>1.337</v>
      </c>
      <c r="E43" s="250">
        <v>0.50939999999999996</v>
      </c>
      <c r="F43" s="250">
        <v>0.44169999999999998</v>
      </c>
    </row>
    <row r="44" spans="1:6" x14ac:dyDescent="0.25">
      <c r="A44" s="250">
        <v>9871</v>
      </c>
      <c r="B44" s="250">
        <v>3</v>
      </c>
      <c r="C44" s="250">
        <v>8.9656000000000002</v>
      </c>
      <c r="D44" s="250">
        <v>1.2014</v>
      </c>
      <c r="E44" s="250">
        <v>0.4577</v>
      </c>
      <c r="F44" s="250">
        <v>0.39689999999999998</v>
      </c>
    </row>
    <row r="45" spans="1:6" x14ac:dyDescent="0.25">
      <c r="A45" s="250">
        <v>9872</v>
      </c>
      <c r="B45" s="250">
        <v>3</v>
      </c>
      <c r="C45" s="250">
        <v>8.1990999999999996</v>
      </c>
      <c r="D45" s="250">
        <v>1.0987</v>
      </c>
      <c r="E45" s="250">
        <v>0.41860000000000003</v>
      </c>
      <c r="F45" s="250">
        <v>0.36299999999999999</v>
      </c>
    </row>
    <row r="46" spans="1:6" x14ac:dyDescent="0.25">
      <c r="A46" s="250">
        <v>9873</v>
      </c>
      <c r="B46" s="250">
        <v>3</v>
      </c>
      <c r="C46" s="250">
        <v>9.9773999999999994</v>
      </c>
      <c r="D46" s="250">
        <v>1.337</v>
      </c>
      <c r="E46" s="250">
        <v>0.50939999999999996</v>
      </c>
      <c r="F46" s="250">
        <v>0.44169999999999998</v>
      </c>
    </row>
    <row r="47" spans="1:6" x14ac:dyDescent="0.25">
      <c r="A47" s="250">
        <v>9874</v>
      </c>
      <c r="B47" s="250">
        <v>3</v>
      </c>
      <c r="C47" s="250">
        <v>7.8436000000000003</v>
      </c>
      <c r="D47" s="250">
        <v>1.0510999999999999</v>
      </c>
      <c r="E47" s="250">
        <v>0.40050000000000002</v>
      </c>
      <c r="F47" s="250">
        <v>0.3473</v>
      </c>
    </row>
    <row r="48" spans="1:6" x14ac:dyDescent="0.25">
      <c r="A48" s="250">
        <v>9875</v>
      </c>
      <c r="B48" s="250">
        <v>3</v>
      </c>
      <c r="C48" s="250">
        <v>6.6536999999999997</v>
      </c>
      <c r="D48" s="250">
        <v>0.89159999999999995</v>
      </c>
      <c r="E48" s="250">
        <v>0.3397</v>
      </c>
      <c r="F48" s="250">
        <v>0.29459999999999997</v>
      </c>
    </row>
    <row r="49" spans="1:6" x14ac:dyDescent="0.25">
      <c r="A49" s="250">
        <v>9876</v>
      </c>
      <c r="B49" s="250">
        <v>3</v>
      </c>
      <c r="C49" s="250">
        <v>7.4154</v>
      </c>
      <c r="D49" s="250">
        <v>0.99370000000000003</v>
      </c>
      <c r="E49" s="250">
        <v>0.37859999999999999</v>
      </c>
      <c r="F49" s="250">
        <v>0.32829999999999998</v>
      </c>
    </row>
    <row r="50" spans="1:6" x14ac:dyDescent="0.25">
      <c r="A50" s="250">
        <v>9877</v>
      </c>
      <c r="B50" s="250">
        <v>3</v>
      </c>
      <c r="C50" s="250">
        <v>10.468999999999999</v>
      </c>
      <c r="D50" s="250">
        <v>1.4029</v>
      </c>
      <c r="E50" s="250">
        <v>0.53449999999999998</v>
      </c>
      <c r="F50" s="250">
        <v>0.46350000000000002</v>
      </c>
    </row>
    <row r="51" spans="1:6" x14ac:dyDescent="0.25">
      <c r="A51" s="250">
        <v>9878</v>
      </c>
      <c r="B51" s="250">
        <v>3</v>
      </c>
      <c r="C51" s="250">
        <v>10.217499999999999</v>
      </c>
      <c r="D51" s="250">
        <v>1.3692</v>
      </c>
      <c r="E51" s="250">
        <v>0.52170000000000005</v>
      </c>
      <c r="F51" s="250">
        <v>0.45240000000000002</v>
      </c>
    </row>
    <row r="52" spans="1:6" x14ac:dyDescent="0.25">
      <c r="A52" s="250">
        <v>9879</v>
      </c>
      <c r="B52" s="250">
        <v>3</v>
      </c>
      <c r="C52" s="250">
        <v>10.4991</v>
      </c>
      <c r="D52" s="250">
        <v>1.4069</v>
      </c>
      <c r="E52" s="250">
        <v>0.53600000000000003</v>
      </c>
      <c r="F52" s="250">
        <v>0.46479999999999999</v>
      </c>
    </row>
    <row r="53" spans="1:6" x14ac:dyDescent="0.25">
      <c r="A53" s="250">
        <v>9880</v>
      </c>
      <c r="B53" s="250">
        <v>3</v>
      </c>
      <c r="C53" s="250">
        <v>10.4991</v>
      </c>
      <c r="D53" s="250">
        <v>1.4069</v>
      </c>
      <c r="E53" s="250">
        <v>0.53600000000000003</v>
      </c>
      <c r="F53" s="250">
        <v>0.46479999999999999</v>
      </c>
    </row>
    <row r="54" spans="1:6" x14ac:dyDescent="0.25">
      <c r="A54" s="250">
        <v>9881</v>
      </c>
      <c r="B54" s="250">
        <v>3</v>
      </c>
      <c r="C54" s="250">
        <v>10.4991</v>
      </c>
      <c r="D54" s="250">
        <v>1.4069</v>
      </c>
      <c r="E54" s="250">
        <v>0.53600000000000003</v>
      </c>
      <c r="F54" s="250">
        <v>0.46479999999999999</v>
      </c>
    </row>
    <row r="55" spans="1:6" x14ac:dyDescent="0.25">
      <c r="A55" s="250">
        <v>9882</v>
      </c>
      <c r="B55" s="250">
        <v>3</v>
      </c>
      <c r="C55" s="250">
        <v>8.7208000000000006</v>
      </c>
      <c r="D55" s="250">
        <v>1.1686000000000001</v>
      </c>
      <c r="E55" s="250">
        <v>0.44519999999999998</v>
      </c>
      <c r="F55" s="250">
        <v>0.3861</v>
      </c>
    </row>
    <row r="56" spans="1:6" x14ac:dyDescent="0.25">
      <c r="A56" s="250">
        <v>9883</v>
      </c>
      <c r="B56" s="250">
        <v>3</v>
      </c>
      <c r="C56" s="250">
        <v>18.976500000000001</v>
      </c>
      <c r="D56" s="250">
        <v>2.5428999999999999</v>
      </c>
      <c r="E56" s="250">
        <v>0.96889999999999998</v>
      </c>
      <c r="F56" s="250">
        <v>0.84009999999999996</v>
      </c>
    </row>
    <row r="57" spans="1:6" x14ac:dyDescent="0.25">
      <c r="A57" s="250">
        <v>9884</v>
      </c>
      <c r="B57" s="250">
        <v>3</v>
      </c>
      <c r="C57" s="250">
        <v>0</v>
      </c>
      <c r="D57" s="250">
        <v>0</v>
      </c>
      <c r="E57" s="250">
        <v>0</v>
      </c>
      <c r="F57" s="250">
        <v>0</v>
      </c>
    </row>
    <row r="58" spans="1:6" x14ac:dyDescent="0.25">
      <c r="A58" s="250">
        <v>9885</v>
      </c>
      <c r="B58" s="250">
        <v>3</v>
      </c>
      <c r="C58" s="250">
        <v>8.7208000000000006</v>
      </c>
      <c r="D58" s="250">
        <v>1.1686000000000001</v>
      </c>
      <c r="E58" s="250">
        <v>0.44519999999999998</v>
      </c>
      <c r="F58" s="250">
        <v>0.3861</v>
      </c>
    </row>
    <row r="59" spans="1:6" x14ac:dyDescent="0.25">
      <c r="A59" s="250">
        <v>9886</v>
      </c>
      <c r="B59" s="250">
        <v>3</v>
      </c>
      <c r="C59" s="250">
        <v>9.0023999999999997</v>
      </c>
      <c r="D59" s="250">
        <v>1.2063999999999999</v>
      </c>
      <c r="E59" s="250">
        <v>0.45960000000000001</v>
      </c>
      <c r="F59" s="250">
        <v>0.39860000000000001</v>
      </c>
    </row>
    <row r="60" spans="1:6" x14ac:dyDescent="0.25">
      <c r="A60" s="250">
        <v>9887</v>
      </c>
      <c r="B60" s="250">
        <v>3</v>
      </c>
      <c r="C60" s="250">
        <v>8.7208000000000006</v>
      </c>
      <c r="D60" s="250">
        <v>1.1686000000000001</v>
      </c>
      <c r="E60" s="250">
        <v>0.44519999999999998</v>
      </c>
      <c r="F60" s="250">
        <v>0.3861</v>
      </c>
    </row>
    <row r="61" spans="1:6" x14ac:dyDescent="0.25">
      <c r="A61" s="250">
        <v>9888</v>
      </c>
      <c r="B61" s="250">
        <v>3</v>
      </c>
      <c r="C61" s="250">
        <v>8.7208000000000006</v>
      </c>
      <c r="D61" s="250">
        <v>1.1686000000000001</v>
      </c>
      <c r="E61" s="250">
        <v>0.44519999999999998</v>
      </c>
      <c r="F61" s="250">
        <v>0.3861</v>
      </c>
    </row>
    <row r="62" spans="1:6" x14ac:dyDescent="0.25">
      <c r="A62" s="250">
        <v>9889</v>
      </c>
      <c r="B62" s="250">
        <v>3</v>
      </c>
      <c r="C62" s="250">
        <v>8.7208000000000006</v>
      </c>
      <c r="D62" s="250">
        <v>1.1686000000000001</v>
      </c>
      <c r="E62" s="250">
        <v>0.44519999999999998</v>
      </c>
      <c r="F62" s="250">
        <v>0.3861</v>
      </c>
    </row>
    <row r="63" spans="1:6" x14ac:dyDescent="0.25">
      <c r="A63" s="250">
        <v>9890</v>
      </c>
      <c r="B63" s="250">
        <v>3</v>
      </c>
      <c r="C63" s="250">
        <v>8.7208000000000006</v>
      </c>
      <c r="D63" s="250">
        <v>1.1686000000000001</v>
      </c>
      <c r="E63" s="250">
        <v>0.44519999999999998</v>
      </c>
      <c r="F63" s="250">
        <v>0.3861</v>
      </c>
    </row>
    <row r="64" spans="1:6" x14ac:dyDescent="0.25">
      <c r="A64" s="250">
        <v>9891</v>
      </c>
      <c r="B64" s="250">
        <v>3</v>
      </c>
      <c r="C64" s="250">
        <v>7.5975000000000001</v>
      </c>
      <c r="D64" s="250">
        <v>1.0181</v>
      </c>
      <c r="E64" s="250">
        <v>0.38790000000000002</v>
      </c>
      <c r="F64" s="250">
        <v>0.33639999999999998</v>
      </c>
    </row>
    <row r="65" spans="1:6" x14ac:dyDescent="0.25">
      <c r="A65" s="250">
        <v>9892</v>
      </c>
      <c r="B65" s="250">
        <v>3</v>
      </c>
      <c r="C65" s="250">
        <v>12.433400000000001</v>
      </c>
      <c r="D65" s="250">
        <v>1.6660999999999999</v>
      </c>
      <c r="E65" s="250">
        <v>0.63480000000000003</v>
      </c>
      <c r="F65" s="250">
        <v>0.55049999999999999</v>
      </c>
    </row>
    <row r="66" spans="1:6" x14ac:dyDescent="0.25">
      <c r="A66" s="250">
        <v>9975</v>
      </c>
      <c r="B66" s="250">
        <v>3</v>
      </c>
      <c r="C66" s="250">
        <v>12.433400000000001</v>
      </c>
      <c r="D66" s="250">
        <v>1.6660999999999999</v>
      </c>
      <c r="E66" s="250">
        <v>0.63480000000000003</v>
      </c>
      <c r="F66" s="250">
        <v>0.55049999999999999</v>
      </c>
    </row>
    <row r="67" spans="1:6" x14ac:dyDescent="0.25">
      <c r="A67" s="250">
        <v>9976</v>
      </c>
      <c r="B67" s="250">
        <v>3</v>
      </c>
      <c r="C67" s="250">
        <v>12.433400000000001</v>
      </c>
      <c r="D67" s="250">
        <v>1.6660999999999999</v>
      </c>
      <c r="E67" s="250">
        <v>0.63480000000000003</v>
      </c>
      <c r="F67" s="250">
        <v>0.55049999999999999</v>
      </c>
    </row>
    <row r="68" spans="1:6" x14ac:dyDescent="0.25">
      <c r="A68" s="250">
        <v>9977</v>
      </c>
      <c r="B68" s="250">
        <v>3</v>
      </c>
      <c r="C68" s="250">
        <v>12.433400000000001</v>
      </c>
      <c r="D68" s="250">
        <v>1.6660999999999999</v>
      </c>
      <c r="E68" s="250">
        <v>0.63480000000000003</v>
      </c>
      <c r="F68" s="250">
        <v>0.55049999999999999</v>
      </c>
    </row>
    <row r="69" spans="1:6" x14ac:dyDescent="0.25">
      <c r="A69" s="250">
        <v>9978</v>
      </c>
      <c r="B69" s="250">
        <v>3</v>
      </c>
      <c r="C69" s="250">
        <v>10.3695</v>
      </c>
      <c r="D69" s="250">
        <v>1.3895999999999999</v>
      </c>
      <c r="E69" s="250">
        <v>0.52939999999999998</v>
      </c>
      <c r="F69" s="250">
        <v>0.45910000000000001</v>
      </c>
    </row>
    <row r="70" spans="1:6" x14ac:dyDescent="0.25">
      <c r="A70" s="250">
        <v>9979</v>
      </c>
      <c r="B70" s="250">
        <v>3</v>
      </c>
      <c r="C70" s="250">
        <v>9.5724999999999998</v>
      </c>
      <c r="D70" s="250">
        <v>1.2827999999999999</v>
      </c>
      <c r="E70" s="250">
        <v>0.48870000000000002</v>
      </c>
      <c r="F70" s="250">
        <v>0.42380000000000001</v>
      </c>
    </row>
    <row r="71" spans="1:6" x14ac:dyDescent="0.25">
      <c r="A71" s="250">
        <v>9980</v>
      </c>
      <c r="B71" s="250">
        <v>3</v>
      </c>
      <c r="C71" s="250">
        <v>11.0342</v>
      </c>
      <c r="D71" s="250">
        <v>1.4785999999999999</v>
      </c>
      <c r="E71" s="250">
        <v>0.56340000000000001</v>
      </c>
      <c r="F71" s="250">
        <v>0.48849999999999999</v>
      </c>
    </row>
    <row r="72" spans="1:6" x14ac:dyDescent="0.25">
      <c r="A72" s="250">
        <v>9981</v>
      </c>
      <c r="B72" s="250">
        <v>3</v>
      </c>
      <c r="C72" s="250">
        <v>12.693899999999999</v>
      </c>
      <c r="D72" s="250">
        <v>1.7010000000000001</v>
      </c>
      <c r="E72" s="250">
        <v>0.64810000000000001</v>
      </c>
      <c r="F72" s="250">
        <v>0.56200000000000006</v>
      </c>
    </row>
    <row r="73" spans="1:6" x14ac:dyDescent="0.25">
      <c r="A73" s="250">
        <v>9982</v>
      </c>
      <c r="B73" s="250">
        <v>3</v>
      </c>
      <c r="C73" s="250">
        <v>11.0693</v>
      </c>
      <c r="D73" s="250">
        <v>1.4833000000000001</v>
      </c>
      <c r="E73" s="250">
        <v>0.56510000000000005</v>
      </c>
      <c r="F73" s="250">
        <v>0.49009999999999998</v>
      </c>
    </row>
    <row r="74" spans="1:6" x14ac:dyDescent="0.25">
      <c r="A74" s="250">
        <v>9983</v>
      </c>
      <c r="B74" s="250">
        <v>3</v>
      </c>
      <c r="C74" s="250">
        <v>13.0036</v>
      </c>
      <c r="D74" s="250">
        <v>1.7424999999999999</v>
      </c>
      <c r="E74" s="250">
        <v>0.66390000000000005</v>
      </c>
      <c r="F74" s="250">
        <v>0.57569999999999999</v>
      </c>
    </row>
    <row r="75" spans="1:6" x14ac:dyDescent="0.25">
      <c r="A75" s="250">
        <v>9984</v>
      </c>
      <c r="B75" s="250">
        <v>3</v>
      </c>
      <c r="C75" s="250">
        <v>11.0693</v>
      </c>
      <c r="D75" s="250">
        <v>1.4833000000000001</v>
      </c>
      <c r="E75" s="250">
        <v>0.56510000000000005</v>
      </c>
      <c r="F75" s="250">
        <v>0.49009999999999998</v>
      </c>
    </row>
    <row r="76" spans="1:6" x14ac:dyDescent="0.25">
      <c r="A76" s="250">
        <v>9985</v>
      </c>
      <c r="B76" s="250">
        <v>3</v>
      </c>
      <c r="C76" s="250">
        <v>11.256</v>
      </c>
      <c r="D76" s="250">
        <v>1.5083</v>
      </c>
      <c r="E76" s="250">
        <v>0.57469999999999999</v>
      </c>
      <c r="F76" s="250">
        <v>0.49830000000000002</v>
      </c>
    </row>
    <row r="77" spans="1:6" x14ac:dyDescent="0.25">
      <c r="A77" s="250">
        <v>9986</v>
      </c>
      <c r="B77" s="250">
        <v>3</v>
      </c>
      <c r="C77" s="250">
        <v>12.234400000000001</v>
      </c>
      <c r="D77" s="250">
        <v>1.6395</v>
      </c>
      <c r="E77" s="250">
        <v>0.62460000000000004</v>
      </c>
      <c r="F77" s="250">
        <v>0.54159999999999997</v>
      </c>
    </row>
    <row r="78" spans="1:6" x14ac:dyDescent="0.25">
      <c r="A78" s="250">
        <v>9987</v>
      </c>
      <c r="B78" s="250">
        <v>3</v>
      </c>
      <c r="C78" s="250">
        <v>13.9787</v>
      </c>
      <c r="D78" s="250">
        <v>1.8732</v>
      </c>
      <c r="E78" s="250">
        <v>0.7137</v>
      </c>
      <c r="F78" s="250">
        <v>0.61890000000000001</v>
      </c>
    </row>
    <row r="79" spans="1:6" x14ac:dyDescent="0.25">
      <c r="A79" s="250">
        <v>9988</v>
      </c>
      <c r="B79" s="250">
        <v>3</v>
      </c>
      <c r="C79" s="250">
        <v>14.2667</v>
      </c>
      <c r="D79" s="250">
        <v>1.9117999999999999</v>
      </c>
      <c r="E79" s="250">
        <v>0.72840000000000005</v>
      </c>
      <c r="F79" s="250">
        <v>0.63160000000000005</v>
      </c>
    </row>
    <row r="80" spans="1:6" x14ac:dyDescent="0.25">
      <c r="A80" s="250">
        <v>9994</v>
      </c>
      <c r="B80" s="250">
        <v>3</v>
      </c>
      <c r="C80" s="250">
        <v>14.2667</v>
      </c>
      <c r="D80" s="250">
        <v>1.9117999999999999</v>
      </c>
      <c r="E80" s="250">
        <v>0.72840000000000005</v>
      </c>
      <c r="F80" s="250">
        <v>0.63160000000000005</v>
      </c>
    </row>
    <row r="81" spans="1:6" x14ac:dyDescent="0.25">
      <c r="A81" s="250">
        <v>9995</v>
      </c>
      <c r="B81" s="250">
        <v>3</v>
      </c>
      <c r="C81" s="250">
        <v>14.2667</v>
      </c>
      <c r="D81" s="250">
        <v>1.9117999999999999</v>
      </c>
      <c r="E81" s="250">
        <v>0.72840000000000005</v>
      </c>
      <c r="F81" s="250">
        <v>0.63160000000000005</v>
      </c>
    </row>
    <row r="82" spans="1:6" x14ac:dyDescent="0.25">
      <c r="A82" s="250">
        <v>9996</v>
      </c>
      <c r="B82" s="250">
        <v>3</v>
      </c>
      <c r="C82" s="250">
        <v>14.2667</v>
      </c>
      <c r="D82" s="250">
        <v>1.9117999999999999</v>
      </c>
      <c r="E82" s="250">
        <v>0.72840000000000005</v>
      </c>
      <c r="F82" s="250">
        <v>0.63160000000000005</v>
      </c>
    </row>
    <row r="83" spans="1:6" x14ac:dyDescent="0.25">
      <c r="A83" s="250">
        <v>9997</v>
      </c>
      <c r="B83" s="250">
        <v>3</v>
      </c>
      <c r="C83" s="250">
        <v>11.3573</v>
      </c>
      <c r="D83" s="250">
        <v>1.5219</v>
      </c>
      <c r="E83" s="250">
        <v>0.57989999999999997</v>
      </c>
      <c r="F83" s="250">
        <v>0.50280000000000002</v>
      </c>
    </row>
    <row r="84" spans="1:6" x14ac:dyDescent="0.25">
      <c r="A84" s="250">
        <v>9998</v>
      </c>
      <c r="B84" s="250">
        <v>3</v>
      </c>
      <c r="C84" s="250">
        <v>11.9117</v>
      </c>
      <c r="D84" s="250">
        <v>1.5962000000000001</v>
      </c>
      <c r="E84" s="250">
        <v>0.60819999999999996</v>
      </c>
      <c r="F84" s="250">
        <v>0.52739999999999998</v>
      </c>
    </row>
    <row r="85" spans="1:6" x14ac:dyDescent="0.25">
      <c r="A85" s="250">
        <v>10005</v>
      </c>
      <c r="B85" s="250">
        <v>3</v>
      </c>
      <c r="C85" s="250">
        <v>0</v>
      </c>
      <c r="D85" s="250">
        <v>0</v>
      </c>
      <c r="E85" s="250">
        <v>0</v>
      </c>
      <c r="F85" s="250">
        <v>0</v>
      </c>
    </row>
    <row r="87" spans="1:6" x14ac:dyDescent="0.25">
      <c r="A87" s="250" t="s">
        <v>281</v>
      </c>
      <c r="B87" s="250" t="s">
        <v>282</v>
      </c>
      <c r="C87" s="250" t="s">
        <v>189</v>
      </c>
      <c r="D87" s="250" t="s">
        <v>188</v>
      </c>
      <c r="E87" s="250" t="s">
        <v>189</v>
      </c>
      <c r="F87" s="250" t="s">
        <v>230</v>
      </c>
    </row>
    <row r="88" spans="1:6" x14ac:dyDescent="0.25">
      <c r="A88" s="250" t="s">
        <v>137</v>
      </c>
      <c r="C88" s="250">
        <v>824.45870000000002</v>
      </c>
      <c r="D88" s="250" t="s">
        <v>3</v>
      </c>
      <c r="E88" s="250">
        <v>42.0931</v>
      </c>
      <c r="F88" s="250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Sheet3!bu42019._1</vt:lpstr>
      <vt:lpstr>Sheet4!BU42025.</vt:lpstr>
      <vt:lpstr>Sheet3!BUpDes2018.</vt:lpstr>
      <vt:lpstr>Sheet1!Print_Area</vt:lpstr>
      <vt:lpstr>Sheet3!Print_Area</vt:lpstr>
      <vt:lpstr>Sheet1!Print_Titles</vt:lpstr>
      <vt:lpstr>Sheet3!Print_Titles</vt:lpstr>
    </vt:vector>
  </TitlesOfParts>
  <Company>PTAPB-BATAN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Nugroho Hadi Susanto., ST</dc:creator>
  <cp:lastModifiedBy>Hp</cp:lastModifiedBy>
  <cp:lastPrinted>2023-03-02T07:41:33Z</cp:lastPrinted>
  <dcterms:created xsi:type="dcterms:W3CDTF">2012-04-05T08:00:31Z</dcterms:created>
  <dcterms:modified xsi:type="dcterms:W3CDTF">2026-01-07T07:50:10Z</dcterms:modified>
</cp:coreProperties>
</file>