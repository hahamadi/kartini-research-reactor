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6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7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8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9.xml" ContentType="application/vnd.openxmlformats-officedocument.drawing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10.xml" ContentType="application/vnd.openxmlformats-officedocument.drawing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drawings/drawing11.xml" ContentType="application/vnd.openxmlformats-officedocument.drawing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aufanni/00. Data File/01. Office/02. Utilisasi/IRL/Bahan Ajar/Pengukuran Reaktivitas Batang Kendali/"/>
    </mc:Choice>
  </mc:AlternateContent>
  <xr:revisionPtr revIDLastSave="0" documentId="13_ncr:1_{CABF9BB7-2433-AC43-9FE2-9C89869510FE}" xr6:coauthVersionLast="47" xr6:coauthVersionMax="47" xr10:uidLastSave="{00000000-0000-0000-0000-000000000000}"/>
  <bookViews>
    <workbookView xWindow="140" yWindow="920" windowWidth="14480" windowHeight="18060" activeTab="9" xr2:uid="{00000000-000D-0000-FFFF-FFFF00000000}"/>
  </bookViews>
  <sheets>
    <sheet name="25Juli" sheetId="1" state="hidden" r:id="rId1"/>
    <sheet name="17 Jan24" sheetId="2" state="hidden" r:id="rId2"/>
    <sheet name="22 Juni" sheetId="3" state="hidden" r:id="rId3"/>
    <sheet name="17 Maret" sheetId="4" state="hidden" r:id="rId4"/>
    <sheet name="29 Oct 24" sheetId="5" state="hidden" r:id="rId5"/>
    <sheet name="24 Feb 25" sheetId="6" state="hidden" r:id="rId6"/>
    <sheet name="17 Okt 24" sheetId="7" state="hidden" r:id="rId7"/>
    <sheet name="5 Mar 2" sheetId="8" state="hidden" r:id="rId8"/>
    <sheet name="11 Mar 25" sheetId="9" r:id="rId9"/>
    <sheet name="28 Oct 25" sheetId="11" r:id="rId10"/>
    <sheet name="aesha" sheetId="12" r:id="rId11"/>
    <sheet name="Illustration" sheetId="10" r:id="rId12"/>
    <sheet name="Sheet2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ZvQPMm/fPT9pQjk4fh0C07grsGvwJHBxvc9v2KASDbU="/>
    </ext>
  </extLst>
</workbook>
</file>

<file path=xl/calcChain.xml><?xml version="1.0" encoding="utf-8"?>
<calcChain xmlns="http://schemas.openxmlformats.org/spreadsheetml/2006/main">
  <c r="C55" i="12" l="1"/>
  <c r="C66" i="12" s="1"/>
  <c r="D66" i="12" s="1"/>
  <c r="D54" i="12"/>
  <c r="D53" i="12"/>
  <c r="D52" i="12"/>
  <c r="D51" i="12"/>
  <c r="D50" i="12"/>
  <c r="D49" i="12"/>
  <c r="D48" i="12"/>
  <c r="E47" i="12"/>
  <c r="E48" i="12" s="1"/>
  <c r="E49" i="12" s="1"/>
  <c r="E50" i="12" s="1"/>
  <c r="E51" i="12" s="1"/>
  <c r="E52" i="12" s="1"/>
  <c r="E53" i="12" s="1"/>
  <c r="E54" i="12" s="1"/>
  <c r="D47" i="12"/>
  <c r="C34" i="12"/>
  <c r="C63" i="12" s="1"/>
  <c r="D63" i="12" s="1"/>
  <c r="D33" i="12"/>
  <c r="D32" i="12"/>
  <c r="D31" i="12"/>
  <c r="D30" i="12"/>
  <c r="D29" i="12"/>
  <c r="D28" i="12"/>
  <c r="E27" i="12"/>
  <c r="E28" i="12" s="1"/>
  <c r="E29" i="12" s="1"/>
  <c r="E30" i="12" s="1"/>
  <c r="E31" i="12" s="1"/>
  <c r="E32" i="12" s="1"/>
  <c r="E33" i="12" s="1"/>
  <c r="D27" i="12"/>
  <c r="C17" i="12"/>
  <c r="C18" i="12" s="1"/>
  <c r="D16" i="12"/>
  <c r="D15" i="12"/>
  <c r="D14" i="12"/>
  <c r="D13" i="12"/>
  <c r="D12" i="12"/>
  <c r="D11" i="12"/>
  <c r="E10" i="12"/>
  <c r="E11" i="12" s="1"/>
  <c r="E12" i="12" s="1"/>
  <c r="E13" i="12" s="1"/>
  <c r="E14" i="12" s="1"/>
  <c r="E15" i="12" s="1"/>
  <c r="E16" i="12" s="1"/>
  <c r="D10" i="12"/>
  <c r="C65" i="11"/>
  <c r="C66" i="11"/>
  <c r="D29" i="11"/>
  <c r="D30" i="11"/>
  <c r="D31" i="11"/>
  <c r="D32" i="11"/>
  <c r="D33" i="11"/>
  <c r="D16" i="11"/>
  <c r="C55" i="11"/>
  <c r="D54" i="11"/>
  <c r="D53" i="11"/>
  <c r="D52" i="11"/>
  <c r="D51" i="11"/>
  <c r="D50" i="11"/>
  <c r="D49" i="11"/>
  <c r="D48" i="11"/>
  <c r="E47" i="11"/>
  <c r="E48" i="11" s="1"/>
  <c r="E49" i="11" s="1"/>
  <c r="E50" i="11" s="1"/>
  <c r="E51" i="11" s="1"/>
  <c r="E52" i="11" s="1"/>
  <c r="E53" i="11" s="1"/>
  <c r="E54" i="11" s="1"/>
  <c r="D47" i="11"/>
  <c r="C34" i="11"/>
  <c r="E34" i="11" s="1"/>
  <c r="D28" i="11"/>
  <c r="E27" i="11"/>
  <c r="E28" i="11" s="1"/>
  <c r="E29" i="11" s="1"/>
  <c r="E30" i="11" s="1"/>
  <c r="E31" i="11" s="1"/>
  <c r="E32" i="11" s="1"/>
  <c r="E33" i="11" s="1"/>
  <c r="D27" i="11"/>
  <c r="C17" i="11"/>
  <c r="C62" i="11" s="1"/>
  <c r="D62" i="11" s="1"/>
  <c r="D15" i="11"/>
  <c r="D14" i="11"/>
  <c r="D13" i="11"/>
  <c r="D12" i="11"/>
  <c r="D11" i="11"/>
  <c r="E10" i="11"/>
  <c r="E11" i="11" s="1"/>
  <c r="E12" i="11" s="1"/>
  <c r="E13" i="11" s="1"/>
  <c r="E14" i="11" s="1"/>
  <c r="E15" i="11" s="1"/>
  <c r="E16" i="11" s="1"/>
  <c r="D10" i="11"/>
  <c r="C58" i="9"/>
  <c r="C59" i="9" s="1"/>
  <c r="D57" i="9"/>
  <c r="D56" i="9"/>
  <c r="D55" i="9"/>
  <c r="D54" i="9"/>
  <c r="D53" i="9"/>
  <c r="D52" i="9"/>
  <c r="D51" i="9"/>
  <c r="E50" i="9"/>
  <c r="E51" i="9" s="1"/>
  <c r="E52" i="9" s="1"/>
  <c r="E53" i="9" s="1"/>
  <c r="E54" i="9" s="1"/>
  <c r="E55" i="9" s="1"/>
  <c r="E56" i="9" s="1"/>
  <c r="E57" i="9" s="1"/>
  <c r="D50" i="9"/>
  <c r="C37" i="9"/>
  <c r="E37" i="9" s="1"/>
  <c r="D36" i="9"/>
  <c r="D35" i="9"/>
  <c r="D34" i="9"/>
  <c r="D33" i="9"/>
  <c r="D32" i="9"/>
  <c r="D31" i="9"/>
  <c r="D30" i="9"/>
  <c r="D29" i="9"/>
  <c r="E28" i="9"/>
  <c r="E29" i="9" s="1"/>
  <c r="E30" i="9" s="1"/>
  <c r="E31" i="9" s="1"/>
  <c r="E32" i="9" s="1"/>
  <c r="E33" i="9" s="1"/>
  <c r="E34" i="9" s="1"/>
  <c r="E35" i="9" s="1"/>
  <c r="E36" i="9" s="1"/>
  <c r="D28" i="9"/>
  <c r="C18" i="9"/>
  <c r="C65" i="9" s="1"/>
  <c r="D65" i="9" s="1"/>
  <c r="D17" i="9"/>
  <c r="D16" i="9"/>
  <c r="D15" i="9"/>
  <c r="D14" i="9"/>
  <c r="D13" i="9"/>
  <c r="D12" i="9"/>
  <c r="D11" i="9"/>
  <c r="E10" i="9"/>
  <c r="E11" i="9" s="1"/>
  <c r="E12" i="9" s="1"/>
  <c r="E13" i="9" s="1"/>
  <c r="E14" i="9" s="1"/>
  <c r="E15" i="9" s="1"/>
  <c r="E16" i="9" s="1"/>
  <c r="E17" i="9" s="1"/>
  <c r="D10" i="9"/>
  <c r="D66" i="8"/>
  <c r="C66" i="8"/>
  <c r="C65" i="8"/>
  <c r="D65" i="8" s="1"/>
  <c r="C58" i="8"/>
  <c r="E57" i="8"/>
  <c r="C57" i="8"/>
  <c r="D56" i="8"/>
  <c r="D55" i="8"/>
  <c r="D54" i="8"/>
  <c r="D53" i="8"/>
  <c r="D52" i="8"/>
  <c r="D51" i="8"/>
  <c r="E50" i="8"/>
  <c r="E51" i="8" s="1"/>
  <c r="E52" i="8" s="1"/>
  <c r="E53" i="8" s="1"/>
  <c r="E54" i="8" s="1"/>
  <c r="E55" i="8" s="1"/>
  <c r="E56" i="8" s="1"/>
  <c r="D50" i="8"/>
  <c r="E49" i="8"/>
  <c r="D49" i="8"/>
  <c r="C37" i="8"/>
  <c r="C36" i="8"/>
  <c r="C68" i="8" s="1"/>
  <c r="D68" i="8" s="1"/>
  <c r="D35" i="8"/>
  <c r="D34" i="8"/>
  <c r="D33" i="8"/>
  <c r="D32" i="8"/>
  <c r="D31" i="8"/>
  <c r="E30" i="8"/>
  <c r="E31" i="8" s="1"/>
  <c r="E32" i="8" s="1"/>
  <c r="E33" i="8" s="1"/>
  <c r="E34" i="8" s="1"/>
  <c r="E35" i="8" s="1"/>
  <c r="D30" i="8"/>
  <c r="E29" i="8"/>
  <c r="D29" i="8"/>
  <c r="E28" i="8"/>
  <c r="D28" i="8"/>
  <c r="C18" i="8"/>
  <c r="D17" i="8"/>
  <c r="D16" i="8"/>
  <c r="D15" i="8"/>
  <c r="D14" i="8"/>
  <c r="D13" i="8"/>
  <c r="D12" i="8"/>
  <c r="D11" i="8"/>
  <c r="E10" i="8"/>
  <c r="E11" i="8" s="1"/>
  <c r="E12" i="8" s="1"/>
  <c r="E13" i="8" s="1"/>
  <c r="E14" i="8" s="1"/>
  <c r="E15" i="8" s="1"/>
  <c r="E16" i="8" s="1"/>
  <c r="E17" i="8" s="1"/>
  <c r="D10" i="8"/>
  <c r="D65" i="7"/>
  <c r="C65" i="7"/>
  <c r="D57" i="7"/>
  <c r="D56" i="7"/>
  <c r="D55" i="7"/>
  <c r="D54" i="7"/>
  <c r="D53" i="7"/>
  <c r="D52" i="7"/>
  <c r="D51" i="7"/>
  <c r="C50" i="7"/>
  <c r="E50" i="7" s="1"/>
  <c r="E51" i="7" s="1"/>
  <c r="E52" i="7" s="1"/>
  <c r="E53" i="7" s="1"/>
  <c r="E54" i="7" s="1"/>
  <c r="E55" i="7" s="1"/>
  <c r="E56" i="7" s="1"/>
  <c r="E57" i="7" s="1"/>
  <c r="D36" i="7"/>
  <c r="D35" i="7"/>
  <c r="D34" i="7"/>
  <c r="D33" i="7"/>
  <c r="D32" i="7"/>
  <c r="D31" i="7"/>
  <c r="D30" i="7"/>
  <c r="C29" i="7"/>
  <c r="E29" i="7" s="1"/>
  <c r="E30" i="7" s="1"/>
  <c r="E31" i="7" s="1"/>
  <c r="E32" i="7" s="1"/>
  <c r="E33" i="7" s="1"/>
  <c r="E34" i="7" s="1"/>
  <c r="E35" i="7" s="1"/>
  <c r="E36" i="7" s="1"/>
  <c r="C19" i="7"/>
  <c r="E19" i="7" s="1"/>
  <c r="D18" i="7"/>
  <c r="D17" i="7"/>
  <c r="D16" i="7"/>
  <c r="D15" i="7"/>
  <c r="D14" i="7"/>
  <c r="D13" i="7"/>
  <c r="D12" i="7"/>
  <c r="D11" i="7"/>
  <c r="E10" i="7"/>
  <c r="E11" i="7" s="1"/>
  <c r="E12" i="7" s="1"/>
  <c r="E13" i="7" s="1"/>
  <c r="E14" i="7" s="1"/>
  <c r="E15" i="7" s="1"/>
  <c r="E16" i="7" s="1"/>
  <c r="E17" i="7" s="1"/>
  <c r="E18" i="7" s="1"/>
  <c r="D10" i="7"/>
  <c r="C65" i="6"/>
  <c r="D65" i="6" s="1"/>
  <c r="D56" i="6"/>
  <c r="D55" i="6"/>
  <c r="D54" i="6"/>
  <c r="D53" i="6"/>
  <c r="D52" i="6"/>
  <c r="D51" i="6"/>
  <c r="D50" i="6"/>
  <c r="C49" i="6"/>
  <c r="C36" i="6"/>
  <c r="C37" i="6" s="1"/>
  <c r="D35" i="6"/>
  <c r="D34" i="6"/>
  <c r="E33" i="6"/>
  <c r="E34" i="6" s="1"/>
  <c r="E35" i="6" s="1"/>
  <c r="D33" i="6"/>
  <c r="D32" i="6"/>
  <c r="D31" i="6"/>
  <c r="D30" i="6"/>
  <c r="E29" i="6"/>
  <c r="E30" i="6" s="1"/>
  <c r="E31" i="6" s="1"/>
  <c r="E32" i="6" s="1"/>
  <c r="D29" i="6"/>
  <c r="E28" i="6"/>
  <c r="D28" i="6"/>
  <c r="C18" i="6"/>
  <c r="E18" i="6" s="1"/>
  <c r="D17" i="6"/>
  <c r="D16" i="6"/>
  <c r="D15" i="6"/>
  <c r="D14" i="6"/>
  <c r="D13" i="6"/>
  <c r="D12" i="6"/>
  <c r="E11" i="6"/>
  <c r="E12" i="6" s="1"/>
  <c r="E13" i="6" s="1"/>
  <c r="E14" i="6" s="1"/>
  <c r="E15" i="6" s="1"/>
  <c r="E16" i="6" s="1"/>
  <c r="E17" i="6" s="1"/>
  <c r="D11" i="6"/>
  <c r="E10" i="6"/>
  <c r="D10" i="6"/>
  <c r="C68" i="5"/>
  <c r="D68" i="5" s="1"/>
  <c r="C64" i="5"/>
  <c r="D64" i="5" s="1"/>
  <c r="D56" i="5"/>
  <c r="D55" i="5"/>
  <c r="D54" i="5"/>
  <c r="D53" i="5"/>
  <c r="D52" i="5"/>
  <c r="D51" i="5"/>
  <c r="D50" i="5"/>
  <c r="C49" i="5"/>
  <c r="C57" i="5" s="1"/>
  <c r="C37" i="5"/>
  <c r="E36" i="5"/>
  <c r="C36" i="5"/>
  <c r="C65" i="5" s="1"/>
  <c r="D65" i="5" s="1"/>
  <c r="D35" i="5"/>
  <c r="D34" i="5"/>
  <c r="D33" i="5"/>
  <c r="D32" i="5"/>
  <c r="D31" i="5"/>
  <c r="D30" i="5"/>
  <c r="D29" i="5"/>
  <c r="E28" i="5"/>
  <c r="E29" i="5" s="1"/>
  <c r="E30" i="5" s="1"/>
  <c r="E31" i="5" s="1"/>
  <c r="E32" i="5" s="1"/>
  <c r="E33" i="5" s="1"/>
  <c r="E34" i="5" s="1"/>
  <c r="E35" i="5" s="1"/>
  <c r="D28" i="5"/>
  <c r="C28" i="5"/>
  <c r="C19" i="5"/>
  <c r="C18" i="5"/>
  <c r="E18" i="5" s="1"/>
  <c r="D17" i="5"/>
  <c r="E16" i="5"/>
  <c r="E17" i="5" s="1"/>
  <c r="D16" i="5"/>
  <c r="D15" i="5"/>
  <c r="D14" i="5"/>
  <c r="D13" i="5"/>
  <c r="E12" i="5"/>
  <c r="E13" i="5" s="1"/>
  <c r="E14" i="5" s="1"/>
  <c r="E15" i="5" s="1"/>
  <c r="D12" i="5"/>
  <c r="E11" i="5"/>
  <c r="D11" i="5"/>
  <c r="E10" i="5"/>
  <c r="D10" i="5"/>
  <c r="B50" i="4"/>
  <c r="C50" i="4" s="1"/>
  <c r="C48" i="4"/>
  <c r="B48" i="4"/>
  <c r="B47" i="4"/>
  <c r="C47" i="4" s="1"/>
  <c r="C45" i="4"/>
  <c r="D43" i="4"/>
  <c r="D42" i="4"/>
  <c r="D41" i="4"/>
  <c r="D40" i="4"/>
  <c r="D39" i="4"/>
  <c r="E38" i="4"/>
  <c r="E39" i="4" s="1"/>
  <c r="E40" i="4" s="1"/>
  <c r="E41" i="4" s="1"/>
  <c r="E42" i="4" s="1"/>
  <c r="E43" i="4" s="1"/>
  <c r="D38" i="4"/>
  <c r="C31" i="4"/>
  <c r="D30" i="4"/>
  <c r="D29" i="4"/>
  <c r="D28" i="4"/>
  <c r="E27" i="4"/>
  <c r="E28" i="4" s="1"/>
  <c r="E29" i="4" s="1"/>
  <c r="E30" i="4" s="1"/>
  <c r="D27" i="4"/>
  <c r="E26" i="4"/>
  <c r="D26" i="4"/>
  <c r="E25" i="4"/>
  <c r="D25" i="4"/>
  <c r="C17" i="4"/>
  <c r="D15" i="4"/>
  <c r="D14" i="4"/>
  <c r="D13" i="4"/>
  <c r="D12" i="4"/>
  <c r="E11" i="4"/>
  <c r="E12" i="4" s="1"/>
  <c r="E13" i="4" s="1"/>
  <c r="E14" i="4" s="1"/>
  <c r="E15" i="4" s="1"/>
  <c r="D11" i="4"/>
  <c r="E10" i="4"/>
  <c r="D10" i="4"/>
  <c r="C57" i="3"/>
  <c r="B59" i="3" s="1"/>
  <c r="C59" i="3" s="1"/>
  <c r="E55" i="3"/>
  <c r="D55" i="3"/>
  <c r="D54" i="3"/>
  <c r="D53" i="3"/>
  <c r="D52" i="3"/>
  <c r="E51" i="3"/>
  <c r="E52" i="3" s="1"/>
  <c r="E53" i="3" s="1"/>
  <c r="E54" i="3" s="1"/>
  <c r="D51" i="3"/>
  <c r="E50" i="3"/>
  <c r="D50" i="3"/>
  <c r="C37" i="3"/>
  <c r="D35" i="3"/>
  <c r="D34" i="3"/>
  <c r="D33" i="3"/>
  <c r="D32" i="3"/>
  <c r="E31" i="3"/>
  <c r="E32" i="3" s="1"/>
  <c r="E33" i="3" s="1"/>
  <c r="E34" i="3" s="1"/>
  <c r="E35" i="3" s="1"/>
  <c r="D31" i="3"/>
  <c r="C17" i="3"/>
  <c r="B60" i="3" s="1"/>
  <c r="C60" i="3" s="1"/>
  <c r="E15" i="3"/>
  <c r="D15" i="3"/>
  <c r="D14" i="3"/>
  <c r="D13" i="3"/>
  <c r="D12" i="3"/>
  <c r="E11" i="3"/>
  <c r="E12" i="3" s="1"/>
  <c r="E13" i="3" s="1"/>
  <c r="E14" i="3" s="1"/>
  <c r="D11" i="3"/>
  <c r="E10" i="3"/>
  <c r="D10" i="3"/>
  <c r="C84" i="2"/>
  <c r="D84" i="2" s="1"/>
  <c r="C83" i="2"/>
  <c r="D83" i="2" s="1"/>
  <c r="C82" i="2"/>
  <c r="D82" i="2" s="1"/>
  <c r="C77" i="2"/>
  <c r="E76" i="2"/>
  <c r="C76" i="2"/>
  <c r="D75" i="2"/>
  <c r="D74" i="2"/>
  <c r="D73" i="2"/>
  <c r="D72" i="2"/>
  <c r="D71" i="2"/>
  <c r="D70" i="2"/>
  <c r="D69" i="2"/>
  <c r="D68" i="2"/>
  <c r="D67" i="2"/>
  <c r="D66" i="2"/>
  <c r="E65" i="2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D65" i="2"/>
  <c r="E64" i="2"/>
  <c r="D64" i="2"/>
  <c r="C51" i="2"/>
  <c r="C85" i="2" s="1"/>
  <c r="D85" i="2" s="1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E37" i="2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D37" i="2"/>
  <c r="C27" i="2"/>
  <c r="E27" i="2" s="1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E10" i="2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D10" i="2"/>
  <c r="C104" i="1"/>
  <c r="C99" i="1"/>
  <c r="G98" i="1"/>
  <c r="B82" i="1"/>
  <c r="C82" i="1" s="1"/>
  <c r="C76" i="1"/>
  <c r="D75" i="1"/>
  <c r="D74" i="1"/>
  <c r="D73" i="1"/>
  <c r="D72" i="1"/>
  <c r="D71" i="1"/>
  <c r="D70" i="1"/>
  <c r="D69" i="1"/>
  <c r="E68" i="1"/>
  <c r="E69" i="1" s="1"/>
  <c r="E70" i="1" s="1"/>
  <c r="E71" i="1" s="1"/>
  <c r="E72" i="1" s="1"/>
  <c r="E73" i="1" s="1"/>
  <c r="E74" i="1" s="1"/>
  <c r="E75" i="1" s="1"/>
  <c r="E76" i="1" s="1"/>
  <c r="D68" i="1"/>
  <c r="D67" i="1"/>
  <c r="D66" i="1"/>
  <c r="E65" i="1"/>
  <c r="E66" i="1" s="1"/>
  <c r="E67" i="1" s="1"/>
  <c r="D65" i="1"/>
  <c r="C53" i="1"/>
  <c r="C52" i="1"/>
  <c r="D51" i="1"/>
  <c r="D50" i="1"/>
  <c r="D49" i="1"/>
  <c r="D48" i="1"/>
  <c r="D47" i="1"/>
  <c r="D46" i="1"/>
  <c r="D45" i="1"/>
  <c r="E44" i="1"/>
  <c r="E45" i="1" s="1"/>
  <c r="E46" i="1" s="1"/>
  <c r="E47" i="1" s="1"/>
  <c r="E48" i="1" s="1"/>
  <c r="E49" i="1" s="1"/>
  <c r="E50" i="1" s="1"/>
  <c r="E51" i="1" s="1"/>
  <c r="E52" i="1" s="1"/>
  <c r="D44" i="1"/>
  <c r="D43" i="1"/>
  <c r="D42" i="1"/>
  <c r="D41" i="1"/>
  <c r="E40" i="1"/>
  <c r="E41" i="1" s="1"/>
  <c r="E42" i="1" s="1"/>
  <c r="E43" i="1" s="1"/>
  <c r="D40" i="1"/>
  <c r="C26" i="1"/>
  <c r="B80" i="1" s="1"/>
  <c r="C80" i="1" s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D12" i="1"/>
  <c r="D11" i="1"/>
  <c r="E10" i="1"/>
  <c r="E11" i="1" s="1"/>
  <c r="D10" i="1"/>
  <c r="C35" i="12" l="1"/>
  <c r="E34" i="12"/>
  <c r="C64" i="12"/>
  <c r="D64" i="12" s="1"/>
  <c r="C56" i="12"/>
  <c r="C61" i="12"/>
  <c r="E55" i="12"/>
  <c r="E17" i="12"/>
  <c r="C62" i="12"/>
  <c r="D62" i="12" s="1"/>
  <c r="C35" i="11"/>
  <c r="C63" i="11"/>
  <c r="D63" i="11" s="1"/>
  <c r="C61" i="11"/>
  <c r="D61" i="11" s="1"/>
  <c r="E55" i="11"/>
  <c r="C64" i="11"/>
  <c r="D64" i="11" s="1"/>
  <c r="E17" i="11"/>
  <c r="C18" i="11"/>
  <c r="D66" i="11"/>
  <c r="C56" i="11"/>
  <c r="C64" i="9"/>
  <c r="E49" i="6"/>
  <c r="E50" i="6" s="1"/>
  <c r="E51" i="6" s="1"/>
  <c r="E52" i="6" s="1"/>
  <c r="E53" i="6" s="1"/>
  <c r="E54" i="6" s="1"/>
  <c r="E55" i="6" s="1"/>
  <c r="E56" i="6" s="1"/>
  <c r="C57" i="6"/>
  <c r="D49" i="6"/>
  <c r="C77" i="1"/>
  <c r="B81" i="1"/>
  <c r="C81" i="1" s="1"/>
  <c r="B79" i="1"/>
  <c r="C64" i="8"/>
  <c r="D64" i="8" s="1"/>
  <c r="C19" i="8"/>
  <c r="C63" i="8"/>
  <c r="E18" i="8"/>
  <c r="C58" i="5"/>
  <c r="C63" i="5"/>
  <c r="C66" i="5"/>
  <c r="D66" i="5" s="1"/>
  <c r="E57" i="5"/>
  <c r="D64" i="9"/>
  <c r="E49" i="5"/>
  <c r="E50" i="5" s="1"/>
  <c r="E51" i="5" s="1"/>
  <c r="E52" i="5" s="1"/>
  <c r="E53" i="5" s="1"/>
  <c r="E54" i="5" s="1"/>
  <c r="E55" i="5" s="1"/>
  <c r="E56" i="5" s="1"/>
  <c r="C19" i="6"/>
  <c r="C20" i="7"/>
  <c r="E36" i="8"/>
  <c r="C38" i="9"/>
  <c r="C66" i="9"/>
  <c r="D66" i="9" s="1"/>
  <c r="E26" i="1"/>
  <c r="C27" i="1"/>
  <c r="C28" i="2"/>
  <c r="E36" i="6"/>
  <c r="C64" i="6"/>
  <c r="D64" i="6" s="1"/>
  <c r="C68" i="6"/>
  <c r="D68" i="6" s="1"/>
  <c r="D29" i="7"/>
  <c r="C37" i="7"/>
  <c r="C82" i="7" s="1"/>
  <c r="E18" i="9"/>
  <c r="E58" i="9"/>
  <c r="C67" i="9"/>
  <c r="D67" i="9" s="1"/>
  <c r="C86" i="2"/>
  <c r="D86" i="2" s="1"/>
  <c r="C87" i="2"/>
  <c r="D87" i="2" s="1"/>
  <c r="E51" i="2"/>
  <c r="C52" i="2"/>
  <c r="C19" i="9"/>
  <c r="D50" i="7"/>
  <c r="C58" i="7"/>
  <c r="C69" i="9"/>
  <c r="D69" i="9" s="1"/>
  <c r="D49" i="5"/>
  <c r="C65" i="12" l="1"/>
  <c r="D65" i="12" s="1"/>
  <c r="D61" i="12"/>
  <c r="D65" i="11"/>
  <c r="C68" i="9"/>
  <c r="D68" i="9" s="1"/>
  <c r="E58" i="7"/>
  <c r="C80" i="7"/>
  <c r="C66" i="7"/>
  <c r="C64" i="7"/>
  <c r="C81" i="7"/>
  <c r="C59" i="7"/>
  <c r="E37" i="7"/>
  <c r="C67" i="7"/>
  <c r="D67" i="7" s="1"/>
  <c r="C38" i="7"/>
  <c r="C69" i="7"/>
  <c r="D69" i="7" s="1"/>
  <c r="B83" i="1"/>
  <c r="C83" i="1" s="1"/>
  <c r="B85" i="1"/>
  <c r="C85" i="1" s="1"/>
  <c r="C79" i="1"/>
  <c r="D63" i="5"/>
  <c r="C67" i="5"/>
  <c r="D67" i="5" s="1"/>
  <c r="C58" i="6"/>
  <c r="C66" i="6"/>
  <c r="D66" i="6" s="1"/>
  <c r="E57" i="6"/>
  <c r="C63" i="6"/>
  <c r="D63" i="8"/>
  <c r="C67" i="8"/>
  <c r="D67" i="8" s="1"/>
  <c r="D63" i="6" l="1"/>
  <c r="C67" i="6"/>
  <c r="D67" i="6" s="1"/>
  <c r="F80" i="7"/>
  <c r="F82" i="7"/>
  <c r="C68" i="7"/>
  <c r="D68" i="7" s="1"/>
  <c r="D64" i="7"/>
  <c r="F81" i="7"/>
  <c r="D66" i="7"/>
  <c r="F65" i="7"/>
</calcChain>
</file>

<file path=xl/sharedStrings.xml><?xml version="1.0" encoding="utf-8"?>
<sst xmlns="http://schemas.openxmlformats.org/spreadsheetml/2006/main" count="543" uniqueCount="66">
  <si>
    <t xml:space="preserve">KALIBRASI BATANG KENDALI </t>
  </si>
  <si>
    <t>Tanggal, 25 Juli 2024</t>
  </si>
  <si>
    <t>Batang pengatur</t>
  </si>
  <si>
    <t>r</t>
  </si>
  <si>
    <t>Posisi</t>
  </si>
  <si>
    <t>Reaktivitas</t>
  </si>
  <si>
    <t>drho/dh</t>
  </si>
  <si>
    <t>sigma rho</t>
  </si>
  <si>
    <t>(%)</t>
  </si>
  <si>
    <t>cent</t>
  </si>
  <si>
    <t>(cent/%)</t>
  </si>
  <si>
    <t>(cent)</t>
  </si>
  <si>
    <t>$</t>
  </si>
  <si>
    <t>Batang Kompensasi</t>
  </si>
  <si>
    <t>Batang pengaman</t>
  </si>
  <si>
    <t xml:space="preserve">Total </t>
  </si>
  <si>
    <t>Core excess</t>
  </si>
  <si>
    <t>(pengatur)</t>
  </si>
  <si>
    <t>(pengaman)</t>
  </si>
  <si>
    <t>(kompensasi)</t>
  </si>
  <si>
    <t>shutdown margin</t>
  </si>
  <si>
    <t>stuck rod</t>
  </si>
  <si>
    <t>(307.57+326.7+168.75)-(326.7)-(149.57)</t>
  </si>
  <si>
    <t>Tanggal: 17 Januari  2024</t>
  </si>
  <si>
    <t>Batang Pengatur</t>
  </si>
  <si>
    <t>Rod drop</t>
  </si>
  <si>
    <t>Cent</t>
  </si>
  <si>
    <t>Dollar</t>
  </si>
  <si>
    <t>Tanggal, 22 Juni 2021</t>
  </si>
  <si>
    <t>(c$)</t>
  </si>
  <si>
    <t>(c$/%)</t>
  </si>
  <si>
    <t>Tanggal, 17 Maret 2014</t>
  </si>
  <si>
    <t>Shutdown margin</t>
  </si>
  <si>
    <t>Control Rod Reactivity Measurement</t>
  </si>
  <si>
    <t>Date: Oct 29th, 2024</t>
  </si>
  <si>
    <t>Regulating Rod</t>
  </si>
  <si>
    <t>Position</t>
  </si>
  <si>
    <t>Reactivity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</si>
  <si>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</si>
  <si>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Shim/ Compensation Rod</t>
  </si>
  <si>
    <t>Safety Rod</t>
  </si>
  <si>
    <t>(regulating)</t>
  </si>
  <si>
    <t>(shim/compensation)</t>
  </si>
  <si>
    <t>(safety)</t>
  </si>
  <si>
    <t>Kartini Reactor 0.5$ = 50 cent</t>
  </si>
  <si>
    <t>Date: Feb, 24th, 2025</t>
  </si>
  <si>
    <t>PENGUKURAN REAKTIVITAS BATANG KENDALI</t>
  </si>
  <si>
    <t>Tanggal: 17 Oktober 2024</t>
  </si>
  <si>
    <t>reaktor kartini 0.5$ = 50 cent</t>
  </si>
  <si>
    <t>Rho (out)</t>
  </si>
  <si>
    <t>pengatur</t>
  </si>
  <si>
    <t>core excess</t>
  </si>
  <si>
    <t>kompensasi</t>
  </si>
  <si>
    <t>safety</t>
  </si>
  <si>
    <t>Date: Mar, 5th, 2025</t>
  </si>
  <si>
    <t>Date: Mar, 11th, 2025</t>
  </si>
  <si>
    <t>Minimum = Kartini Reactor 0.5$ = 50 cent</t>
  </si>
  <si>
    <t>Date: Oct, 28th, 2025</t>
  </si>
  <si>
    <t>Aisha alkhateri</t>
  </si>
  <si>
    <t>fatima</t>
  </si>
  <si>
    <t>luluwa</t>
  </si>
  <si>
    <t>rashed</t>
  </si>
  <si>
    <t>shamsa</t>
  </si>
  <si>
    <t>10 watt</t>
  </si>
  <si>
    <t>aisha alzaabi</t>
  </si>
  <si>
    <t>biggest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</si>
</sst>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3">
    <font>
      <sz val="11"/>
      <color theme="1"/>
      <name val="Calibri"/>
      <scheme val="minor"/>
    </font>
    <font>
      <sz val="11"/>
      <color theme="1"/>
      <name val="Calibri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Noto Sans Symbols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1" fillId="0" borderId="1" xfId="0" applyFont="1" applyBorder="1"/>
    <xf numFmtId="2" fontId="1" fillId="0" borderId="1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" fillId="0" borderId="0" xfId="0" applyFont="1" applyAlignment="1">
      <alignment horizontal="center"/>
    </xf>
    <xf numFmtId="2" fontId="1" fillId="0" borderId="2" xfId="0" applyNumberFormat="1" applyFont="1" applyBorder="1"/>
    <xf numFmtId="2" fontId="1" fillId="0" borderId="1" xfId="0" applyNumberFormat="1" applyFont="1" applyBorder="1"/>
    <xf numFmtId="2" fontId="4" fillId="0" borderId="0" xfId="0" applyNumberFormat="1" applyFont="1"/>
    <xf numFmtId="0" fontId="6" fillId="0" borderId="0" xfId="0" applyFont="1"/>
    <xf numFmtId="0" fontId="7" fillId="2" borderId="3" xfId="0" applyFont="1" applyFill="1" applyBorder="1"/>
    <xf numFmtId="164" fontId="7" fillId="2" borderId="3" xfId="0" applyNumberFormat="1" applyFont="1" applyFill="1" applyBorder="1"/>
    <xf numFmtId="0" fontId="8" fillId="2" borderId="3" xfId="0" applyFont="1" applyFill="1" applyBorder="1"/>
    <xf numFmtId="0" fontId="9" fillId="3" borderId="1" xfId="0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64" fontId="7" fillId="2" borderId="1" xfId="0" applyNumberFormat="1" applyFont="1" applyFill="1" applyBorder="1"/>
    <xf numFmtId="0" fontId="7" fillId="2" borderId="1" xfId="0" applyFont="1" applyFill="1" applyBorder="1"/>
    <xf numFmtId="0" fontId="7" fillId="4" borderId="1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64" fontId="9" fillId="2" borderId="3" xfId="0" applyNumberFormat="1" applyFont="1" applyFill="1" applyBorder="1"/>
    <xf numFmtId="0" fontId="9" fillId="3" borderId="1" xfId="0" applyFont="1" applyFill="1" applyBorder="1"/>
    <xf numFmtId="0" fontId="9" fillId="2" borderId="3" xfId="0" applyFont="1" applyFill="1" applyBorder="1"/>
    <xf numFmtId="2" fontId="9" fillId="3" borderId="1" xfId="0" applyNumberFormat="1" applyFont="1" applyFill="1" applyBorder="1"/>
    <xf numFmtId="0" fontId="7" fillId="2" borderId="3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2" fontId="7" fillId="2" borderId="1" xfId="0" applyNumberFormat="1" applyFont="1" applyFill="1" applyBorder="1"/>
    <xf numFmtId="0" fontId="7" fillId="5" borderId="1" xfId="0" applyFont="1" applyFill="1" applyBorder="1" applyAlignment="1">
      <alignment horizontal="center"/>
    </xf>
    <xf numFmtId="2" fontId="7" fillId="2" borderId="3" xfId="0" applyNumberFormat="1" applyFont="1" applyFill="1" applyBorder="1"/>
    <xf numFmtId="0" fontId="0" fillId="6" borderId="0" xfId="0" applyFill="1"/>
    <xf numFmtId="0" fontId="11" fillId="2" borderId="3" xfId="0" applyFont="1" applyFill="1" applyBorder="1"/>
    <xf numFmtId="1" fontId="12" fillId="0" borderId="13" xfId="0" applyNumberFormat="1" applyFont="1" applyBorder="1" applyAlignment="1">
      <alignment horizontal="justify" vertical="center" wrapText="1"/>
    </xf>
    <xf numFmtId="1" fontId="12" fillId="0" borderId="15" xfId="0" applyNumberFormat="1" applyFont="1" applyBorder="1" applyAlignment="1">
      <alignment horizontal="justify" vertical="center" wrapText="1"/>
    </xf>
    <xf numFmtId="165" fontId="12" fillId="0" borderId="13" xfId="0" applyNumberFormat="1" applyFont="1" applyBorder="1" applyAlignment="1">
      <alignment horizontal="justify" vertical="center" wrapText="1"/>
    </xf>
    <xf numFmtId="165" fontId="12" fillId="0" borderId="14" xfId="0" applyNumberFormat="1" applyFont="1" applyBorder="1" applyAlignment="1">
      <alignment horizontal="justify" vertical="center" wrapText="1"/>
    </xf>
    <xf numFmtId="165" fontId="12" fillId="0" borderId="15" xfId="0" applyNumberFormat="1" applyFont="1" applyBorder="1" applyAlignment="1">
      <alignment horizontal="justify" vertical="center" wrapText="1"/>
    </xf>
    <xf numFmtId="165" fontId="12" fillId="0" borderId="16" xfId="0" applyNumberFormat="1" applyFont="1" applyBorder="1" applyAlignment="1">
      <alignment horizontal="justify" vertical="center" wrapText="1"/>
    </xf>
    <xf numFmtId="0" fontId="9" fillId="2" borderId="4" xfId="0" applyFont="1" applyFill="1" applyBorder="1" applyAlignment="1">
      <alignment horizontal="center" vertical="top"/>
    </xf>
    <xf numFmtId="0" fontId="10" fillId="0" borderId="5" xfId="0" applyFont="1" applyBorder="1"/>
    <xf numFmtId="0" fontId="10" fillId="0" borderId="6" xfId="0" applyFont="1" applyBorder="1"/>
    <xf numFmtId="0" fontId="9" fillId="3" borderId="8" xfId="0" applyFont="1" applyFill="1" applyBorder="1" applyAlignment="1">
      <alignment horizontal="left" vertical="center"/>
    </xf>
    <xf numFmtId="0" fontId="10" fillId="0" borderId="2" xfId="0" applyFont="1" applyBorder="1"/>
    <xf numFmtId="0" fontId="10" fillId="0" borderId="9" xfId="0" applyFont="1" applyBorder="1"/>
    <xf numFmtId="0" fontId="7" fillId="2" borderId="10" xfId="0" applyFont="1" applyFill="1" applyBorder="1" applyAlignment="1">
      <alignment horizontal="center" vertical="center"/>
    </xf>
    <xf numFmtId="0" fontId="10" fillId="0" borderId="11" xfId="0" applyFont="1" applyBorder="1"/>
    <xf numFmtId="0" fontId="10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Grafik Integral Reaktivitas Batang Pengatur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Batang Pengatur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DE-6746-AD2D-11D7611E9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673264"/>
        <c:axId val="1605238183"/>
      </c:scatterChart>
      <c:valAx>
        <c:axId val="3146732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Posisi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5238183"/>
        <c:crosses val="autoZero"/>
        <c:crossBetween val="midCat"/>
      </c:valAx>
      <c:valAx>
        <c:axId val="16052381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Reaktivitas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467326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Grafik Diferensial Reaktivitas Batang kompensasi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40-6548-917A-A54A68B46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682482"/>
        <c:axId val="1566442061"/>
      </c:scatterChart>
      <c:valAx>
        <c:axId val="7886824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6442061"/>
        <c:crosses val="autoZero"/>
        <c:crossBetween val="midCat"/>
      </c:valAx>
      <c:valAx>
        <c:axId val="15664420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Reaktivitas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8868248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Grafik Diferensial Reaktivitas Batang Pengaman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9B-444E-9013-D04B7B5B8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555116"/>
        <c:axId val="1859554307"/>
      </c:scatterChart>
      <c:valAx>
        <c:axId val="18935551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59554307"/>
        <c:crosses val="autoZero"/>
        <c:crossBetween val="midCat"/>
      </c:valAx>
      <c:valAx>
        <c:axId val="1859554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355511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Grafik Integral Reaktivitas Batang Pengatur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E3-3543-A30B-7CE94495B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8980039"/>
        <c:axId val="1342004286"/>
      </c:scatterChart>
      <c:valAx>
        <c:axId val="17489800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42004286"/>
        <c:crosses val="autoZero"/>
        <c:crossBetween val="midCat"/>
      </c:valAx>
      <c:valAx>
        <c:axId val="13420042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898003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Grafik Integral Reaktivitas Batang Kompensasi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C8-2A45-91C1-48799BC3A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546320"/>
        <c:axId val="2043197791"/>
      </c:scatterChart>
      <c:valAx>
        <c:axId val="7025463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43197791"/>
        <c:crosses val="autoZero"/>
        <c:crossBetween val="midCat"/>
      </c:valAx>
      <c:valAx>
        <c:axId val="2043197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0254632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Grafik Integral Reaktivitas Batang Pengaman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A7-D04E-937A-8EFC72D0A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70789"/>
        <c:axId val="88386435"/>
      </c:scatterChart>
      <c:valAx>
        <c:axId val="1912707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386435"/>
        <c:crosses val="autoZero"/>
        <c:crossBetween val="midCat"/>
      </c:valAx>
      <c:valAx>
        <c:axId val="883864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27078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sz="1400" b="0" i="0">
                <a:solidFill>
                  <a:srgbClr val="757575"/>
                </a:solidFill>
                <a:latin typeface="Arial"/>
              </a:rPr>
              <a:t>Grafik Diferensial Reaktivitas Batang Pengatur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Batang Pengatur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86-904C-9823-D6D702DA5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362931"/>
        <c:axId val="268673767"/>
      </c:scatterChart>
      <c:valAx>
        <c:axId val="17833629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Arial"/>
                  </a:rPr>
                  <a:t>Posisi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68673767"/>
        <c:crosses val="autoZero"/>
        <c:crossBetween val="midCat"/>
      </c:valAx>
      <c:valAx>
        <c:axId val="268673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Arial"/>
                  </a:rPr>
                  <a:t>Reaktivitas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78336293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sz="1400" b="0" i="0">
                <a:solidFill>
                  <a:srgbClr val="757575"/>
                </a:solidFill>
                <a:latin typeface="Arial"/>
              </a:rPr>
              <a:t>Grafik Diferensial Reaktivitas Batang kompensasi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21-BB4C-98E9-85D84DC66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773808"/>
        <c:axId val="255037523"/>
      </c:scatterChart>
      <c:valAx>
        <c:axId val="2737738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Arial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55037523"/>
        <c:crosses val="autoZero"/>
        <c:crossBetween val="midCat"/>
      </c:valAx>
      <c:valAx>
        <c:axId val="255037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Arial"/>
                  </a:rPr>
                  <a:t>Reaktivitas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7377380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Grafik Diferensial Reaktivitas Batang Pengaman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5B-554C-8D2C-DE735CB5B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944724"/>
        <c:axId val="379195173"/>
      </c:scatterChart>
      <c:valAx>
        <c:axId val="6319447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79195173"/>
        <c:crosses val="autoZero"/>
        <c:crossBetween val="midCat"/>
      </c:valAx>
      <c:valAx>
        <c:axId val="379195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194472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sz="1400" b="0" i="0">
                <a:solidFill>
                  <a:srgbClr val="757575"/>
                </a:solidFill>
                <a:latin typeface="Arial"/>
              </a:rPr>
              <a:t>Grafik Integral Reaktivitas Batang Pengatur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A8-714B-A690-FBFE2E03E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1397879"/>
        <c:axId val="2120410214"/>
      </c:scatterChart>
      <c:valAx>
        <c:axId val="15513978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Arial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120410214"/>
        <c:crosses val="autoZero"/>
        <c:crossBetween val="midCat"/>
      </c:valAx>
      <c:valAx>
        <c:axId val="2120410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Arial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55139787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sz="1400" b="0" i="0">
                <a:solidFill>
                  <a:srgbClr val="757575"/>
                </a:solidFill>
                <a:latin typeface="Arial"/>
              </a:rPr>
              <a:t>Grafik Integral Reaktivitas Batang Kompensasi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00-4F4F-8897-61A5BE24D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999870"/>
        <c:axId val="2062784056"/>
      </c:scatterChart>
      <c:valAx>
        <c:axId val="7399998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Arial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62784056"/>
        <c:crosses val="autoZero"/>
        <c:crossBetween val="midCat"/>
      </c:valAx>
      <c:valAx>
        <c:axId val="20627840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Arial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73999987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Grafik Integral Reaktivitas Batang Pengaman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E4-6F4A-B0FD-544629473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4067766"/>
        <c:axId val="2098772449"/>
      </c:scatterChart>
      <c:valAx>
        <c:axId val="14240677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8772449"/>
        <c:crosses val="autoZero"/>
        <c:crossBetween val="midCat"/>
      </c:valAx>
      <c:valAx>
        <c:axId val="20987724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2406776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chemeClr val="lt1"/>
                </a:solidFill>
                <a:latin typeface="+mn-lt"/>
              </a:defRPr>
            </a:pPr>
            <a:r>
              <a:rPr sz="1400" b="1" i="0">
                <a:solidFill>
                  <a:schemeClr val="lt1"/>
                </a:solidFill>
                <a:latin typeface="+mn-lt"/>
              </a:rPr>
              <a:t>Grafik Diferensial Reaktivitas Batang Pengatur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Batang Pengatur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D3-FD48-9F46-57D4282E1F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889725"/>
        <c:axId val="1897165555"/>
      </c:scatterChart>
      <c:valAx>
        <c:axId val="12428897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sz="900" b="1" i="0">
                    <a:solidFill>
                      <a:schemeClr val="lt1"/>
                    </a:solidFill>
                    <a:latin typeface="+mn-lt"/>
                  </a:rPr>
                  <a:t>Posisi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897165555"/>
        <c:crosses val="autoZero"/>
        <c:crossBetween val="midCat"/>
      </c:valAx>
      <c:valAx>
        <c:axId val="18971655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sz="900" b="1" i="0">
                    <a:solidFill>
                      <a:schemeClr val="lt1"/>
                    </a:solidFill>
                    <a:latin typeface="+mn-lt"/>
                  </a:rPr>
                  <a:t>Reaktivitas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242889725"/>
        <c:crosses val="autoZero"/>
        <c:crossBetween val="midCat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chemeClr val="lt1"/>
                </a:solidFill>
                <a:latin typeface="+mn-lt"/>
              </a:defRPr>
            </a:pPr>
            <a:r>
              <a:rPr sz="1400" b="1" i="0">
                <a:solidFill>
                  <a:schemeClr val="lt1"/>
                </a:solidFill>
                <a:latin typeface="+mn-lt"/>
              </a:rPr>
              <a:t>Grafik Diferensial Reaktivitas Batang kompensasi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EB-654E-83FA-40244DE21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769775"/>
        <c:axId val="449093987"/>
      </c:scatterChart>
      <c:valAx>
        <c:axId val="20297697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sz="900" b="1" i="0">
                    <a:solidFill>
                      <a:schemeClr val="lt1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449093987"/>
        <c:crosses val="autoZero"/>
        <c:crossBetween val="midCat"/>
      </c:valAx>
      <c:valAx>
        <c:axId val="449093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sz="900" b="1" i="0">
                    <a:solidFill>
                      <a:schemeClr val="lt1"/>
                    </a:solidFill>
                    <a:latin typeface="+mn-lt"/>
                  </a:rPr>
                  <a:t>Reaktivitas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2029769775"/>
        <c:crosses val="autoZero"/>
        <c:crossBetween val="midCat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FFFFFF"/>
                </a:solidFill>
                <a:latin typeface="+mn-lt"/>
              </a:defRPr>
            </a:pPr>
            <a:r>
              <a:rPr sz="1400" b="1" i="0">
                <a:solidFill>
                  <a:srgbClr val="FFFFFF"/>
                </a:solidFill>
                <a:latin typeface="+mn-lt"/>
              </a:rPr>
              <a:t>Grafik Diferensial Reaktivitas Batang Pengaman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0E-1D42-A68B-01B9425BA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945409"/>
        <c:axId val="1202426787"/>
      </c:scatterChart>
      <c:valAx>
        <c:axId val="17619454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sz="900" b="1" i="0">
                    <a:solidFill>
                      <a:schemeClr val="lt1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202426787"/>
        <c:crosses val="autoZero"/>
        <c:crossBetween val="midCat"/>
      </c:valAx>
      <c:valAx>
        <c:axId val="1202426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sz="900" b="1" i="0">
                    <a:solidFill>
                      <a:schemeClr val="lt1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761945409"/>
        <c:crosses val="autoZero"/>
        <c:crossBetween val="midCat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chemeClr val="lt1"/>
                </a:solidFill>
                <a:latin typeface="+mn-lt"/>
              </a:defRPr>
            </a:pPr>
            <a:r>
              <a:rPr sz="1400" b="1" i="0">
                <a:solidFill>
                  <a:schemeClr val="lt1"/>
                </a:solidFill>
                <a:latin typeface="+mn-lt"/>
              </a:rPr>
              <a:t>Grafik Integral Reaktivitas Batang Pengatur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60-8744-B87C-7357E0502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484180"/>
        <c:axId val="152749638"/>
      </c:scatterChart>
      <c:valAx>
        <c:axId val="2113484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sz="900" b="1" i="0">
                    <a:solidFill>
                      <a:schemeClr val="lt1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152749638"/>
        <c:crosses val="autoZero"/>
        <c:crossBetween val="midCat"/>
      </c:valAx>
      <c:valAx>
        <c:axId val="1527496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sz="900" b="1" i="0">
                    <a:solidFill>
                      <a:schemeClr val="lt1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2113484180"/>
        <c:crosses val="autoZero"/>
        <c:crossBetween val="midCat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chemeClr val="lt1"/>
                </a:solidFill>
                <a:latin typeface="+mn-lt"/>
              </a:defRPr>
            </a:pPr>
            <a:r>
              <a:rPr sz="1400" b="1" i="0">
                <a:solidFill>
                  <a:schemeClr val="lt1"/>
                </a:solidFill>
                <a:latin typeface="+mn-lt"/>
              </a:rPr>
              <a:t>Grafik Integral Reaktivitas Batang Kompensasi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0B-CA46-8B58-3D5699A0E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629727"/>
        <c:axId val="936316310"/>
      </c:scatterChart>
      <c:valAx>
        <c:axId val="422629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sz="900" b="1" i="0">
                    <a:solidFill>
                      <a:schemeClr val="lt1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936316310"/>
        <c:crosses val="autoZero"/>
        <c:crossBetween val="midCat"/>
      </c:valAx>
      <c:valAx>
        <c:axId val="936316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sz="900" b="1" i="0">
                    <a:solidFill>
                      <a:schemeClr val="lt1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422629727"/>
        <c:crosses val="autoZero"/>
        <c:crossBetween val="midCat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chemeClr val="lt1"/>
                </a:solidFill>
                <a:latin typeface="+mn-lt"/>
              </a:defRPr>
            </a:pPr>
            <a:r>
              <a:rPr sz="1400" b="1" i="0">
                <a:solidFill>
                  <a:schemeClr val="lt1"/>
                </a:solidFill>
                <a:latin typeface="+mn-lt"/>
              </a:rPr>
              <a:t>Grafik Integral Reaktivitas Batang Pengaman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85-F644-842A-1753FEBAC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083952"/>
        <c:axId val="31600681"/>
      </c:scatterChart>
      <c:valAx>
        <c:axId val="867083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sz="900" b="1" i="0">
                    <a:solidFill>
                      <a:schemeClr val="lt1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31600681"/>
        <c:crosses val="autoZero"/>
        <c:crossBetween val="midCat"/>
      </c:valAx>
      <c:valAx>
        <c:axId val="316006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1" i="0">
                    <a:solidFill>
                      <a:schemeClr val="lt1"/>
                    </a:solidFill>
                    <a:latin typeface="+mn-lt"/>
                  </a:defRPr>
                </a:pPr>
                <a:r>
                  <a:rPr sz="900" b="1" i="0">
                    <a:solidFill>
                      <a:schemeClr val="lt1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en-US"/>
          </a:p>
        </c:txPr>
        <c:crossAx val="867083952"/>
        <c:crosses val="autoZero"/>
        <c:crossBetween val="midCat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D" b="1" i="0">
                <a:solidFill>
                  <a:srgbClr val="757575"/>
                </a:solidFill>
                <a:latin typeface="+mn-lt"/>
              </a:rPr>
              <a:t>Kalibrasi Batang Pengatur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6641907261592301"/>
          <c:y val="0.1794131703686293"/>
          <c:w val="0.67550437445319333"/>
          <c:h val="0.6188518823206801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'17 Maret'!$B$9:$B$15</c:f>
              <c:numCache>
                <c:formatCode>General</c:formatCode>
                <c:ptCount val="7"/>
                <c:pt idx="0">
                  <c:v>0</c:v>
                </c:pt>
                <c:pt idx="1">
                  <c:v>26.2</c:v>
                </c:pt>
                <c:pt idx="2">
                  <c:v>34.700000000000003</c:v>
                </c:pt>
                <c:pt idx="3">
                  <c:v>42.1</c:v>
                </c:pt>
                <c:pt idx="4">
                  <c:v>52.4</c:v>
                </c:pt>
                <c:pt idx="5">
                  <c:v>62.2</c:v>
                </c:pt>
                <c:pt idx="6">
                  <c:v>100</c:v>
                </c:pt>
              </c:numCache>
            </c:numRef>
          </c:xVal>
          <c:yVal>
            <c:numRef>
              <c:f>'17 Maret'!$D$9:$D$15</c:f>
              <c:numCache>
                <c:formatCode>General</c:formatCode>
                <c:ptCount val="7"/>
                <c:pt idx="0">
                  <c:v>0</c:v>
                </c:pt>
                <c:pt idx="1">
                  <c:v>0.49618320610687022</c:v>
                </c:pt>
                <c:pt idx="2">
                  <c:v>2.4235294117647048</c:v>
                </c:pt>
                <c:pt idx="3">
                  <c:v>2.4729729729729737</c:v>
                </c:pt>
                <c:pt idx="4">
                  <c:v>2.4951456310679618</c:v>
                </c:pt>
                <c:pt idx="5">
                  <c:v>2.1734693877551012</c:v>
                </c:pt>
                <c:pt idx="6">
                  <c:v>0.78571428571428581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36-9D4E-858D-BD8A1C547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6023063"/>
        <c:axId val="1770225807"/>
      </c:scatterChart>
      <c:valAx>
        <c:axId val="1886023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1" i="0">
                    <a:solidFill>
                      <a:srgbClr val="000000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70225807"/>
        <c:crosses val="autoZero"/>
        <c:crossBetween val="midCat"/>
      </c:valAx>
      <c:valAx>
        <c:axId val="1770225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1" i="0">
                    <a:solidFill>
                      <a:srgbClr val="000000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8602306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D" b="1" i="0">
                <a:solidFill>
                  <a:srgbClr val="757575"/>
                </a:solidFill>
                <a:latin typeface="+mn-lt"/>
              </a:rPr>
              <a:t>Kalibrasi Batang Kompensasi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6641907261592306"/>
          <c:y val="0.17941317036862936"/>
          <c:w val="0.67550437445319389"/>
          <c:h val="0.61885188232068056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'17 Maret'!$B$24:$B$30</c:f>
              <c:numCache>
                <c:formatCode>General</c:formatCode>
                <c:ptCount val="7"/>
                <c:pt idx="0">
                  <c:v>0</c:v>
                </c:pt>
                <c:pt idx="1">
                  <c:v>50</c:v>
                </c:pt>
                <c:pt idx="2">
                  <c:v>55</c:v>
                </c:pt>
                <c:pt idx="3">
                  <c:v>59.6</c:v>
                </c:pt>
                <c:pt idx="4">
                  <c:v>65</c:v>
                </c:pt>
                <c:pt idx="5">
                  <c:v>72.099999999999994</c:v>
                </c:pt>
                <c:pt idx="6">
                  <c:v>100</c:v>
                </c:pt>
              </c:numCache>
            </c:numRef>
          </c:xVal>
          <c:yVal>
            <c:numRef>
              <c:f>'17 Maret'!$D$24:$D$30</c:f>
              <c:numCache>
                <c:formatCode>General</c:formatCode>
                <c:ptCount val="7"/>
                <c:pt idx="0">
                  <c:v>0</c:v>
                </c:pt>
                <c:pt idx="1">
                  <c:v>2.4</c:v>
                </c:pt>
                <c:pt idx="2">
                  <c:v>4.5</c:v>
                </c:pt>
                <c:pt idx="3">
                  <c:v>4.4130434782608683</c:v>
                </c:pt>
                <c:pt idx="4">
                  <c:v>3.7407407407407418</c:v>
                </c:pt>
                <c:pt idx="5">
                  <c:v>3.0704225352112702</c:v>
                </c:pt>
                <c:pt idx="6">
                  <c:v>1.1039426523297489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6A-3246-B325-BD43578DB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948031"/>
        <c:axId val="930710937"/>
      </c:scatterChart>
      <c:valAx>
        <c:axId val="11369480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1" i="0">
                    <a:solidFill>
                      <a:srgbClr val="000000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0710937"/>
        <c:crosses val="autoZero"/>
        <c:crossBetween val="midCat"/>
      </c:valAx>
      <c:valAx>
        <c:axId val="930710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1" i="0">
                    <a:solidFill>
                      <a:srgbClr val="000000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3694803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D" b="1" i="0">
                <a:solidFill>
                  <a:srgbClr val="757575"/>
                </a:solidFill>
                <a:latin typeface="+mn-lt"/>
              </a:rPr>
              <a:t>Kalibrasi Batang Pengaman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6641907261592312"/>
          <c:y val="0.17941317036862942"/>
          <c:w val="0.67550437445319433"/>
          <c:h val="0.6188518823206811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'17 Maret'!$B$37:$B$43</c:f>
              <c:numCache>
                <c:formatCode>General</c:formatCode>
                <c:ptCount val="7"/>
                <c:pt idx="0">
                  <c:v>0</c:v>
                </c:pt>
                <c:pt idx="1">
                  <c:v>48.6</c:v>
                </c:pt>
                <c:pt idx="2">
                  <c:v>52.8</c:v>
                </c:pt>
                <c:pt idx="3">
                  <c:v>57.6</c:v>
                </c:pt>
                <c:pt idx="4">
                  <c:v>64</c:v>
                </c:pt>
                <c:pt idx="5">
                  <c:v>70.900000000000006</c:v>
                </c:pt>
                <c:pt idx="6">
                  <c:v>100</c:v>
                </c:pt>
              </c:numCache>
            </c:numRef>
          </c:xVal>
          <c:yVal>
            <c:numRef>
              <c:f>'17 Maret'!$D$37:$D$43</c:f>
              <c:numCache>
                <c:formatCode>General</c:formatCode>
                <c:ptCount val="7"/>
                <c:pt idx="0">
                  <c:v>0</c:v>
                </c:pt>
                <c:pt idx="1">
                  <c:v>2.6748971193415638</c:v>
                </c:pt>
                <c:pt idx="2">
                  <c:v>4.6190476190476231</c:v>
                </c:pt>
                <c:pt idx="3">
                  <c:v>4.5416666666666625</c:v>
                </c:pt>
                <c:pt idx="4">
                  <c:v>3.5312500000000009</c:v>
                </c:pt>
                <c:pt idx="5">
                  <c:v>2.9855072463768093</c:v>
                </c:pt>
                <c:pt idx="6">
                  <c:v>1.0240549828178696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C5-5E4E-8B2D-4BD657BFF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949808"/>
        <c:axId val="2122552753"/>
      </c:scatterChart>
      <c:valAx>
        <c:axId val="24094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1" i="0">
                    <a:solidFill>
                      <a:srgbClr val="000000"/>
                    </a:solidFill>
                    <a:latin typeface="+mn-lt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22552753"/>
        <c:crosses val="autoZero"/>
        <c:crossBetween val="midCat"/>
      </c:valAx>
      <c:valAx>
        <c:axId val="21225527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b="1" i="0">
                    <a:solidFill>
                      <a:srgbClr val="000000"/>
                    </a:solidFill>
                    <a:latin typeface="+mn-lt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094980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Regulating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Batang Pengatur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3B-8346-A2A8-B439319F0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220626"/>
        <c:axId val="1995050581"/>
      </c:scatterChart>
      <c:valAx>
        <c:axId val="2152206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995050581"/>
        <c:crosses val="autoZero"/>
        <c:crossBetween val="midCat"/>
      </c:valAx>
      <c:valAx>
        <c:axId val="19950505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1522062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Compensation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21-0D4B-B868-C5B0AF85F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3910806"/>
        <c:axId val="331126245"/>
      </c:scatterChart>
      <c:valAx>
        <c:axId val="16939108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31126245"/>
        <c:crosses val="autoZero"/>
        <c:crossBetween val="midCat"/>
      </c:valAx>
      <c:valAx>
        <c:axId val="3311262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69391080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Safety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F2-5747-A090-7EAF8290D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911622"/>
        <c:axId val="152970063"/>
      </c:scatterChart>
      <c:valAx>
        <c:axId val="2659116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52970063"/>
        <c:crosses val="autoZero"/>
        <c:crossBetween val="midCat"/>
      </c:valAx>
      <c:valAx>
        <c:axId val="1529700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6591162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Regulating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45-6F4F-B003-26F395AB6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754582"/>
        <c:axId val="1296796628"/>
      </c:scatterChart>
      <c:valAx>
        <c:axId val="14767545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296796628"/>
        <c:crosses val="autoZero"/>
        <c:crossBetween val="midCat"/>
      </c:valAx>
      <c:valAx>
        <c:axId val="12967966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7675458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Compensation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57-AE49-8960-40FC6BA80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02567"/>
        <c:axId val="1353132115"/>
      </c:scatterChart>
      <c:valAx>
        <c:axId val="20574025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353132115"/>
        <c:crosses val="autoZero"/>
        <c:crossBetween val="midCat"/>
      </c:valAx>
      <c:valAx>
        <c:axId val="1353132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5740256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Safety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92-244E-AEA5-F54F2BD97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3694583"/>
        <c:axId val="1937569081"/>
      </c:scatterChart>
      <c:valAx>
        <c:axId val="3236945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937569081"/>
        <c:crosses val="autoZero"/>
        <c:crossBetween val="midCat"/>
      </c:valAx>
      <c:valAx>
        <c:axId val="1937569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2369458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Regulating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Batang Pengatur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3A-5A40-A633-CCC511692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3398441"/>
        <c:axId val="387614746"/>
      </c:scatterChart>
      <c:valAx>
        <c:axId val="21033984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87614746"/>
        <c:crosses val="autoZero"/>
        <c:crossBetween val="midCat"/>
      </c:valAx>
      <c:valAx>
        <c:axId val="3876147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10339844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Compensation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67-FE41-949E-C11D88020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888579"/>
        <c:axId val="1525946897"/>
      </c:scatterChart>
      <c:valAx>
        <c:axId val="988885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525946897"/>
        <c:crosses val="autoZero"/>
        <c:crossBetween val="midCat"/>
      </c:valAx>
      <c:valAx>
        <c:axId val="1525946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888857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Safety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A3-CA43-92AC-11955899C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0317720"/>
        <c:axId val="1274076579"/>
      </c:scatterChart>
      <c:valAx>
        <c:axId val="4303177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274076579"/>
        <c:crosses val="autoZero"/>
        <c:crossBetween val="midCat"/>
      </c:valAx>
      <c:valAx>
        <c:axId val="1274076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43031772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Regulating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D9-6A40-BC21-2E19DA782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820683"/>
        <c:axId val="52481675"/>
      </c:scatterChart>
      <c:valAx>
        <c:axId val="8538206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2481675"/>
        <c:crosses val="autoZero"/>
        <c:crossBetween val="midCat"/>
      </c:valAx>
      <c:valAx>
        <c:axId val="52481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85382068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Compensation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9F-7F44-B1F3-92536EF48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983932"/>
        <c:axId val="1850066772"/>
      </c:scatterChart>
      <c:valAx>
        <c:axId val="11349839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50066772"/>
        <c:crosses val="autoZero"/>
        <c:crossBetween val="midCat"/>
      </c:valAx>
      <c:valAx>
        <c:axId val="18500667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3498393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Safety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83-BC49-BC4C-725C1E608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4286752"/>
        <c:axId val="2098742748"/>
      </c:scatterChart>
      <c:valAx>
        <c:axId val="19742867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98742748"/>
        <c:crosses val="autoZero"/>
        <c:crossBetween val="midCat"/>
      </c:valAx>
      <c:valAx>
        <c:axId val="2098742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97428675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Grafik Diferensial Reaktivitas Batang Pengatur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Batang Pengatur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BF3-194C-83E4-3A457F109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016741"/>
        <c:axId val="1323725386"/>
      </c:scatterChart>
      <c:valAx>
        <c:axId val="16490167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Posisi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323725386"/>
        <c:crosses val="autoZero"/>
        <c:crossBetween val="midCat"/>
      </c:valAx>
      <c:valAx>
        <c:axId val="1323725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Reaktivitas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64901674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Grafik Diferensial Reaktivitas Batang kompensasi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01-464B-BD55-2ADEA3E74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001118"/>
        <c:axId val="1481644659"/>
      </c:scatterChart>
      <c:valAx>
        <c:axId val="11520011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81644659"/>
        <c:crosses val="autoZero"/>
        <c:crossBetween val="midCat"/>
      </c:valAx>
      <c:valAx>
        <c:axId val="14816446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Reaktivitas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5200111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Grafik Diferensial Reaktivitas Batang Pengaman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A7-A245-BF04-086170FC6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433583"/>
        <c:axId val="90992328"/>
      </c:scatterChart>
      <c:valAx>
        <c:axId val="11334335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0992328"/>
        <c:crosses val="autoZero"/>
        <c:crossBetween val="midCat"/>
      </c:valAx>
      <c:valAx>
        <c:axId val="909923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3343358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Grafik Integral Reaktivitas Batang Pengatur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E8-9944-BB85-235DF15D3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4715754"/>
        <c:axId val="2131532562"/>
      </c:scatterChart>
      <c:valAx>
        <c:axId val="20747157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131532562"/>
        <c:crosses val="autoZero"/>
        <c:crossBetween val="midCat"/>
      </c:valAx>
      <c:valAx>
        <c:axId val="21315325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7471575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Grafik Integral Reaktivitas Batang Kompensasi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A6-824C-A109-490B03550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1317693"/>
        <c:axId val="1173078383"/>
      </c:scatterChart>
      <c:valAx>
        <c:axId val="132131769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73078383"/>
        <c:crosses val="autoZero"/>
        <c:crossBetween val="midCat"/>
      </c:valAx>
      <c:valAx>
        <c:axId val="11730783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32131769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Grafik Integral Reaktivitas Batang Pengaman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44-5442-9830-83D6C7952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237933"/>
        <c:axId val="1500112161"/>
      </c:scatterChart>
      <c:valAx>
        <c:axId val="16502379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Posisi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500112161"/>
        <c:crosses val="autoZero"/>
        <c:crossBetween val="midCat"/>
      </c:valAx>
      <c:valAx>
        <c:axId val="15001121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Reaktivitas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65023793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Regulating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Batang Pengatur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Juni'!$D$9:$D$15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A2-124E-941C-983612A24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595632"/>
        <c:axId val="136333864"/>
      </c:scatterChart>
      <c:valAx>
        <c:axId val="8125956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36333864"/>
        <c:crosses val="autoZero"/>
        <c:crossBetween val="midCat"/>
      </c:valAx>
      <c:valAx>
        <c:axId val="136333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81259563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Compensation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Juni'!$B$30:$B$35</c:f>
              <c:numCache>
                <c:formatCode>General</c:formatCode>
                <c:ptCount val="6"/>
              </c:numCache>
            </c:numRef>
          </c:xVal>
          <c:yVal>
            <c:numRef>
              <c:f>'22 Juni'!$D$30:$D$35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80-AE44-931E-5633DD6C77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4496515"/>
        <c:axId val="1323979448"/>
      </c:scatterChart>
      <c:valAx>
        <c:axId val="11644965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323979448"/>
        <c:crosses val="autoZero"/>
        <c:crossBetween val="midCat"/>
      </c:valAx>
      <c:valAx>
        <c:axId val="1323979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6449651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Safety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Juni'!$D$49:$D$55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1B-F74E-9607-49B13D313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6560785"/>
        <c:axId val="182533899"/>
      </c:scatterChart>
      <c:valAx>
        <c:axId val="6065607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82533899"/>
        <c:crosses val="autoZero"/>
        <c:crossBetween val="midCat"/>
      </c:valAx>
      <c:valAx>
        <c:axId val="1825338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0656078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Regulating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Juni'!$B$9:$B$15</c:f>
              <c:numCache>
                <c:formatCode>General</c:formatCode>
                <c:ptCount val="7"/>
              </c:numCache>
            </c:numRef>
          </c:xVal>
          <c:yVal>
            <c:numRef>
              <c:f>'22 Juni'!$E$9:$E$15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95-D64B-AEB4-914355D8D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090622"/>
        <c:axId val="464219534"/>
      </c:scatterChart>
      <c:valAx>
        <c:axId val="10960906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464219534"/>
        <c:crosses val="autoZero"/>
        <c:crossBetween val="midCat"/>
      </c:valAx>
      <c:valAx>
        <c:axId val="4642195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9609062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Compensation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Juni'!$B$30:$B$36</c:f>
              <c:numCache>
                <c:formatCode>General</c:formatCode>
                <c:ptCount val="7"/>
              </c:numCache>
            </c:numRef>
          </c:xVal>
          <c:yVal>
            <c:numRef>
              <c:f>'22 Juni'!$E$30:$E$36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3-6E47-83DB-685692FCF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44389"/>
        <c:axId val="229832682"/>
      </c:scatterChart>
      <c:valAx>
        <c:axId val="2633443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29832682"/>
        <c:crosses val="autoZero"/>
        <c:crossBetween val="midCat"/>
      </c:valAx>
      <c:valAx>
        <c:axId val="229832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6334438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Safety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'22 Juni'!$B$49:$B$55</c:f>
              <c:numCache>
                <c:formatCode>General</c:formatCode>
                <c:ptCount val="7"/>
              </c:numCache>
            </c:numRef>
          </c:xVal>
          <c:yVal>
            <c:numRef>
              <c:f>'22 Juni'!$E$49:$E$55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0F-AF48-9C58-DA8EEDF0B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429411"/>
        <c:axId val="245578469"/>
      </c:scatterChart>
      <c:valAx>
        <c:axId val="6324294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45578469"/>
        <c:crosses val="autoZero"/>
        <c:crossBetween val="midCat"/>
      </c:valAx>
      <c:valAx>
        <c:axId val="245578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3242941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Regulating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Batang Pengatur</c:v>
          </c:tx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'11 Mar 25'!$B$9:$B$17</c:f>
              <c:numCache>
                <c:formatCode>General</c:formatCode>
                <c:ptCount val="9"/>
                <c:pt idx="0">
                  <c:v>0</c:v>
                </c:pt>
                <c:pt idx="1">
                  <c:v>15.5</c:v>
                </c:pt>
                <c:pt idx="2">
                  <c:v>24.2</c:v>
                </c:pt>
                <c:pt idx="3">
                  <c:v>32.200000000000003</c:v>
                </c:pt>
                <c:pt idx="4">
                  <c:v>40.700000000000003</c:v>
                </c:pt>
                <c:pt idx="5">
                  <c:v>49</c:v>
                </c:pt>
                <c:pt idx="6">
                  <c:v>58.1</c:v>
                </c:pt>
                <c:pt idx="7">
                  <c:v>70.599999999999994</c:v>
                </c:pt>
                <c:pt idx="8">
                  <c:v>100</c:v>
                </c:pt>
              </c:numCache>
            </c:numRef>
          </c:xVal>
          <c:yVal>
            <c:numRef>
              <c:f>'11 Mar 25'!$D$9:$D$17</c:f>
              <c:numCache>
                <c:formatCode>0.0000</c:formatCode>
                <c:ptCount val="9"/>
                <c:pt idx="0">
                  <c:v>0</c:v>
                </c:pt>
                <c:pt idx="1">
                  <c:v>1.8387096774193548</c:v>
                </c:pt>
                <c:pt idx="2">
                  <c:v>2.5333333333333337</c:v>
                </c:pt>
                <c:pt idx="3">
                  <c:v>2.7549999999999986</c:v>
                </c:pt>
                <c:pt idx="4">
                  <c:v>2.7647058823529411</c:v>
                </c:pt>
                <c:pt idx="5">
                  <c:v>2.8072289156626518</c:v>
                </c:pt>
                <c:pt idx="6">
                  <c:v>2.6626373626373621</c:v>
                </c:pt>
                <c:pt idx="7">
                  <c:v>1.9480000000000013</c:v>
                </c:pt>
                <c:pt idx="8">
                  <c:v>0.65306122448979576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8D-C748-8392-CE367D184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171194"/>
        <c:axId val="880845939"/>
      </c:scatterChart>
      <c:valAx>
        <c:axId val="3711711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880845939"/>
        <c:crosses val="autoZero"/>
        <c:crossBetween val="midCat"/>
      </c:valAx>
      <c:valAx>
        <c:axId val="880845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7117119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Compensation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'11 Mar 25'!$B$27:$B$36</c:f>
              <c:numCache>
                <c:formatCode>General</c:formatCode>
                <c:ptCount val="10"/>
                <c:pt idx="0">
                  <c:v>0</c:v>
                </c:pt>
                <c:pt idx="1">
                  <c:v>43.2</c:v>
                </c:pt>
                <c:pt idx="2">
                  <c:v>46.4</c:v>
                </c:pt>
                <c:pt idx="3">
                  <c:v>51.1</c:v>
                </c:pt>
                <c:pt idx="4">
                  <c:v>55.1</c:v>
                </c:pt>
                <c:pt idx="5">
                  <c:v>60.2</c:v>
                </c:pt>
                <c:pt idx="6">
                  <c:v>65.400000000000006</c:v>
                </c:pt>
                <c:pt idx="7">
                  <c:v>72.400000000000006</c:v>
                </c:pt>
                <c:pt idx="8">
                  <c:v>81.599999999999994</c:v>
                </c:pt>
                <c:pt idx="9">
                  <c:v>100</c:v>
                </c:pt>
              </c:numCache>
            </c:numRef>
          </c:xVal>
          <c:yVal>
            <c:numRef>
              <c:f>'11 Mar 25'!$D$27:$D$36</c:f>
              <c:numCache>
                <c:formatCode>0.0000</c:formatCode>
                <c:ptCount val="10"/>
                <c:pt idx="0">
                  <c:v>0</c:v>
                </c:pt>
                <c:pt idx="1">
                  <c:v>4.7129629629629628</c:v>
                </c:pt>
                <c:pt idx="2">
                  <c:v>6.2906250000000083</c:v>
                </c:pt>
                <c:pt idx="3">
                  <c:v>5.2234042553191458</c:v>
                </c:pt>
                <c:pt idx="4">
                  <c:v>5.0599999999999996</c:v>
                </c:pt>
                <c:pt idx="5">
                  <c:v>4.6078431372549007</c:v>
                </c:pt>
                <c:pt idx="6">
                  <c:v>3.9596153846153825</c:v>
                </c:pt>
                <c:pt idx="7">
                  <c:v>3.4</c:v>
                </c:pt>
                <c:pt idx="8">
                  <c:v>2.2771739130434812</c:v>
                </c:pt>
                <c:pt idx="9">
                  <c:v>0.78260869565217372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CE-FF4A-8C95-5D37F26E3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427288"/>
        <c:axId val="33771034"/>
      </c:scatterChart>
      <c:valAx>
        <c:axId val="7974272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3771034"/>
        <c:crosses val="autoZero"/>
        <c:crossBetween val="midCat"/>
      </c:valAx>
      <c:valAx>
        <c:axId val="33771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 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79742728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Safety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'11 Mar 25'!$B$49:$B$57</c:f>
              <c:numCache>
                <c:formatCode>General</c:formatCode>
                <c:ptCount val="9"/>
                <c:pt idx="0">
                  <c:v>0</c:v>
                </c:pt>
                <c:pt idx="1">
                  <c:v>40.700000000000003</c:v>
                </c:pt>
                <c:pt idx="2">
                  <c:v>44.3</c:v>
                </c:pt>
                <c:pt idx="3">
                  <c:v>48.5</c:v>
                </c:pt>
                <c:pt idx="4">
                  <c:v>53.4</c:v>
                </c:pt>
                <c:pt idx="5">
                  <c:v>58.9</c:v>
                </c:pt>
                <c:pt idx="6">
                  <c:v>65.3</c:v>
                </c:pt>
                <c:pt idx="7">
                  <c:v>74.099999999999994</c:v>
                </c:pt>
                <c:pt idx="8">
                  <c:v>100</c:v>
                </c:pt>
              </c:numCache>
            </c:numRef>
          </c:xVal>
          <c:yVal>
            <c:numRef>
              <c:f>'11 Mar 25'!$D$49:$D$57</c:f>
              <c:numCache>
                <c:formatCode>0.0000</c:formatCode>
                <c:ptCount val="9"/>
                <c:pt idx="0">
                  <c:v>0</c:v>
                </c:pt>
                <c:pt idx="1">
                  <c:v>4.977149877149877</c:v>
                </c:pt>
                <c:pt idx="2">
                  <c:v>5.7777777777777874</c:v>
                </c:pt>
                <c:pt idx="3">
                  <c:v>4.9428571428571395</c:v>
                </c:pt>
                <c:pt idx="4">
                  <c:v>4.8387755102040835</c:v>
                </c:pt>
                <c:pt idx="5">
                  <c:v>4.121818181818182</c:v>
                </c:pt>
                <c:pt idx="6">
                  <c:v>3.5875000000000008</c:v>
                </c:pt>
                <c:pt idx="7">
                  <c:v>2.3829545454545462</c:v>
                </c:pt>
                <c:pt idx="8">
                  <c:v>0.8756756756756755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06-BF4C-922F-DD20F73B7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950809"/>
        <c:axId val="1108143099"/>
      </c:scatterChart>
      <c:valAx>
        <c:axId val="2033950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08143099"/>
        <c:crosses val="autoZero"/>
        <c:crossBetween val="midCat"/>
      </c:valAx>
      <c:valAx>
        <c:axId val="1108143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3395080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Regulating Rod Worth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'11 Mar 25'!$B$9:$B$17</c:f>
              <c:numCache>
                <c:formatCode>General</c:formatCode>
                <c:ptCount val="9"/>
                <c:pt idx="0">
                  <c:v>0</c:v>
                </c:pt>
                <c:pt idx="1">
                  <c:v>15.5</c:v>
                </c:pt>
                <c:pt idx="2">
                  <c:v>24.2</c:v>
                </c:pt>
                <c:pt idx="3">
                  <c:v>32.200000000000003</c:v>
                </c:pt>
                <c:pt idx="4">
                  <c:v>40.700000000000003</c:v>
                </c:pt>
                <c:pt idx="5">
                  <c:v>49</c:v>
                </c:pt>
                <c:pt idx="6">
                  <c:v>58.1</c:v>
                </c:pt>
                <c:pt idx="7">
                  <c:v>70.599999999999994</c:v>
                </c:pt>
                <c:pt idx="8">
                  <c:v>100</c:v>
                </c:pt>
              </c:numCache>
            </c:numRef>
          </c:xVal>
          <c:yVal>
            <c:numRef>
              <c:f>'11 Mar 25'!$E$9:$E$17</c:f>
              <c:numCache>
                <c:formatCode>General</c:formatCode>
                <c:ptCount val="9"/>
                <c:pt idx="0">
                  <c:v>0</c:v>
                </c:pt>
                <c:pt idx="1">
                  <c:v>28.5</c:v>
                </c:pt>
                <c:pt idx="2">
                  <c:v>50.54</c:v>
                </c:pt>
                <c:pt idx="3">
                  <c:v>72.58</c:v>
                </c:pt>
                <c:pt idx="4">
                  <c:v>96.08</c:v>
                </c:pt>
                <c:pt idx="5">
                  <c:v>119.38</c:v>
                </c:pt>
                <c:pt idx="6">
                  <c:v>143.60999999999999</c:v>
                </c:pt>
                <c:pt idx="7">
                  <c:v>167.95999999999998</c:v>
                </c:pt>
                <c:pt idx="8">
                  <c:v>187.15999999999997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F1-3E47-8108-C725D57C6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761202"/>
        <c:axId val="170939110"/>
      </c:scatterChart>
      <c:valAx>
        <c:axId val="11767612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70939110"/>
        <c:crosses val="autoZero"/>
        <c:crossBetween val="midCat"/>
      </c:valAx>
      <c:valAx>
        <c:axId val="170939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7676120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Compensation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'11 Mar 25'!$B$27:$B$36</c:f>
              <c:numCache>
                <c:formatCode>General</c:formatCode>
                <c:ptCount val="10"/>
                <c:pt idx="0">
                  <c:v>0</c:v>
                </c:pt>
                <c:pt idx="1">
                  <c:v>43.2</c:v>
                </c:pt>
                <c:pt idx="2">
                  <c:v>46.4</c:v>
                </c:pt>
                <c:pt idx="3">
                  <c:v>51.1</c:v>
                </c:pt>
                <c:pt idx="4">
                  <c:v>55.1</c:v>
                </c:pt>
                <c:pt idx="5">
                  <c:v>60.2</c:v>
                </c:pt>
                <c:pt idx="6">
                  <c:v>65.400000000000006</c:v>
                </c:pt>
                <c:pt idx="7">
                  <c:v>72.400000000000006</c:v>
                </c:pt>
                <c:pt idx="8">
                  <c:v>81.599999999999994</c:v>
                </c:pt>
                <c:pt idx="9">
                  <c:v>100</c:v>
                </c:pt>
              </c:numCache>
            </c:numRef>
          </c:xVal>
          <c:yVal>
            <c:numRef>
              <c:f>'11 Mar 25'!$E$27:$E$36</c:f>
              <c:numCache>
                <c:formatCode>General</c:formatCode>
                <c:ptCount val="10"/>
                <c:pt idx="0">
                  <c:v>0</c:v>
                </c:pt>
                <c:pt idx="1">
                  <c:v>203.6</c:v>
                </c:pt>
                <c:pt idx="2">
                  <c:v>223.73</c:v>
                </c:pt>
                <c:pt idx="3">
                  <c:v>248.28</c:v>
                </c:pt>
                <c:pt idx="4">
                  <c:v>268.52</c:v>
                </c:pt>
                <c:pt idx="5">
                  <c:v>292.02</c:v>
                </c:pt>
                <c:pt idx="6">
                  <c:v>312.60999999999996</c:v>
                </c:pt>
                <c:pt idx="7">
                  <c:v>336.40999999999997</c:v>
                </c:pt>
                <c:pt idx="8">
                  <c:v>357.35999999999996</c:v>
                </c:pt>
                <c:pt idx="9">
                  <c:v>371.75999999999993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5B-0045-BE54-8B14F2997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336723"/>
        <c:axId val="664312874"/>
      </c:scatterChart>
      <c:valAx>
        <c:axId val="16823367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64312874"/>
        <c:crosses val="autoZero"/>
        <c:crossBetween val="midCat"/>
      </c:valAx>
      <c:valAx>
        <c:axId val="664312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68233672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Safety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'11 Mar 25'!$B$49:$B$57</c:f>
              <c:numCache>
                <c:formatCode>General</c:formatCode>
                <c:ptCount val="9"/>
                <c:pt idx="0">
                  <c:v>0</c:v>
                </c:pt>
                <c:pt idx="1">
                  <c:v>40.700000000000003</c:v>
                </c:pt>
                <c:pt idx="2">
                  <c:v>44.3</c:v>
                </c:pt>
                <c:pt idx="3">
                  <c:v>48.5</c:v>
                </c:pt>
                <c:pt idx="4">
                  <c:v>53.4</c:v>
                </c:pt>
                <c:pt idx="5">
                  <c:v>58.9</c:v>
                </c:pt>
                <c:pt idx="6">
                  <c:v>65.3</c:v>
                </c:pt>
                <c:pt idx="7">
                  <c:v>74.099999999999994</c:v>
                </c:pt>
                <c:pt idx="8">
                  <c:v>100</c:v>
                </c:pt>
              </c:numCache>
            </c:numRef>
          </c:xVal>
          <c:yVal>
            <c:numRef>
              <c:f>'11 Mar 25'!$E$49:$E$57</c:f>
              <c:numCache>
                <c:formatCode>General</c:formatCode>
                <c:ptCount val="9"/>
                <c:pt idx="0">
                  <c:v>0</c:v>
                </c:pt>
                <c:pt idx="1">
                  <c:v>202.57</c:v>
                </c:pt>
                <c:pt idx="2">
                  <c:v>223.37</c:v>
                </c:pt>
                <c:pt idx="3">
                  <c:v>244.13</c:v>
                </c:pt>
                <c:pt idx="4">
                  <c:v>267.83999999999997</c:v>
                </c:pt>
                <c:pt idx="5">
                  <c:v>290.51</c:v>
                </c:pt>
                <c:pt idx="6">
                  <c:v>313.46999999999997</c:v>
                </c:pt>
                <c:pt idx="7">
                  <c:v>334.43999999999994</c:v>
                </c:pt>
                <c:pt idx="8">
                  <c:v>357.11999999999995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B7-C945-834B-DB72D287C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509340"/>
        <c:axId val="969442443"/>
      </c:scatterChart>
      <c:valAx>
        <c:axId val="9205093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69442443"/>
        <c:crosses val="autoZero"/>
        <c:crossBetween val="midCat"/>
      </c:valAx>
      <c:valAx>
        <c:axId val="969442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2050934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Regulating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Batang Pengatur</c:v>
          </c:tx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'28 Oct 25'!$B$9:$B$16</c:f>
              <c:numCache>
                <c:formatCode>General</c:formatCode>
                <c:ptCount val="8"/>
                <c:pt idx="0">
                  <c:v>0</c:v>
                </c:pt>
                <c:pt idx="1">
                  <c:v>17.100000000000001</c:v>
                </c:pt>
                <c:pt idx="2">
                  <c:v>25.6</c:v>
                </c:pt>
                <c:pt idx="3">
                  <c:v>35.799999999999997</c:v>
                </c:pt>
                <c:pt idx="4">
                  <c:v>42.1</c:v>
                </c:pt>
                <c:pt idx="5">
                  <c:v>55.8</c:v>
                </c:pt>
                <c:pt idx="6">
                  <c:v>70</c:v>
                </c:pt>
                <c:pt idx="7">
                  <c:v>100</c:v>
                </c:pt>
              </c:numCache>
            </c:numRef>
          </c:xVal>
          <c:yVal>
            <c:numRef>
              <c:f>'28 Oct 25'!$D$9:$D$16</c:f>
              <c:numCache>
                <c:formatCode>0.0000</c:formatCode>
                <c:ptCount val="8"/>
                <c:pt idx="0">
                  <c:v>0</c:v>
                </c:pt>
                <c:pt idx="1">
                  <c:v>1.6479532163742689</c:v>
                </c:pt>
                <c:pt idx="2">
                  <c:v>2.4564705882352942</c:v>
                </c:pt>
                <c:pt idx="3">
                  <c:v>2.4509803921568638</c:v>
                </c:pt>
                <c:pt idx="4">
                  <c:v>3.8126984126984103</c:v>
                </c:pt>
                <c:pt idx="5">
                  <c:v>1.9087591240875916</c:v>
                </c:pt>
                <c:pt idx="6">
                  <c:v>1.6999999999999997</c:v>
                </c:pt>
                <c:pt idx="7">
                  <c:v>0.63900000000000001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E9-E84B-AFA1-A9EB7FEC1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171194"/>
        <c:axId val="880845939"/>
      </c:scatterChart>
      <c:valAx>
        <c:axId val="3711711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880845939"/>
        <c:crosses val="autoZero"/>
        <c:crossBetween val="midCat"/>
      </c:valAx>
      <c:valAx>
        <c:axId val="880845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7117119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Compensation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'28 Oct 25'!$B$26:$B$33</c:f>
              <c:numCache>
                <c:formatCode>General</c:formatCode>
                <c:ptCount val="8"/>
                <c:pt idx="0">
                  <c:v>0</c:v>
                </c:pt>
                <c:pt idx="1">
                  <c:v>44</c:v>
                </c:pt>
                <c:pt idx="2">
                  <c:v>48.1</c:v>
                </c:pt>
                <c:pt idx="3">
                  <c:v>52.6</c:v>
                </c:pt>
                <c:pt idx="4">
                  <c:v>57</c:v>
                </c:pt>
                <c:pt idx="5">
                  <c:v>64</c:v>
                </c:pt>
                <c:pt idx="6">
                  <c:v>71</c:v>
                </c:pt>
                <c:pt idx="7">
                  <c:v>100</c:v>
                </c:pt>
              </c:numCache>
            </c:numRef>
          </c:xVal>
          <c:yVal>
            <c:numRef>
              <c:f>'28 Oct 25'!$D$26:$D$33</c:f>
              <c:numCache>
                <c:formatCode>0.0000</c:formatCode>
                <c:ptCount val="8"/>
                <c:pt idx="0">
                  <c:v>0</c:v>
                </c:pt>
                <c:pt idx="1">
                  <c:v>4.6018181818181816</c:v>
                </c:pt>
                <c:pt idx="2">
                  <c:v>5.5853658536585344</c:v>
                </c:pt>
                <c:pt idx="3">
                  <c:v>5.1688888888888895</c:v>
                </c:pt>
                <c:pt idx="4">
                  <c:v>5.4590909090909108</c:v>
                </c:pt>
                <c:pt idx="5">
                  <c:v>3.5357142857142856</c:v>
                </c:pt>
                <c:pt idx="6">
                  <c:v>3.1871428571428568</c:v>
                </c:pt>
                <c:pt idx="7">
                  <c:v>0.60965517241379308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5A-7241-ADCE-74042F969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427288"/>
        <c:axId val="33771034"/>
      </c:scatterChart>
      <c:valAx>
        <c:axId val="7974272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3771034"/>
        <c:crosses val="autoZero"/>
        <c:crossBetween val="midCat"/>
      </c:valAx>
      <c:valAx>
        <c:axId val="33771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 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79742728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Safety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'28 Oct 25'!$B$46:$B$54</c:f>
              <c:numCache>
                <c:formatCode>General</c:formatCode>
                <c:ptCount val="9"/>
                <c:pt idx="0">
                  <c:v>0</c:v>
                </c:pt>
                <c:pt idx="1">
                  <c:v>41.2</c:v>
                </c:pt>
                <c:pt idx="2">
                  <c:v>44</c:v>
                </c:pt>
                <c:pt idx="3">
                  <c:v>49.8</c:v>
                </c:pt>
                <c:pt idx="4">
                  <c:v>54.8</c:v>
                </c:pt>
                <c:pt idx="5">
                  <c:v>60.4</c:v>
                </c:pt>
                <c:pt idx="6">
                  <c:v>67.400000000000006</c:v>
                </c:pt>
                <c:pt idx="7">
                  <c:v>76.400000000000006</c:v>
                </c:pt>
                <c:pt idx="8">
                  <c:v>100</c:v>
                </c:pt>
              </c:numCache>
            </c:numRef>
          </c:xVal>
          <c:yVal>
            <c:numRef>
              <c:f>'28 Oct 25'!$D$46:$D$54</c:f>
              <c:numCache>
                <c:formatCode>0.0000</c:formatCode>
                <c:ptCount val="9"/>
                <c:pt idx="0">
                  <c:v>0</c:v>
                </c:pt>
                <c:pt idx="1">
                  <c:v>4.7101941747572811</c:v>
                </c:pt>
                <c:pt idx="2">
                  <c:v>7.5071428571428642</c:v>
                </c:pt>
                <c:pt idx="3">
                  <c:v>3.9172413793103464</c:v>
                </c:pt>
                <c:pt idx="4">
                  <c:v>4.6159999999999997</c:v>
                </c:pt>
                <c:pt idx="5">
                  <c:v>3.8910714285714274</c:v>
                </c:pt>
                <c:pt idx="6">
                  <c:v>3.2985714285714254</c:v>
                </c:pt>
                <c:pt idx="7">
                  <c:v>2.4922222222222223</c:v>
                </c:pt>
                <c:pt idx="8">
                  <c:v>0.8004237288135595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AD-F44C-B442-8351DC5E4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950809"/>
        <c:axId val="1108143099"/>
      </c:scatterChart>
      <c:valAx>
        <c:axId val="2033950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08143099"/>
        <c:crosses val="autoZero"/>
        <c:crossBetween val="midCat"/>
      </c:valAx>
      <c:valAx>
        <c:axId val="1108143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3395080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Regulating Rod Worth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'28 Oct 25'!$B$9:$B$16</c:f>
              <c:numCache>
                <c:formatCode>General</c:formatCode>
                <c:ptCount val="8"/>
                <c:pt idx="0">
                  <c:v>0</c:v>
                </c:pt>
                <c:pt idx="1">
                  <c:v>17.100000000000001</c:v>
                </c:pt>
                <c:pt idx="2">
                  <c:v>25.6</c:v>
                </c:pt>
                <c:pt idx="3">
                  <c:v>35.799999999999997</c:v>
                </c:pt>
                <c:pt idx="4">
                  <c:v>42.1</c:v>
                </c:pt>
                <c:pt idx="5">
                  <c:v>55.8</c:v>
                </c:pt>
                <c:pt idx="6">
                  <c:v>70</c:v>
                </c:pt>
                <c:pt idx="7">
                  <c:v>100</c:v>
                </c:pt>
              </c:numCache>
            </c:numRef>
          </c:xVal>
          <c:yVal>
            <c:numRef>
              <c:f>'28 Oct 25'!$E$9:$E$16</c:f>
              <c:numCache>
                <c:formatCode>General</c:formatCode>
                <c:ptCount val="8"/>
                <c:pt idx="0">
                  <c:v>0</c:v>
                </c:pt>
                <c:pt idx="1">
                  <c:v>28.18</c:v>
                </c:pt>
                <c:pt idx="2">
                  <c:v>49.06</c:v>
                </c:pt>
                <c:pt idx="3">
                  <c:v>74.06</c:v>
                </c:pt>
                <c:pt idx="4">
                  <c:v>98.08</c:v>
                </c:pt>
                <c:pt idx="5">
                  <c:v>124.22999999999999</c:v>
                </c:pt>
                <c:pt idx="6">
                  <c:v>148.37</c:v>
                </c:pt>
                <c:pt idx="7">
                  <c:v>167.54000000000002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CB-344D-911C-BB8A4EDCC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761202"/>
        <c:axId val="170939110"/>
      </c:scatterChart>
      <c:valAx>
        <c:axId val="11767612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70939110"/>
        <c:crosses val="autoZero"/>
        <c:crossBetween val="midCat"/>
      </c:valAx>
      <c:valAx>
        <c:axId val="170939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7676120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Compensation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'28 Oct 25'!$B$26:$B$33</c:f>
              <c:numCache>
                <c:formatCode>General</c:formatCode>
                <c:ptCount val="8"/>
                <c:pt idx="0">
                  <c:v>0</c:v>
                </c:pt>
                <c:pt idx="1">
                  <c:v>44</c:v>
                </c:pt>
                <c:pt idx="2">
                  <c:v>48.1</c:v>
                </c:pt>
                <c:pt idx="3">
                  <c:v>52.6</c:v>
                </c:pt>
                <c:pt idx="4">
                  <c:v>57</c:v>
                </c:pt>
                <c:pt idx="5">
                  <c:v>64</c:v>
                </c:pt>
                <c:pt idx="6">
                  <c:v>71</c:v>
                </c:pt>
                <c:pt idx="7">
                  <c:v>100</c:v>
                </c:pt>
              </c:numCache>
            </c:numRef>
          </c:xVal>
          <c:yVal>
            <c:numRef>
              <c:f>'28 Oct 25'!$E$26:$E$33</c:f>
              <c:numCache>
                <c:formatCode>General</c:formatCode>
                <c:ptCount val="8"/>
                <c:pt idx="0">
                  <c:v>0</c:v>
                </c:pt>
                <c:pt idx="1">
                  <c:v>202.48</c:v>
                </c:pt>
                <c:pt idx="2">
                  <c:v>225.38</c:v>
                </c:pt>
                <c:pt idx="3">
                  <c:v>248.64</c:v>
                </c:pt>
                <c:pt idx="4">
                  <c:v>272.65999999999997</c:v>
                </c:pt>
                <c:pt idx="5">
                  <c:v>297.40999999999997</c:v>
                </c:pt>
                <c:pt idx="6">
                  <c:v>319.71999999999997</c:v>
                </c:pt>
                <c:pt idx="7">
                  <c:v>337.4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66-FB4E-80F2-84E2CF4D7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336723"/>
        <c:axId val="664312874"/>
      </c:scatterChart>
      <c:valAx>
        <c:axId val="16823367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64312874"/>
        <c:crosses val="autoZero"/>
        <c:crossBetween val="midCat"/>
      </c:valAx>
      <c:valAx>
        <c:axId val="664312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68233672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Safety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'28 Oct 25'!$B$46:$B$54</c:f>
              <c:numCache>
                <c:formatCode>General</c:formatCode>
                <c:ptCount val="9"/>
                <c:pt idx="0">
                  <c:v>0</c:v>
                </c:pt>
                <c:pt idx="1">
                  <c:v>41.2</c:v>
                </c:pt>
                <c:pt idx="2">
                  <c:v>44</c:v>
                </c:pt>
                <c:pt idx="3">
                  <c:v>49.8</c:v>
                </c:pt>
                <c:pt idx="4">
                  <c:v>54.8</c:v>
                </c:pt>
                <c:pt idx="5">
                  <c:v>60.4</c:v>
                </c:pt>
                <c:pt idx="6">
                  <c:v>67.400000000000006</c:v>
                </c:pt>
                <c:pt idx="7">
                  <c:v>76.400000000000006</c:v>
                </c:pt>
                <c:pt idx="8">
                  <c:v>100</c:v>
                </c:pt>
              </c:numCache>
            </c:numRef>
          </c:xVal>
          <c:yVal>
            <c:numRef>
              <c:f>'28 Oct 25'!$E$46:$E$54</c:f>
              <c:numCache>
                <c:formatCode>General</c:formatCode>
                <c:ptCount val="9"/>
                <c:pt idx="0">
                  <c:v>0</c:v>
                </c:pt>
                <c:pt idx="1">
                  <c:v>194.06</c:v>
                </c:pt>
                <c:pt idx="2">
                  <c:v>215.08</c:v>
                </c:pt>
                <c:pt idx="3">
                  <c:v>237.8</c:v>
                </c:pt>
                <c:pt idx="4">
                  <c:v>260.88</c:v>
                </c:pt>
                <c:pt idx="5">
                  <c:v>282.67</c:v>
                </c:pt>
                <c:pt idx="6">
                  <c:v>305.76</c:v>
                </c:pt>
                <c:pt idx="7">
                  <c:v>328.19</c:v>
                </c:pt>
                <c:pt idx="8">
                  <c:v>347.08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13-A94C-A905-22919824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509340"/>
        <c:axId val="969442443"/>
      </c:scatterChart>
      <c:valAx>
        <c:axId val="9205093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69442443"/>
        <c:crosses val="autoZero"/>
        <c:crossBetween val="midCat"/>
      </c:valAx>
      <c:valAx>
        <c:axId val="969442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2050934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Regulating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Batang Pengatur</c:v>
          </c:tx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aesha!$B$9:$B$16</c:f>
              <c:numCache>
                <c:formatCode>General</c:formatCode>
                <c:ptCount val="8"/>
                <c:pt idx="0">
                  <c:v>0</c:v>
                </c:pt>
                <c:pt idx="1">
                  <c:v>17.010000000000002</c:v>
                </c:pt>
                <c:pt idx="2">
                  <c:v>25.06</c:v>
                </c:pt>
                <c:pt idx="3">
                  <c:v>35.9</c:v>
                </c:pt>
                <c:pt idx="4">
                  <c:v>42.1</c:v>
                </c:pt>
                <c:pt idx="5">
                  <c:v>55.8</c:v>
                </c:pt>
                <c:pt idx="6">
                  <c:v>70</c:v>
                </c:pt>
                <c:pt idx="7">
                  <c:v>100</c:v>
                </c:pt>
              </c:numCache>
            </c:numRef>
          </c:xVal>
          <c:yVal>
            <c:numRef>
              <c:f>aesha!$D$9:$D$16</c:f>
              <c:numCache>
                <c:formatCode>0.0000</c:formatCode>
                <c:ptCount val="8"/>
                <c:pt idx="0">
                  <c:v>0</c:v>
                </c:pt>
                <c:pt idx="1">
                  <c:v>1.6578483245149911</c:v>
                </c:pt>
                <c:pt idx="2">
                  <c:v>2.593788819875777</c:v>
                </c:pt>
                <c:pt idx="3">
                  <c:v>2.2785977859778597</c:v>
                </c:pt>
                <c:pt idx="4">
                  <c:v>3.8709677419354822</c:v>
                </c:pt>
                <c:pt idx="5">
                  <c:v>1.9124087591240881</c:v>
                </c:pt>
                <c:pt idx="6">
                  <c:v>1.6830985915492953</c:v>
                </c:pt>
                <c:pt idx="7">
                  <c:v>0.64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0D-E748-BDDE-6AD5E7348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171194"/>
        <c:axId val="880845939"/>
      </c:scatterChart>
      <c:valAx>
        <c:axId val="3711711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layout>
            <c:manualLayout>
              <c:xMode val="edge"/>
              <c:yMode val="edge"/>
              <c:x val="0.42104636920384947"/>
              <c:y val="0.864791484397783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880845939"/>
        <c:crosses val="autoZero"/>
        <c:crossBetween val="midCat"/>
      </c:valAx>
      <c:valAx>
        <c:axId val="880845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4031368474773987"/>
            </c:manualLayout>
          </c:layout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7117119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Compensation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aesha!$B$26:$B$33</c:f>
              <c:numCache>
                <c:formatCode>General</c:formatCode>
                <c:ptCount val="8"/>
                <c:pt idx="0">
                  <c:v>0</c:v>
                </c:pt>
                <c:pt idx="1">
                  <c:v>44</c:v>
                </c:pt>
                <c:pt idx="2">
                  <c:v>48.1</c:v>
                </c:pt>
                <c:pt idx="3">
                  <c:v>52.6</c:v>
                </c:pt>
                <c:pt idx="4">
                  <c:v>57</c:v>
                </c:pt>
                <c:pt idx="5">
                  <c:v>63.9</c:v>
                </c:pt>
                <c:pt idx="6">
                  <c:v>71</c:v>
                </c:pt>
                <c:pt idx="7">
                  <c:v>100</c:v>
                </c:pt>
              </c:numCache>
            </c:numRef>
          </c:xVal>
          <c:yVal>
            <c:numRef>
              <c:f>aesha!$D$26:$D$33</c:f>
              <c:numCache>
                <c:formatCode>0.0000</c:formatCode>
                <c:ptCount val="8"/>
                <c:pt idx="0">
                  <c:v>0</c:v>
                </c:pt>
                <c:pt idx="1">
                  <c:v>4.6022727272727275</c:v>
                </c:pt>
                <c:pt idx="2">
                  <c:v>5.5853658536585344</c:v>
                </c:pt>
                <c:pt idx="3">
                  <c:v>5.177777777777778</c:v>
                </c:pt>
                <c:pt idx="4">
                  <c:v>5.4545454545454559</c:v>
                </c:pt>
                <c:pt idx="5">
                  <c:v>3.5942028985507255</c:v>
                </c:pt>
                <c:pt idx="6">
                  <c:v>3.1408450704225346</c:v>
                </c:pt>
                <c:pt idx="7">
                  <c:v>0.6103448275862069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29-FA46-81FA-38F419555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427288"/>
        <c:axId val="33771034"/>
      </c:scatterChart>
      <c:valAx>
        <c:axId val="79742728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33771034"/>
        <c:crosses val="autoZero"/>
        <c:crossBetween val="midCat"/>
      </c:valAx>
      <c:valAx>
        <c:axId val="337710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 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797427288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Differential Safety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aesha!$B$46:$B$54</c:f>
              <c:numCache>
                <c:formatCode>General</c:formatCode>
                <c:ptCount val="9"/>
                <c:pt idx="0">
                  <c:v>0</c:v>
                </c:pt>
                <c:pt idx="1">
                  <c:v>41.2</c:v>
                </c:pt>
                <c:pt idx="2">
                  <c:v>44</c:v>
                </c:pt>
                <c:pt idx="3">
                  <c:v>49.8</c:v>
                </c:pt>
                <c:pt idx="4">
                  <c:v>54.8</c:v>
                </c:pt>
                <c:pt idx="5">
                  <c:v>60.4</c:v>
                </c:pt>
                <c:pt idx="6">
                  <c:v>67.400000000000006</c:v>
                </c:pt>
                <c:pt idx="7">
                  <c:v>76.400000000000006</c:v>
                </c:pt>
                <c:pt idx="8">
                  <c:v>100</c:v>
                </c:pt>
              </c:numCache>
            </c:numRef>
          </c:xVal>
          <c:yVal>
            <c:numRef>
              <c:f>aesha!$D$46:$D$54</c:f>
              <c:numCache>
                <c:formatCode>0.0000</c:formatCode>
                <c:ptCount val="9"/>
                <c:pt idx="0">
                  <c:v>0</c:v>
                </c:pt>
                <c:pt idx="1">
                  <c:v>4.7101941747572811</c:v>
                </c:pt>
                <c:pt idx="2">
                  <c:v>7.5071428571428642</c:v>
                </c:pt>
                <c:pt idx="3">
                  <c:v>3.9172413793103464</c:v>
                </c:pt>
                <c:pt idx="4">
                  <c:v>4.6159999999999997</c:v>
                </c:pt>
                <c:pt idx="5">
                  <c:v>3.8910714285714274</c:v>
                </c:pt>
                <c:pt idx="6">
                  <c:v>3.2985714285714254</c:v>
                </c:pt>
                <c:pt idx="7">
                  <c:v>2.4922222222222223</c:v>
                </c:pt>
                <c:pt idx="8">
                  <c:v>0.8004237288135595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90-3341-BC64-74B05E51F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950809"/>
        <c:axId val="1108143099"/>
      </c:scatterChart>
      <c:valAx>
        <c:axId val="2033950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08143099"/>
        <c:crosses val="autoZero"/>
        <c:crossBetween val="midCat"/>
      </c:valAx>
      <c:valAx>
        <c:axId val="1108143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0.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203395080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Regulating Rod Worth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aesha!$B$9:$B$16</c:f>
              <c:numCache>
                <c:formatCode>General</c:formatCode>
                <c:ptCount val="8"/>
                <c:pt idx="0">
                  <c:v>0</c:v>
                </c:pt>
                <c:pt idx="1">
                  <c:v>17.010000000000002</c:v>
                </c:pt>
                <c:pt idx="2">
                  <c:v>25.06</c:v>
                </c:pt>
                <c:pt idx="3">
                  <c:v>35.9</c:v>
                </c:pt>
                <c:pt idx="4">
                  <c:v>42.1</c:v>
                </c:pt>
                <c:pt idx="5">
                  <c:v>55.8</c:v>
                </c:pt>
                <c:pt idx="6">
                  <c:v>70</c:v>
                </c:pt>
                <c:pt idx="7">
                  <c:v>100</c:v>
                </c:pt>
              </c:numCache>
            </c:numRef>
          </c:xVal>
          <c:yVal>
            <c:numRef>
              <c:f>aesha!$E$9:$E$16</c:f>
              <c:numCache>
                <c:formatCode>General</c:formatCode>
                <c:ptCount val="8"/>
                <c:pt idx="0">
                  <c:v>0</c:v>
                </c:pt>
                <c:pt idx="1">
                  <c:v>28.2</c:v>
                </c:pt>
                <c:pt idx="2">
                  <c:v>49.08</c:v>
                </c:pt>
                <c:pt idx="3">
                  <c:v>73.78</c:v>
                </c:pt>
                <c:pt idx="4">
                  <c:v>97.78</c:v>
                </c:pt>
                <c:pt idx="5">
                  <c:v>123.98</c:v>
                </c:pt>
                <c:pt idx="6">
                  <c:v>147.88</c:v>
                </c:pt>
                <c:pt idx="7">
                  <c:v>167.07999999999998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CF-C041-B95C-6F6101134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761202"/>
        <c:axId val="170939110"/>
      </c:scatterChart>
      <c:valAx>
        <c:axId val="11767612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70939110"/>
        <c:crosses val="autoZero"/>
        <c:crossBetween val="midCat"/>
      </c:valAx>
      <c:valAx>
        <c:axId val="170939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17676120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Compensation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aesha!$B$26:$B$33</c:f>
              <c:numCache>
                <c:formatCode>General</c:formatCode>
                <c:ptCount val="8"/>
                <c:pt idx="0">
                  <c:v>0</c:v>
                </c:pt>
                <c:pt idx="1">
                  <c:v>44</c:v>
                </c:pt>
                <c:pt idx="2">
                  <c:v>48.1</c:v>
                </c:pt>
                <c:pt idx="3">
                  <c:v>52.6</c:v>
                </c:pt>
                <c:pt idx="4">
                  <c:v>57</c:v>
                </c:pt>
                <c:pt idx="5">
                  <c:v>63.9</c:v>
                </c:pt>
                <c:pt idx="6">
                  <c:v>71</c:v>
                </c:pt>
                <c:pt idx="7">
                  <c:v>100</c:v>
                </c:pt>
              </c:numCache>
            </c:numRef>
          </c:xVal>
          <c:yVal>
            <c:numRef>
              <c:f>aesha!$E$26:$E$33</c:f>
              <c:numCache>
                <c:formatCode>General</c:formatCode>
                <c:ptCount val="8"/>
                <c:pt idx="0">
                  <c:v>0</c:v>
                </c:pt>
                <c:pt idx="1">
                  <c:v>202.5</c:v>
                </c:pt>
                <c:pt idx="2">
                  <c:v>225.4</c:v>
                </c:pt>
                <c:pt idx="3">
                  <c:v>248.70000000000002</c:v>
                </c:pt>
                <c:pt idx="4">
                  <c:v>272.70000000000005</c:v>
                </c:pt>
                <c:pt idx="5">
                  <c:v>297.50000000000006</c:v>
                </c:pt>
                <c:pt idx="6">
                  <c:v>319.80000000000007</c:v>
                </c:pt>
                <c:pt idx="7">
                  <c:v>337.50000000000006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DF-F24F-8BF8-8D88A318E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2336723"/>
        <c:axId val="664312874"/>
      </c:scatterChart>
      <c:valAx>
        <c:axId val="16823367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64312874"/>
        <c:crosses val="autoZero"/>
        <c:crossBetween val="midCat"/>
      </c:valAx>
      <c:valAx>
        <c:axId val="6643128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68233672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Arial"/>
              </a:defRPr>
            </a:pPr>
            <a:r>
              <a:rPr lang="en-ID" sz="1400" b="0" i="0">
                <a:solidFill>
                  <a:srgbClr val="757575"/>
                </a:solidFill>
                <a:latin typeface="Arial"/>
              </a:rPr>
              <a:t>Integral Safety Rod Worth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aesha!$B$46:$B$54</c:f>
              <c:numCache>
                <c:formatCode>General</c:formatCode>
                <c:ptCount val="9"/>
                <c:pt idx="0">
                  <c:v>0</c:v>
                </c:pt>
                <c:pt idx="1">
                  <c:v>41.2</c:v>
                </c:pt>
                <c:pt idx="2">
                  <c:v>44</c:v>
                </c:pt>
                <c:pt idx="3">
                  <c:v>49.8</c:v>
                </c:pt>
                <c:pt idx="4">
                  <c:v>54.8</c:v>
                </c:pt>
                <c:pt idx="5">
                  <c:v>60.4</c:v>
                </c:pt>
                <c:pt idx="6">
                  <c:v>67.400000000000006</c:v>
                </c:pt>
                <c:pt idx="7">
                  <c:v>76.400000000000006</c:v>
                </c:pt>
                <c:pt idx="8">
                  <c:v>100</c:v>
                </c:pt>
              </c:numCache>
            </c:numRef>
          </c:xVal>
          <c:yVal>
            <c:numRef>
              <c:f>aesha!$E$46:$E$54</c:f>
              <c:numCache>
                <c:formatCode>General</c:formatCode>
                <c:ptCount val="9"/>
                <c:pt idx="0">
                  <c:v>0</c:v>
                </c:pt>
                <c:pt idx="1">
                  <c:v>194.06</c:v>
                </c:pt>
                <c:pt idx="2">
                  <c:v>215.08</c:v>
                </c:pt>
                <c:pt idx="3">
                  <c:v>237.8</c:v>
                </c:pt>
                <c:pt idx="4">
                  <c:v>260.88</c:v>
                </c:pt>
                <c:pt idx="5">
                  <c:v>282.67</c:v>
                </c:pt>
                <c:pt idx="6">
                  <c:v>305.76</c:v>
                </c:pt>
                <c:pt idx="7">
                  <c:v>328.19</c:v>
                </c:pt>
                <c:pt idx="8">
                  <c:v>347.08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1B-D34A-AD92-B0619FD11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509340"/>
        <c:axId val="969442443"/>
      </c:scatterChart>
      <c:valAx>
        <c:axId val="9205093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69442443"/>
        <c:crosses val="autoZero"/>
        <c:crossBetween val="midCat"/>
      </c:valAx>
      <c:valAx>
        <c:axId val="9694424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ID" sz="1200" b="0" i="0">
                    <a:solidFill>
                      <a:srgbClr val="000000"/>
                    </a:solidFill>
                    <a:latin typeface="Arial"/>
                  </a:rPr>
                  <a:t>Reactivity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92050934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9.xml"/><Relationship Id="rId7" Type="http://schemas.openxmlformats.org/officeDocument/2006/relationships/image" Target="../media/image3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24.xml"/><Relationship Id="rId7" Type="http://schemas.openxmlformats.org/officeDocument/2006/relationships/image" Target="../media/image3.png"/><Relationship Id="rId2" Type="http://schemas.openxmlformats.org/officeDocument/2006/relationships/chart" Target="../charts/chart23.xml"/><Relationship Id="rId1" Type="http://schemas.openxmlformats.org/officeDocument/2006/relationships/chart" Target="../charts/chart22.xml"/><Relationship Id="rId6" Type="http://schemas.openxmlformats.org/officeDocument/2006/relationships/chart" Target="../charts/chart27.xml"/><Relationship Id="rId5" Type="http://schemas.openxmlformats.org/officeDocument/2006/relationships/chart" Target="../charts/chart26.xml"/><Relationship Id="rId4" Type="http://schemas.openxmlformats.org/officeDocument/2006/relationships/chart" Target="../charts/chart2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0.xml"/><Relationship Id="rId7" Type="http://schemas.openxmlformats.org/officeDocument/2006/relationships/image" Target="../media/image5.png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36.xml"/><Relationship Id="rId7" Type="http://schemas.openxmlformats.org/officeDocument/2006/relationships/image" Target="../media/image3.png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42.xml"/><Relationship Id="rId7" Type="http://schemas.openxmlformats.org/officeDocument/2006/relationships/image" Target="../media/image3.png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chart" Target="../charts/chart48.xml"/><Relationship Id="rId7" Type="http://schemas.openxmlformats.org/officeDocument/2006/relationships/image" Target="../media/image7.png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chart" Target="../charts/chart54.xml"/><Relationship Id="rId7" Type="http://schemas.openxmlformats.org/officeDocument/2006/relationships/image" Target="../media/image7.png"/><Relationship Id="rId2" Type="http://schemas.openxmlformats.org/officeDocument/2006/relationships/chart" Target="../charts/chart53.xml"/><Relationship Id="rId1" Type="http://schemas.openxmlformats.org/officeDocument/2006/relationships/chart" Target="../charts/chart52.xml"/><Relationship Id="rId6" Type="http://schemas.openxmlformats.org/officeDocument/2006/relationships/chart" Target="../charts/chart57.xml"/><Relationship Id="rId5" Type="http://schemas.openxmlformats.org/officeDocument/2006/relationships/chart" Target="../charts/chart56.xml"/><Relationship Id="rId4" Type="http://schemas.openxmlformats.org/officeDocument/2006/relationships/chart" Target="../charts/chart55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chart" Target="../charts/chart60.xml"/><Relationship Id="rId7" Type="http://schemas.openxmlformats.org/officeDocument/2006/relationships/image" Target="../media/image7.png"/><Relationship Id="rId2" Type="http://schemas.openxmlformats.org/officeDocument/2006/relationships/chart" Target="../charts/chart59.xml"/><Relationship Id="rId1" Type="http://schemas.openxmlformats.org/officeDocument/2006/relationships/chart" Target="../charts/chart58.xml"/><Relationship Id="rId6" Type="http://schemas.openxmlformats.org/officeDocument/2006/relationships/chart" Target="../charts/chart63.xml"/><Relationship Id="rId5" Type="http://schemas.openxmlformats.org/officeDocument/2006/relationships/chart" Target="../charts/chart62.xml"/><Relationship Id="rId4" Type="http://schemas.openxmlformats.org/officeDocument/2006/relationships/chart" Target="../charts/chart6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5</xdr:row>
      <xdr:rowOff>57150</xdr:rowOff>
    </xdr:from>
    <xdr:ext cx="5229225" cy="3562350"/>
    <xdr:graphicFrame macro="">
      <xdr:nvGraphicFramePr>
        <xdr:cNvPr id="1887714338" name="Chart 1">
          <a:extLst>
            <a:ext uri="{FF2B5EF4-FFF2-40B4-BE49-F238E27FC236}">
              <a16:creationId xmlns:a16="http://schemas.microsoft.com/office/drawing/2014/main" id="{00000000-0008-0000-0000-0000223C8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19050</xdr:colOff>
      <xdr:row>35</xdr:row>
      <xdr:rowOff>152400</xdr:rowOff>
    </xdr:from>
    <xdr:ext cx="5210175" cy="3952875"/>
    <xdr:graphicFrame macro="">
      <xdr:nvGraphicFramePr>
        <xdr:cNvPr id="1362597499" name="Chart 2">
          <a:extLst>
            <a:ext uri="{FF2B5EF4-FFF2-40B4-BE49-F238E27FC236}">
              <a16:creationId xmlns:a16="http://schemas.microsoft.com/office/drawing/2014/main" id="{00000000-0008-0000-0000-00007B963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19050</xdr:colOff>
      <xdr:row>61</xdr:row>
      <xdr:rowOff>0</xdr:rowOff>
    </xdr:from>
    <xdr:ext cx="5248275" cy="3667125"/>
    <xdr:graphicFrame macro="">
      <xdr:nvGraphicFramePr>
        <xdr:cNvPr id="1749849687" name="Chart 3">
          <a:extLst>
            <a:ext uri="{FF2B5EF4-FFF2-40B4-BE49-F238E27FC236}">
              <a16:creationId xmlns:a16="http://schemas.microsoft.com/office/drawing/2014/main" id="{00000000-0008-0000-0000-000057964C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257175</xdr:colOff>
      <xdr:row>6</xdr:row>
      <xdr:rowOff>28575</xdr:rowOff>
    </xdr:from>
    <xdr:ext cx="5105400" cy="4381500"/>
    <xdr:graphicFrame macro="">
      <xdr:nvGraphicFramePr>
        <xdr:cNvPr id="977090295" name="Chart 4">
          <a:extLst>
            <a:ext uri="{FF2B5EF4-FFF2-40B4-BE49-F238E27FC236}">
              <a16:creationId xmlns:a16="http://schemas.microsoft.com/office/drawing/2014/main" id="{00000000-0008-0000-0000-0000F7363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276225</xdr:colOff>
      <xdr:row>35</xdr:row>
      <xdr:rowOff>180975</xdr:rowOff>
    </xdr:from>
    <xdr:ext cx="5191125" cy="3905250"/>
    <xdr:graphicFrame macro="">
      <xdr:nvGraphicFramePr>
        <xdr:cNvPr id="1453956257" name="Chart 5">
          <a:extLst>
            <a:ext uri="{FF2B5EF4-FFF2-40B4-BE49-F238E27FC236}">
              <a16:creationId xmlns:a16="http://schemas.microsoft.com/office/drawing/2014/main" id="{00000000-0008-0000-0000-0000A19CA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304800</xdr:colOff>
      <xdr:row>61</xdr:row>
      <xdr:rowOff>9525</xdr:rowOff>
    </xdr:from>
    <xdr:ext cx="5105400" cy="3657600"/>
    <xdr:graphicFrame macro="">
      <xdr:nvGraphicFramePr>
        <xdr:cNvPr id="565494867" name="Chart 6">
          <a:extLst>
            <a:ext uri="{FF2B5EF4-FFF2-40B4-BE49-F238E27FC236}">
              <a16:creationId xmlns:a16="http://schemas.microsoft.com/office/drawing/2014/main" id="{00000000-0008-0000-0000-000053C4B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161925</xdr:colOff>
      <xdr:row>85</xdr:row>
      <xdr:rowOff>104775</xdr:rowOff>
    </xdr:from>
    <xdr:ext cx="3476625" cy="52387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88</xdr:row>
      <xdr:rowOff>133350</xdr:rowOff>
    </xdr:from>
    <xdr:ext cx="2571750" cy="5619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476250</xdr:colOff>
      <xdr:row>4</xdr:row>
      <xdr:rowOff>190500</xdr:rowOff>
    </xdr:from>
    <xdr:ext cx="5334000" cy="4638675"/>
    <xdr:graphicFrame macro="">
      <xdr:nvGraphicFramePr>
        <xdr:cNvPr id="112017368" name="Chart 7">
          <a:extLst>
            <a:ext uri="{FF2B5EF4-FFF2-40B4-BE49-F238E27FC236}">
              <a16:creationId xmlns:a16="http://schemas.microsoft.com/office/drawing/2014/main" id="{00000000-0008-0000-0100-0000D83FAD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457200</xdr:colOff>
      <xdr:row>31</xdr:row>
      <xdr:rowOff>180975</xdr:rowOff>
    </xdr:from>
    <xdr:ext cx="5429250" cy="4124325"/>
    <xdr:graphicFrame macro="">
      <xdr:nvGraphicFramePr>
        <xdr:cNvPr id="465282424" name="Chart 8">
          <a:extLst>
            <a:ext uri="{FF2B5EF4-FFF2-40B4-BE49-F238E27FC236}">
              <a16:creationId xmlns:a16="http://schemas.microsoft.com/office/drawing/2014/main" id="{00000000-0008-0000-0100-000078A5B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447675</xdr:colOff>
      <xdr:row>58</xdr:row>
      <xdr:rowOff>171450</xdr:rowOff>
    </xdr:from>
    <xdr:ext cx="5429250" cy="3648075"/>
    <xdr:graphicFrame macro="">
      <xdr:nvGraphicFramePr>
        <xdr:cNvPr id="1081218621" name="Chart 9">
          <a:extLst>
            <a:ext uri="{FF2B5EF4-FFF2-40B4-BE49-F238E27FC236}">
              <a16:creationId xmlns:a16="http://schemas.microsoft.com/office/drawing/2014/main" id="{00000000-0008-0000-0100-00003D1672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581025</xdr:colOff>
      <xdr:row>4</xdr:row>
      <xdr:rowOff>171450</xdr:rowOff>
    </xdr:from>
    <xdr:ext cx="5514975" cy="4648200"/>
    <xdr:graphicFrame macro="">
      <xdr:nvGraphicFramePr>
        <xdr:cNvPr id="1231004657" name="Chart 10">
          <a:extLst>
            <a:ext uri="{FF2B5EF4-FFF2-40B4-BE49-F238E27FC236}">
              <a16:creationId xmlns:a16="http://schemas.microsoft.com/office/drawing/2014/main" id="{00000000-0008-0000-0100-0000F1A35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85725</xdr:colOff>
      <xdr:row>31</xdr:row>
      <xdr:rowOff>171450</xdr:rowOff>
    </xdr:from>
    <xdr:ext cx="5400675" cy="4181475"/>
    <xdr:graphicFrame macro="">
      <xdr:nvGraphicFramePr>
        <xdr:cNvPr id="1501888145" name="Chart 11">
          <a:extLst>
            <a:ext uri="{FF2B5EF4-FFF2-40B4-BE49-F238E27FC236}">
              <a16:creationId xmlns:a16="http://schemas.microsoft.com/office/drawing/2014/main" id="{00000000-0008-0000-0100-000091FE8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219075</xdr:colOff>
      <xdr:row>59</xdr:row>
      <xdr:rowOff>0</xdr:rowOff>
    </xdr:from>
    <xdr:ext cx="5295900" cy="3629025"/>
    <xdr:graphicFrame macro="">
      <xdr:nvGraphicFramePr>
        <xdr:cNvPr id="2144873267" name="Chart 12">
          <a:extLst>
            <a:ext uri="{FF2B5EF4-FFF2-40B4-BE49-F238E27FC236}">
              <a16:creationId xmlns:a16="http://schemas.microsoft.com/office/drawing/2014/main" id="{00000000-0008-0000-0100-0000332BD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66675</xdr:colOff>
      <xdr:row>88</xdr:row>
      <xdr:rowOff>9525</xdr:rowOff>
    </xdr:from>
    <xdr:ext cx="3457575" cy="523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91</xdr:row>
      <xdr:rowOff>104775</xdr:rowOff>
    </xdr:from>
    <xdr:ext cx="2571750" cy="5905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600075</xdr:colOff>
      <xdr:row>6</xdr:row>
      <xdr:rowOff>19050</xdr:rowOff>
    </xdr:from>
    <xdr:ext cx="5229225" cy="2733675"/>
    <xdr:graphicFrame macro="">
      <xdr:nvGraphicFramePr>
        <xdr:cNvPr id="1390796750" name="Chart 13">
          <a:extLst>
            <a:ext uri="{FF2B5EF4-FFF2-40B4-BE49-F238E27FC236}">
              <a16:creationId xmlns:a16="http://schemas.microsoft.com/office/drawing/2014/main" id="{00000000-0008-0000-0200-0000CEDFE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19050</xdr:colOff>
      <xdr:row>26</xdr:row>
      <xdr:rowOff>152400</xdr:rowOff>
    </xdr:from>
    <xdr:ext cx="5210175" cy="2867025"/>
    <xdr:graphicFrame macro="">
      <xdr:nvGraphicFramePr>
        <xdr:cNvPr id="948948391" name="Chart 14">
          <a:extLst>
            <a:ext uri="{FF2B5EF4-FFF2-40B4-BE49-F238E27FC236}">
              <a16:creationId xmlns:a16="http://schemas.microsoft.com/office/drawing/2014/main" id="{00000000-0008-0000-0200-0000A7CD8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19050</xdr:colOff>
      <xdr:row>46</xdr:row>
      <xdr:rowOff>0</xdr:rowOff>
    </xdr:from>
    <xdr:ext cx="5248275" cy="2762250"/>
    <xdr:graphicFrame macro="">
      <xdr:nvGraphicFramePr>
        <xdr:cNvPr id="189899401" name="Chart 15">
          <a:extLst>
            <a:ext uri="{FF2B5EF4-FFF2-40B4-BE49-F238E27FC236}">
              <a16:creationId xmlns:a16="http://schemas.microsoft.com/office/drawing/2014/main" id="{00000000-0008-0000-0200-000089A25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15</xdr:col>
      <xdr:colOff>257175</xdr:colOff>
      <xdr:row>6</xdr:row>
      <xdr:rowOff>28575</xdr:rowOff>
    </xdr:from>
    <xdr:ext cx="5105400" cy="2752725"/>
    <xdr:graphicFrame macro="">
      <xdr:nvGraphicFramePr>
        <xdr:cNvPr id="741875384" name="Chart 16">
          <a:extLst>
            <a:ext uri="{FF2B5EF4-FFF2-40B4-BE49-F238E27FC236}">
              <a16:creationId xmlns:a16="http://schemas.microsoft.com/office/drawing/2014/main" id="{00000000-0008-0000-0200-0000B81E3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276225</xdr:colOff>
      <xdr:row>26</xdr:row>
      <xdr:rowOff>180975</xdr:rowOff>
    </xdr:from>
    <xdr:ext cx="5191125" cy="2819400"/>
    <xdr:graphicFrame macro="">
      <xdr:nvGraphicFramePr>
        <xdr:cNvPr id="1341508246" name="Chart 17">
          <a:extLst>
            <a:ext uri="{FF2B5EF4-FFF2-40B4-BE49-F238E27FC236}">
              <a16:creationId xmlns:a16="http://schemas.microsoft.com/office/drawing/2014/main" id="{00000000-0008-0000-0200-000096CAF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304800</xdr:colOff>
      <xdr:row>46</xdr:row>
      <xdr:rowOff>9525</xdr:rowOff>
    </xdr:from>
    <xdr:ext cx="5105400" cy="2752725"/>
    <xdr:graphicFrame macro="">
      <xdr:nvGraphicFramePr>
        <xdr:cNvPr id="1781514106" name="Chart 18">
          <a:extLst>
            <a:ext uri="{FF2B5EF4-FFF2-40B4-BE49-F238E27FC236}">
              <a16:creationId xmlns:a16="http://schemas.microsoft.com/office/drawing/2014/main" id="{00000000-0008-0000-0200-00007ABF2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</xdr:colOff>
      <xdr:row>2</xdr:row>
      <xdr:rowOff>209550</xdr:rowOff>
    </xdr:from>
    <xdr:ext cx="3810000" cy="2095500"/>
    <xdr:graphicFrame macro="">
      <xdr:nvGraphicFramePr>
        <xdr:cNvPr id="1432496050" name="Chart 19">
          <a:extLst>
            <a:ext uri="{FF2B5EF4-FFF2-40B4-BE49-F238E27FC236}">
              <a16:creationId xmlns:a16="http://schemas.microsoft.com/office/drawing/2014/main" id="{00000000-0008-0000-0300-0000B22762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28575</xdr:colOff>
      <xdr:row>19</xdr:row>
      <xdr:rowOff>114300</xdr:rowOff>
    </xdr:from>
    <xdr:ext cx="3810000" cy="2171700"/>
    <xdr:graphicFrame macro="">
      <xdr:nvGraphicFramePr>
        <xdr:cNvPr id="1663209895" name="Chart 20">
          <a:extLst>
            <a:ext uri="{FF2B5EF4-FFF2-40B4-BE49-F238E27FC236}">
              <a16:creationId xmlns:a16="http://schemas.microsoft.com/office/drawing/2014/main" id="{00000000-0008-0000-0300-0000A7912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7</xdr:col>
      <xdr:colOff>28575</xdr:colOff>
      <xdr:row>34</xdr:row>
      <xdr:rowOff>28575</xdr:rowOff>
    </xdr:from>
    <xdr:ext cx="3810000" cy="2171700"/>
    <xdr:graphicFrame macro="">
      <xdr:nvGraphicFramePr>
        <xdr:cNvPr id="1200234038" name="Chart 21">
          <a:extLst>
            <a:ext uri="{FF2B5EF4-FFF2-40B4-BE49-F238E27FC236}">
              <a16:creationId xmlns:a16="http://schemas.microsoft.com/office/drawing/2014/main" id="{00000000-0008-0000-0300-0000361E8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476250</xdr:colOff>
      <xdr:row>4</xdr:row>
      <xdr:rowOff>190500</xdr:rowOff>
    </xdr:from>
    <xdr:ext cx="5334000" cy="2838450"/>
    <xdr:graphicFrame macro="">
      <xdr:nvGraphicFramePr>
        <xdr:cNvPr id="913721408" name="Chart 22">
          <a:extLst>
            <a:ext uri="{FF2B5EF4-FFF2-40B4-BE49-F238E27FC236}">
              <a16:creationId xmlns:a16="http://schemas.microsoft.com/office/drawing/2014/main" id="{00000000-0008-0000-0400-0000404876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457200</xdr:colOff>
      <xdr:row>22</xdr:row>
      <xdr:rowOff>180975</xdr:rowOff>
    </xdr:from>
    <xdr:ext cx="5429250" cy="2924175"/>
    <xdr:graphicFrame macro="">
      <xdr:nvGraphicFramePr>
        <xdr:cNvPr id="1832922442" name="Chart 23">
          <a:extLst>
            <a:ext uri="{FF2B5EF4-FFF2-40B4-BE49-F238E27FC236}">
              <a16:creationId xmlns:a16="http://schemas.microsoft.com/office/drawing/2014/main" id="{00000000-0008-0000-0400-00004A2D4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447675</xdr:colOff>
      <xdr:row>43</xdr:row>
      <xdr:rowOff>171450</xdr:rowOff>
    </xdr:from>
    <xdr:ext cx="5429250" cy="2847975"/>
    <xdr:graphicFrame macro="">
      <xdr:nvGraphicFramePr>
        <xdr:cNvPr id="687848534" name="Chart 24">
          <a:extLst>
            <a:ext uri="{FF2B5EF4-FFF2-40B4-BE49-F238E27FC236}">
              <a16:creationId xmlns:a16="http://schemas.microsoft.com/office/drawing/2014/main" id="{00000000-0008-0000-0400-000056BCF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581025</xdr:colOff>
      <xdr:row>4</xdr:row>
      <xdr:rowOff>171450</xdr:rowOff>
    </xdr:from>
    <xdr:ext cx="5514975" cy="2847975"/>
    <xdr:graphicFrame macro="">
      <xdr:nvGraphicFramePr>
        <xdr:cNvPr id="1504195752" name="Chart 25">
          <a:extLst>
            <a:ext uri="{FF2B5EF4-FFF2-40B4-BE49-F238E27FC236}">
              <a16:creationId xmlns:a16="http://schemas.microsoft.com/office/drawing/2014/main" id="{00000000-0008-0000-0400-0000A834A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85725</xdr:colOff>
      <xdr:row>22</xdr:row>
      <xdr:rowOff>171450</xdr:rowOff>
    </xdr:from>
    <xdr:ext cx="5400675" cy="2981325"/>
    <xdr:graphicFrame macro="">
      <xdr:nvGraphicFramePr>
        <xdr:cNvPr id="357845182" name="Chart 26">
          <a:extLst>
            <a:ext uri="{FF2B5EF4-FFF2-40B4-BE49-F238E27FC236}">
              <a16:creationId xmlns:a16="http://schemas.microsoft.com/office/drawing/2014/main" id="{00000000-0008-0000-0400-0000BE485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219075</xdr:colOff>
      <xdr:row>44</xdr:row>
      <xdr:rowOff>0</xdr:rowOff>
    </xdr:from>
    <xdr:ext cx="5295900" cy="2828925"/>
    <xdr:graphicFrame macro="">
      <xdr:nvGraphicFramePr>
        <xdr:cNvPr id="317370634" name="Chart 27">
          <a:extLst>
            <a:ext uri="{FF2B5EF4-FFF2-40B4-BE49-F238E27FC236}">
              <a16:creationId xmlns:a16="http://schemas.microsoft.com/office/drawing/2014/main" id="{00000000-0008-0000-0400-00000AB1E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66675</xdr:colOff>
      <xdr:row>69</xdr:row>
      <xdr:rowOff>9525</xdr:rowOff>
    </xdr:from>
    <xdr:ext cx="3457575" cy="523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72</xdr:row>
      <xdr:rowOff>104775</xdr:rowOff>
    </xdr:from>
    <xdr:ext cx="2571750" cy="5905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476250</xdr:colOff>
      <xdr:row>4</xdr:row>
      <xdr:rowOff>190500</xdr:rowOff>
    </xdr:from>
    <xdr:ext cx="5334000" cy="2838450"/>
    <xdr:graphicFrame macro="">
      <xdr:nvGraphicFramePr>
        <xdr:cNvPr id="782492921" name="Chart 28">
          <a:extLst>
            <a:ext uri="{FF2B5EF4-FFF2-40B4-BE49-F238E27FC236}">
              <a16:creationId xmlns:a16="http://schemas.microsoft.com/office/drawing/2014/main" id="{00000000-0008-0000-0500-0000F9E4A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457200</xdr:colOff>
      <xdr:row>22</xdr:row>
      <xdr:rowOff>180975</xdr:rowOff>
    </xdr:from>
    <xdr:ext cx="5429250" cy="2924175"/>
    <xdr:graphicFrame macro="">
      <xdr:nvGraphicFramePr>
        <xdr:cNvPr id="1232383903" name="Chart 29">
          <a:extLst>
            <a:ext uri="{FF2B5EF4-FFF2-40B4-BE49-F238E27FC236}">
              <a16:creationId xmlns:a16="http://schemas.microsoft.com/office/drawing/2014/main" id="{00000000-0008-0000-0500-00009FAF74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447675</xdr:colOff>
      <xdr:row>43</xdr:row>
      <xdr:rowOff>171450</xdr:rowOff>
    </xdr:from>
    <xdr:ext cx="5429250" cy="2847975"/>
    <xdr:graphicFrame macro="">
      <xdr:nvGraphicFramePr>
        <xdr:cNvPr id="15790707" name="Chart 30">
          <a:extLst>
            <a:ext uri="{FF2B5EF4-FFF2-40B4-BE49-F238E27FC236}">
              <a16:creationId xmlns:a16="http://schemas.microsoft.com/office/drawing/2014/main" id="{00000000-0008-0000-0500-000073F2F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581025</xdr:colOff>
      <xdr:row>4</xdr:row>
      <xdr:rowOff>171450</xdr:rowOff>
    </xdr:from>
    <xdr:ext cx="5514975" cy="2847975"/>
    <xdr:graphicFrame macro="">
      <xdr:nvGraphicFramePr>
        <xdr:cNvPr id="1402950268" name="Chart 31">
          <a:extLst>
            <a:ext uri="{FF2B5EF4-FFF2-40B4-BE49-F238E27FC236}">
              <a16:creationId xmlns:a16="http://schemas.microsoft.com/office/drawing/2014/main" id="{00000000-0008-0000-0500-00007C529F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85725</xdr:colOff>
      <xdr:row>22</xdr:row>
      <xdr:rowOff>171450</xdr:rowOff>
    </xdr:from>
    <xdr:ext cx="5400675" cy="2981325"/>
    <xdr:graphicFrame macro="">
      <xdr:nvGraphicFramePr>
        <xdr:cNvPr id="1599166659" name="Chart 32">
          <a:extLst>
            <a:ext uri="{FF2B5EF4-FFF2-40B4-BE49-F238E27FC236}">
              <a16:creationId xmlns:a16="http://schemas.microsoft.com/office/drawing/2014/main" id="{00000000-0008-0000-0500-0000C3585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219075</xdr:colOff>
      <xdr:row>44</xdr:row>
      <xdr:rowOff>0</xdr:rowOff>
    </xdr:from>
    <xdr:ext cx="5295900" cy="2828925"/>
    <xdr:graphicFrame macro="">
      <xdr:nvGraphicFramePr>
        <xdr:cNvPr id="1157909039" name="Chart 33">
          <a:extLst>
            <a:ext uri="{FF2B5EF4-FFF2-40B4-BE49-F238E27FC236}">
              <a16:creationId xmlns:a16="http://schemas.microsoft.com/office/drawing/2014/main" id="{00000000-0008-0000-0500-00002F4A0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66675</xdr:colOff>
      <xdr:row>69</xdr:row>
      <xdr:rowOff>9525</xdr:rowOff>
    </xdr:from>
    <xdr:ext cx="3467100" cy="5238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72</xdr:row>
      <xdr:rowOff>104775</xdr:rowOff>
    </xdr:from>
    <xdr:ext cx="2571750" cy="5905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476250</xdr:colOff>
      <xdr:row>4</xdr:row>
      <xdr:rowOff>190500</xdr:rowOff>
    </xdr:from>
    <xdr:ext cx="5334000" cy="3038475"/>
    <xdr:graphicFrame macro="">
      <xdr:nvGraphicFramePr>
        <xdr:cNvPr id="335531615" name="Chart 34">
          <a:extLst>
            <a:ext uri="{FF2B5EF4-FFF2-40B4-BE49-F238E27FC236}">
              <a16:creationId xmlns:a16="http://schemas.microsoft.com/office/drawing/2014/main" id="{00000000-0008-0000-0600-00005FCEF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457200</xdr:colOff>
      <xdr:row>23</xdr:row>
      <xdr:rowOff>180975</xdr:rowOff>
    </xdr:from>
    <xdr:ext cx="5429250" cy="2924175"/>
    <xdr:graphicFrame macro="">
      <xdr:nvGraphicFramePr>
        <xdr:cNvPr id="1873945396" name="Chart 35">
          <a:extLst>
            <a:ext uri="{FF2B5EF4-FFF2-40B4-BE49-F238E27FC236}">
              <a16:creationId xmlns:a16="http://schemas.microsoft.com/office/drawing/2014/main" id="{00000000-0008-0000-0600-00003423B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447675</xdr:colOff>
      <xdr:row>44</xdr:row>
      <xdr:rowOff>171450</xdr:rowOff>
    </xdr:from>
    <xdr:ext cx="5429250" cy="2847975"/>
    <xdr:graphicFrame macro="">
      <xdr:nvGraphicFramePr>
        <xdr:cNvPr id="1998483804" name="Chart 36">
          <a:extLst>
            <a:ext uri="{FF2B5EF4-FFF2-40B4-BE49-F238E27FC236}">
              <a16:creationId xmlns:a16="http://schemas.microsoft.com/office/drawing/2014/main" id="{00000000-0008-0000-0600-00005C711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581025</xdr:colOff>
      <xdr:row>4</xdr:row>
      <xdr:rowOff>171450</xdr:rowOff>
    </xdr:from>
    <xdr:ext cx="5514975" cy="3048000"/>
    <xdr:graphicFrame macro="">
      <xdr:nvGraphicFramePr>
        <xdr:cNvPr id="1342607858" name="Chart 37">
          <a:extLst>
            <a:ext uri="{FF2B5EF4-FFF2-40B4-BE49-F238E27FC236}">
              <a16:creationId xmlns:a16="http://schemas.microsoft.com/office/drawing/2014/main" id="{00000000-0008-0000-0600-0000F2910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85725</xdr:colOff>
      <xdr:row>23</xdr:row>
      <xdr:rowOff>171450</xdr:rowOff>
    </xdr:from>
    <xdr:ext cx="5400675" cy="2981325"/>
    <xdr:graphicFrame macro="">
      <xdr:nvGraphicFramePr>
        <xdr:cNvPr id="1166144664" name="Chart 38">
          <a:extLst>
            <a:ext uri="{FF2B5EF4-FFF2-40B4-BE49-F238E27FC236}">
              <a16:creationId xmlns:a16="http://schemas.microsoft.com/office/drawing/2014/main" id="{00000000-0008-0000-0600-000098F48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219075</xdr:colOff>
      <xdr:row>45</xdr:row>
      <xdr:rowOff>0</xdr:rowOff>
    </xdr:from>
    <xdr:ext cx="5295900" cy="2828925"/>
    <xdr:graphicFrame macro="">
      <xdr:nvGraphicFramePr>
        <xdr:cNvPr id="495659456" name="Chart 39">
          <a:extLst>
            <a:ext uri="{FF2B5EF4-FFF2-40B4-BE49-F238E27FC236}">
              <a16:creationId xmlns:a16="http://schemas.microsoft.com/office/drawing/2014/main" id="{00000000-0008-0000-0600-0000C0298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66675</xdr:colOff>
      <xdr:row>70</xdr:row>
      <xdr:rowOff>9525</xdr:rowOff>
    </xdr:from>
    <xdr:ext cx="3457575" cy="523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73</xdr:row>
      <xdr:rowOff>104775</xdr:rowOff>
    </xdr:from>
    <xdr:ext cx="2571750" cy="5905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476250</xdr:colOff>
      <xdr:row>4</xdr:row>
      <xdr:rowOff>190500</xdr:rowOff>
    </xdr:from>
    <xdr:ext cx="5334000" cy="2838450"/>
    <xdr:graphicFrame macro="">
      <xdr:nvGraphicFramePr>
        <xdr:cNvPr id="518151724" name="Chart 40">
          <a:extLst>
            <a:ext uri="{FF2B5EF4-FFF2-40B4-BE49-F238E27FC236}">
              <a16:creationId xmlns:a16="http://schemas.microsoft.com/office/drawing/2014/main" id="{00000000-0008-0000-0700-00002C5EE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457200</xdr:colOff>
      <xdr:row>22</xdr:row>
      <xdr:rowOff>180975</xdr:rowOff>
    </xdr:from>
    <xdr:ext cx="5429250" cy="2924175"/>
    <xdr:graphicFrame macro="">
      <xdr:nvGraphicFramePr>
        <xdr:cNvPr id="575702513" name="Chart 41">
          <a:extLst>
            <a:ext uri="{FF2B5EF4-FFF2-40B4-BE49-F238E27FC236}">
              <a16:creationId xmlns:a16="http://schemas.microsoft.com/office/drawing/2014/main" id="{00000000-0008-0000-0700-0000F1855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447675</xdr:colOff>
      <xdr:row>43</xdr:row>
      <xdr:rowOff>171450</xdr:rowOff>
    </xdr:from>
    <xdr:ext cx="5429250" cy="2847975"/>
    <xdr:graphicFrame macro="">
      <xdr:nvGraphicFramePr>
        <xdr:cNvPr id="2039411906" name="Chart 42">
          <a:extLst>
            <a:ext uri="{FF2B5EF4-FFF2-40B4-BE49-F238E27FC236}">
              <a16:creationId xmlns:a16="http://schemas.microsoft.com/office/drawing/2014/main" id="{00000000-0008-0000-0700-0000C2F48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581025</xdr:colOff>
      <xdr:row>4</xdr:row>
      <xdr:rowOff>171450</xdr:rowOff>
    </xdr:from>
    <xdr:ext cx="5514975" cy="2847975"/>
    <xdr:graphicFrame macro="">
      <xdr:nvGraphicFramePr>
        <xdr:cNvPr id="1861057293" name="Chart 43">
          <a:extLst>
            <a:ext uri="{FF2B5EF4-FFF2-40B4-BE49-F238E27FC236}">
              <a16:creationId xmlns:a16="http://schemas.microsoft.com/office/drawing/2014/main" id="{00000000-0008-0000-0700-00000D7BE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85725</xdr:colOff>
      <xdr:row>22</xdr:row>
      <xdr:rowOff>171450</xdr:rowOff>
    </xdr:from>
    <xdr:ext cx="5400675" cy="2981325"/>
    <xdr:graphicFrame macro="">
      <xdr:nvGraphicFramePr>
        <xdr:cNvPr id="1810609950" name="Chart 44">
          <a:extLst>
            <a:ext uri="{FF2B5EF4-FFF2-40B4-BE49-F238E27FC236}">
              <a16:creationId xmlns:a16="http://schemas.microsoft.com/office/drawing/2014/main" id="{00000000-0008-0000-0700-00001EB7E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219075</xdr:colOff>
      <xdr:row>44</xdr:row>
      <xdr:rowOff>0</xdr:rowOff>
    </xdr:from>
    <xdr:ext cx="5295900" cy="2828925"/>
    <xdr:graphicFrame macro="">
      <xdr:nvGraphicFramePr>
        <xdr:cNvPr id="1745255174" name="Chart 45">
          <a:extLst>
            <a:ext uri="{FF2B5EF4-FFF2-40B4-BE49-F238E27FC236}">
              <a16:creationId xmlns:a16="http://schemas.microsoft.com/office/drawing/2014/main" id="{00000000-0008-0000-0700-0000067B0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66675</xdr:colOff>
      <xdr:row>69</xdr:row>
      <xdr:rowOff>9525</xdr:rowOff>
    </xdr:from>
    <xdr:ext cx="3457575" cy="5238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72</xdr:row>
      <xdr:rowOff>104775</xdr:rowOff>
    </xdr:from>
    <xdr:ext cx="2581275" cy="590550"/>
    <xdr:pic>
      <xdr:nvPicPr>
        <xdr:cNvPr id="3" name="image6.pn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476250</xdr:colOff>
      <xdr:row>4</xdr:row>
      <xdr:rowOff>190500</xdr:rowOff>
    </xdr:from>
    <xdr:ext cx="5334000" cy="2838450"/>
    <xdr:graphicFrame macro="">
      <xdr:nvGraphicFramePr>
        <xdr:cNvPr id="1082150372" name="Chart 46">
          <a:extLst>
            <a:ext uri="{FF2B5EF4-FFF2-40B4-BE49-F238E27FC236}">
              <a16:creationId xmlns:a16="http://schemas.microsoft.com/office/drawing/2014/main" id="{00000000-0008-0000-0800-0000E44D8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457200</xdr:colOff>
      <xdr:row>22</xdr:row>
      <xdr:rowOff>180975</xdr:rowOff>
    </xdr:from>
    <xdr:ext cx="5429250" cy="3124200"/>
    <xdr:graphicFrame macro="">
      <xdr:nvGraphicFramePr>
        <xdr:cNvPr id="243457085" name="Chart 47">
          <a:extLst>
            <a:ext uri="{FF2B5EF4-FFF2-40B4-BE49-F238E27FC236}">
              <a16:creationId xmlns:a16="http://schemas.microsoft.com/office/drawing/2014/main" id="{00000000-0008-0000-0800-00003DDC8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447675</xdr:colOff>
      <xdr:row>44</xdr:row>
      <xdr:rowOff>171450</xdr:rowOff>
    </xdr:from>
    <xdr:ext cx="5429250" cy="2847975"/>
    <xdr:graphicFrame macro="">
      <xdr:nvGraphicFramePr>
        <xdr:cNvPr id="1374860744" name="Chart 48">
          <a:extLst>
            <a:ext uri="{FF2B5EF4-FFF2-40B4-BE49-F238E27FC236}">
              <a16:creationId xmlns:a16="http://schemas.microsoft.com/office/drawing/2014/main" id="{00000000-0008-0000-0800-0000C8B5F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581025</xdr:colOff>
      <xdr:row>4</xdr:row>
      <xdr:rowOff>171450</xdr:rowOff>
    </xdr:from>
    <xdr:ext cx="5514975" cy="2847975"/>
    <xdr:graphicFrame macro="">
      <xdr:nvGraphicFramePr>
        <xdr:cNvPr id="536414807" name="Chart 49">
          <a:extLst>
            <a:ext uri="{FF2B5EF4-FFF2-40B4-BE49-F238E27FC236}">
              <a16:creationId xmlns:a16="http://schemas.microsoft.com/office/drawing/2014/main" id="{00000000-0008-0000-0800-0000570AF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85725</xdr:colOff>
      <xdr:row>22</xdr:row>
      <xdr:rowOff>171450</xdr:rowOff>
    </xdr:from>
    <xdr:ext cx="5400675" cy="3181350"/>
    <xdr:graphicFrame macro="">
      <xdr:nvGraphicFramePr>
        <xdr:cNvPr id="1425510463" name="Chart 50">
          <a:extLst>
            <a:ext uri="{FF2B5EF4-FFF2-40B4-BE49-F238E27FC236}">
              <a16:creationId xmlns:a16="http://schemas.microsoft.com/office/drawing/2014/main" id="{00000000-0008-0000-0800-00003F90F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219075</xdr:colOff>
      <xdr:row>45</xdr:row>
      <xdr:rowOff>0</xdr:rowOff>
    </xdr:from>
    <xdr:ext cx="5295900" cy="2828925"/>
    <xdr:graphicFrame macro="">
      <xdr:nvGraphicFramePr>
        <xdr:cNvPr id="747969096" name="Chart 51">
          <a:extLst>
            <a:ext uri="{FF2B5EF4-FFF2-40B4-BE49-F238E27FC236}">
              <a16:creationId xmlns:a16="http://schemas.microsoft.com/office/drawing/2014/main" id="{00000000-0008-0000-0800-0000481A9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104775</xdr:colOff>
      <xdr:row>71</xdr:row>
      <xdr:rowOff>152400</xdr:rowOff>
    </xdr:from>
    <xdr:ext cx="4267200" cy="542925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74</xdr:row>
      <xdr:rowOff>114300</xdr:rowOff>
    </xdr:from>
    <xdr:ext cx="2476500" cy="533400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61384</xdr:colOff>
      <xdr:row>4</xdr:row>
      <xdr:rowOff>190500</xdr:rowOff>
    </xdr:from>
    <xdr:ext cx="5334000" cy="2838450"/>
    <xdr:graphicFrame macro="">
      <xdr:nvGraphicFramePr>
        <xdr:cNvPr id="2" name="Chart 46">
          <a:extLst>
            <a:ext uri="{FF2B5EF4-FFF2-40B4-BE49-F238E27FC236}">
              <a16:creationId xmlns:a16="http://schemas.microsoft.com/office/drawing/2014/main" id="{5CB248A5-98FF-E74D-9FEE-DC72ABD713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67734</xdr:colOff>
      <xdr:row>21</xdr:row>
      <xdr:rowOff>113241</xdr:rowOff>
    </xdr:from>
    <xdr:ext cx="5429250" cy="3124200"/>
    <xdr:graphicFrame macro="">
      <xdr:nvGraphicFramePr>
        <xdr:cNvPr id="3" name="Chart 47">
          <a:extLst>
            <a:ext uri="{FF2B5EF4-FFF2-40B4-BE49-F238E27FC236}">
              <a16:creationId xmlns:a16="http://schemas.microsoft.com/office/drawing/2014/main" id="{7C092750-F3B7-F84F-849C-73DEFD57A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32808</xdr:colOff>
      <xdr:row>41</xdr:row>
      <xdr:rowOff>112183</xdr:rowOff>
    </xdr:from>
    <xdr:ext cx="5429250" cy="2847975"/>
    <xdr:graphicFrame macro="">
      <xdr:nvGraphicFramePr>
        <xdr:cNvPr id="4" name="Chart 48">
          <a:extLst>
            <a:ext uri="{FF2B5EF4-FFF2-40B4-BE49-F238E27FC236}">
              <a16:creationId xmlns:a16="http://schemas.microsoft.com/office/drawing/2014/main" id="{61A5EA87-2F29-694C-AF45-9A1E45AFB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581025</xdr:colOff>
      <xdr:row>4</xdr:row>
      <xdr:rowOff>171450</xdr:rowOff>
    </xdr:from>
    <xdr:ext cx="5514975" cy="2847975"/>
    <xdr:graphicFrame macro="">
      <xdr:nvGraphicFramePr>
        <xdr:cNvPr id="5" name="Chart 49">
          <a:extLst>
            <a:ext uri="{FF2B5EF4-FFF2-40B4-BE49-F238E27FC236}">
              <a16:creationId xmlns:a16="http://schemas.microsoft.com/office/drawing/2014/main" id="{C4FF753E-78CC-F347-B22F-EB76C5154E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85725</xdr:colOff>
      <xdr:row>21</xdr:row>
      <xdr:rowOff>171450</xdr:rowOff>
    </xdr:from>
    <xdr:ext cx="5400675" cy="3181350"/>
    <xdr:graphicFrame macro="">
      <xdr:nvGraphicFramePr>
        <xdr:cNvPr id="6" name="Chart 50">
          <a:extLst>
            <a:ext uri="{FF2B5EF4-FFF2-40B4-BE49-F238E27FC236}">
              <a16:creationId xmlns:a16="http://schemas.microsoft.com/office/drawing/2014/main" id="{967245AF-7690-DA48-BAFE-5C607F1B2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219075</xdr:colOff>
      <xdr:row>42</xdr:row>
      <xdr:rowOff>0</xdr:rowOff>
    </xdr:from>
    <xdr:ext cx="5295900" cy="2828925"/>
    <xdr:graphicFrame macro="">
      <xdr:nvGraphicFramePr>
        <xdr:cNvPr id="7" name="Chart 51">
          <a:extLst>
            <a:ext uri="{FF2B5EF4-FFF2-40B4-BE49-F238E27FC236}">
              <a16:creationId xmlns:a16="http://schemas.microsoft.com/office/drawing/2014/main" id="{C6350FE3-AEB7-AD40-8FE5-E821B356A9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104775</xdr:colOff>
      <xdr:row>68</xdr:row>
      <xdr:rowOff>152400</xdr:rowOff>
    </xdr:from>
    <xdr:ext cx="4267200" cy="542925"/>
    <xdr:pic>
      <xdr:nvPicPr>
        <xdr:cNvPr id="8" name="image8.png">
          <a:extLst>
            <a:ext uri="{FF2B5EF4-FFF2-40B4-BE49-F238E27FC236}">
              <a16:creationId xmlns:a16="http://schemas.microsoft.com/office/drawing/2014/main" id="{98FB6A36-EF4F-264B-9480-DB8EDA2F11D4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79475" y="14249400"/>
          <a:ext cx="426720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71</xdr:row>
      <xdr:rowOff>114300</xdr:rowOff>
    </xdr:from>
    <xdr:ext cx="2476500" cy="533400"/>
    <xdr:pic>
      <xdr:nvPicPr>
        <xdr:cNvPr id="9" name="image7.png">
          <a:extLst>
            <a:ext uri="{FF2B5EF4-FFF2-40B4-BE49-F238E27FC236}">
              <a16:creationId xmlns:a16="http://schemas.microsoft.com/office/drawing/2014/main" id="{8603CF55-B4FC-5640-AC79-E8830CA34D98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98525" y="14782800"/>
          <a:ext cx="2476500" cy="533400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61384</xdr:colOff>
      <xdr:row>4</xdr:row>
      <xdr:rowOff>190500</xdr:rowOff>
    </xdr:from>
    <xdr:ext cx="5334000" cy="2838450"/>
    <xdr:graphicFrame macro="">
      <xdr:nvGraphicFramePr>
        <xdr:cNvPr id="2" name="Chart 46">
          <a:extLst>
            <a:ext uri="{FF2B5EF4-FFF2-40B4-BE49-F238E27FC236}">
              <a16:creationId xmlns:a16="http://schemas.microsoft.com/office/drawing/2014/main" id="{42E6C80A-E4AA-B74F-B2CF-903A11888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67734</xdr:colOff>
      <xdr:row>21</xdr:row>
      <xdr:rowOff>113241</xdr:rowOff>
    </xdr:from>
    <xdr:ext cx="5429250" cy="3124200"/>
    <xdr:graphicFrame macro="">
      <xdr:nvGraphicFramePr>
        <xdr:cNvPr id="3" name="Chart 47">
          <a:extLst>
            <a:ext uri="{FF2B5EF4-FFF2-40B4-BE49-F238E27FC236}">
              <a16:creationId xmlns:a16="http://schemas.microsoft.com/office/drawing/2014/main" id="{A00F9A67-6F3D-D248-AC16-0A1085D263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32808</xdr:colOff>
      <xdr:row>41</xdr:row>
      <xdr:rowOff>112183</xdr:rowOff>
    </xdr:from>
    <xdr:ext cx="5429250" cy="2847975"/>
    <xdr:graphicFrame macro="">
      <xdr:nvGraphicFramePr>
        <xdr:cNvPr id="4" name="Chart 48">
          <a:extLst>
            <a:ext uri="{FF2B5EF4-FFF2-40B4-BE49-F238E27FC236}">
              <a16:creationId xmlns:a16="http://schemas.microsoft.com/office/drawing/2014/main" id="{2E6ABC45-D563-4C4D-8417-7AE2100B24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14</xdr:col>
      <xdr:colOff>581025</xdr:colOff>
      <xdr:row>4</xdr:row>
      <xdr:rowOff>171450</xdr:rowOff>
    </xdr:from>
    <xdr:ext cx="5514975" cy="2847975"/>
    <xdr:graphicFrame macro="">
      <xdr:nvGraphicFramePr>
        <xdr:cNvPr id="5" name="Chart 49">
          <a:extLst>
            <a:ext uri="{FF2B5EF4-FFF2-40B4-BE49-F238E27FC236}">
              <a16:creationId xmlns:a16="http://schemas.microsoft.com/office/drawing/2014/main" id="{18AD2856-CAB4-374D-8191-F325ED979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15</xdr:col>
      <xdr:colOff>85725</xdr:colOff>
      <xdr:row>21</xdr:row>
      <xdr:rowOff>171450</xdr:rowOff>
    </xdr:from>
    <xdr:ext cx="5400675" cy="3181350"/>
    <xdr:graphicFrame macro="">
      <xdr:nvGraphicFramePr>
        <xdr:cNvPr id="6" name="Chart 50">
          <a:extLst>
            <a:ext uri="{FF2B5EF4-FFF2-40B4-BE49-F238E27FC236}">
              <a16:creationId xmlns:a16="http://schemas.microsoft.com/office/drawing/2014/main" id="{FA8AF6A5-BA49-AC47-849A-6D065D435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15</xdr:col>
      <xdr:colOff>219075</xdr:colOff>
      <xdr:row>42</xdr:row>
      <xdr:rowOff>0</xdr:rowOff>
    </xdr:from>
    <xdr:ext cx="5295900" cy="2828925"/>
    <xdr:graphicFrame macro="">
      <xdr:nvGraphicFramePr>
        <xdr:cNvPr id="7" name="Chart 51">
          <a:extLst>
            <a:ext uri="{FF2B5EF4-FFF2-40B4-BE49-F238E27FC236}">
              <a16:creationId xmlns:a16="http://schemas.microsoft.com/office/drawing/2014/main" id="{5C1E3AFD-500A-274E-BB65-AC162B0AB6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1</xdr:col>
      <xdr:colOff>104775</xdr:colOff>
      <xdr:row>68</xdr:row>
      <xdr:rowOff>152400</xdr:rowOff>
    </xdr:from>
    <xdr:ext cx="4267200" cy="542925"/>
    <xdr:pic>
      <xdr:nvPicPr>
        <xdr:cNvPr id="8" name="image8.png">
          <a:extLst>
            <a:ext uri="{FF2B5EF4-FFF2-40B4-BE49-F238E27FC236}">
              <a16:creationId xmlns:a16="http://schemas.microsoft.com/office/drawing/2014/main" id="{8796086D-2A44-CF4C-98B0-67D35A6958CD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79475" y="13665200"/>
          <a:ext cx="4267200" cy="5429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71</xdr:row>
      <xdr:rowOff>114300</xdr:rowOff>
    </xdr:from>
    <xdr:ext cx="2476500" cy="533400"/>
    <xdr:pic>
      <xdr:nvPicPr>
        <xdr:cNvPr id="9" name="image7.png">
          <a:extLst>
            <a:ext uri="{FF2B5EF4-FFF2-40B4-BE49-F238E27FC236}">
              <a16:creationId xmlns:a16="http://schemas.microsoft.com/office/drawing/2014/main" id="{E6DB075B-41AF-014D-AE1A-31112822A9BF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98525" y="14198600"/>
          <a:ext cx="2476500" cy="533400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13</xdr:row>
      <xdr:rowOff>76200</xdr:rowOff>
    </xdr:from>
    <xdr:ext cx="1933575" cy="1581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4388738" y="3003713"/>
          <a:ext cx="1914525" cy="1552575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485775</xdr:colOff>
      <xdr:row>5</xdr:row>
      <xdr:rowOff>53975</xdr:rowOff>
    </xdr:from>
    <xdr:ext cx="200025" cy="16002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146175" y="1069975"/>
          <a:ext cx="200025" cy="1600200"/>
        </a:xfrm>
        <a:prstGeom prst="rect">
          <a:avLst/>
        </a:prstGeom>
        <a:solidFill>
          <a:srgbClr val="FFFF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434975</xdr:colOff>
      <xdr:row>5</xdr:row>
      <xdr:rowOff>101600</xdr:rowOff>
    </xdr:from>
    <xdr:ext cx="200025" cy="160020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755775" y="1117600"/>
          <a:ext cx="200025" cy="1600200"/>
        </a:xfrm>
        <a:prstGeom prst="rect">
          <a:avLst/>
        </a:prstGeom>
        <a:solidFill>
          <a:srgbClr val="FFFF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406400</xdr:colOff>
      <xdr:row>12</xdr:row>
      <xdr:rowOff>88899</xdr:rowOff>
    </xdr:from>
    <xdr:ext cx="200025" cy="15970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2387600" y="2527299"/>
          <a:ext cx="200025" cy="1597025"/>
        </a:xfrm>
        <a:prstGeom prst="rect">
          <a:avLst/>
        </a:prstGeom>
        <a:solidFill>
          <a:srgbClr val="FFFF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409575</xdr:colOff>
      <xdr:row>13</xdr:row>
      <xdr:rowOff>95250</xdr:rowOff>
    </xdr:from>
    <xdr:ext cx="190500" cy="13906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2390775" y="2736850"/>
          <a:ext cx="190500" cy="1390650"/>
        </a:xfrm>
        <a:prstGeom prst="rect">
          <a:avLst/>
        </a:prstGeom>
        <a:solidFill>
          <a:srgbClr val="FF00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95250</xdr:colOff>
      <xdr:row>13</xdr:row>
      <xdr:rowOff>0</xdr:rowOff>
    </xdr:from>
    <xdr:ext cx="1933575" cy="15621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4393500" y="3008475"/>
          <a:ext cx="1905000" cy="1543050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447675</xdr:colOff>
      <xdr:row>5</xdr:row>
      <xdr:rowOff>57150</xdr:rowOff>
    </xdr:from>
    <xdr:ext cx="200025" cy="16002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5260275" y="2989425"/>
          <a:ext cx="171450" cy="1581150"/>
        </a:xfrm>
        <a:prstGeom prst="rect">
          <a:avLst/>
        </a:prstGeom>
        <a:solidFill>
          <a:srgbClr val="FFFF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361950</xdr:colOff>
      <xdr:row>5</xdr:row>
      <xdr:rowOff>47625</xdr:rowOff>
    </xdr:from>
    <xdr:ext cx="219075" cy="160020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5245988" y="2989425"/>
          <a:ext cx="200025" cy="1581150"/>
        </a:xfrm>
        <a:prstGeom prst="rect">
          <a:avLst/>
        </a:prstGeom>
        <a:solidFill>
          <a:srgbClr val="FFFF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266700</xdr:colOff>
      <xdr:row>12</xdr:row>
      <xdr:rowOff>152400</xdr:rowOff>
    </xdr:from>
    <xdr:ext cx="219075" cy="160020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5245988" y="2989425"/>
          <a:ext cx="200025" cy="1581150"/>
        </a:xfrm>
        <a:prstGeom prst="rect">
          <a:avLst/>
        </a:prstGeom>
        <a:solidFill>
          <a:srgbClr val="FF00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838200</xdr:colOff>
      <xdr:row>12</xdr:row>
      <xdr:rowOff>133350</xdr:rowOff>
    </xdr:from>
    <xdr:ext cx="1495425" cy="15811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4607813" y="3003713"/>
          <a:ext cx="1476375" cy="1552575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92074</xdr:colOff>
      <xdr:row>5</xdr:row>
      <xdr:rowOff>0</xdr:rowOff>
    </xdr:from>
    <xdr:ext cx="250825" cy="15621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 flipH="1">
          <a:off x="8677274" y="1016000"/>
          <a:ext cx="250825" cy="1562100"/>
        </a:xfrm>
        <a:prstGeom prst="rect">
          <a:avLst/>
        </a:prstGeom>
        <a:solidFill>
          <a:srgbClr val="FFFF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644525</xdr:colOff>
      <xdr:row>12</xdr:row>
      <xdr:rowOff>104775</xdr:rowOff>
    </xdr:from>
    <xdr:ext cx="219075" cy="160020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229725" y="2543175"/>
          <a:ext cx="219075" cy="1600200"/>
        </a:xfrm>
        <a:prstGeom prst="rect">
          <a:avLst/>
        </a:prstGeom>
        <a:solidFill>
          <a:srgbClr val="FF00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523875</xdr:colOff>
      <xdr:row>12</xdr:row>
      <xdr:rowOff>133350</xdr:rowOff>
    </xdr:from>
    <xdr:ext cx="200025" cy="16002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5260275" y="2989425"/>
          <a:ext cx="171450" cy="1581150"/>
        </a:xfrm>
        <a:prstGeom prst="rect">
          <a:avLst/>
        </a:prstGeom>
        <a:solidFill>
          <a:srgbClr val="FF00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523875</xdr:colOff>
      <xdr:row>12</xdr:row>
      <xdr:rowOff>104775</xdr:rowOff>
    </xdr:from>
    <xdr:ext cx="1914525" cy="15811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4403025" y="3003713"/>
          <a:ext cx="1885950" cy="1552575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361950</xdr:colOff>
      <xdr:row>12</xdr:row>
      <xdr:rowOff>57150</xdr:rowOff>
    </xdr:from>
    <xdr:ext cx="219075" cy="160020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5245988" y="2989425"/>
          <a:ext cx="200025" cy="1581150"/>
        </a:xfrm>
        <a:prstGeom prst="rect">
          <a:avLst/>
        </a:prstGeom>
        <a:solidFill>
          <a:srgbClr val="FF00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285750</xdr:colOff>
      <xdr:row>12</xdr:row>
      <xdr:rowOff>66675</xdr:rowOff>
    </xdr:from>
    <xdr:ext cx="219075" cy="1600200"/>
    <xdr:sp macro="" textlink="">
      <xdr:nvSpPr>
        <xdr:cNvPr id="17" name="Shap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5245988" y="2989425"/>
          <a:ext cx="200025" cy="1581150"/>
        </a:xfrm>
        <a:prstGeom prst="rect">
          <a:avLst/>
        </a:prstGeom>
        <a:solidFill>
          <a:srgbClr val="FF00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12</xdr:row>
      <xdr:rowOff>85725</xdr:rowOff>
    </xdr:from>
    <xdr:ext cx="219075" cy="1600200"/>
    <xdr:sp macro="" textlink="">
      <xdr:nvSpPr>
        <xdr:cNvPr id="18" name="Shape 13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5245988" y="2989425"/>
          <a:ext cx="200025" cy="1581150"/>
        </a:xfrm>
        <a:prstGeom prst="rect">
          <a:avLst/>
        </a:prstGeom>
        <a:solidFill>
          <a:srgbClr val="FF0000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95250</xdr:colOff>
      <xdr:row>27</xdr:row>
      <xdr:rowOff>57150</xdr:rowOff>
    </xdr:from>
    <xdr:ext cx="2438400" cy="590550"/>
    <xdr:pic>
      <xdr:nvPicPr>
        <xdr:cNvPr id="20" name="image9.png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63500</xdr:colOff>
      <xdr:row>24</xdr:row>
      <xdr:rowOff>114300</xdr:rowOff>
    </xdr:from>
    <xdr:ext cx="4267200" cy="542925"/>
    <xdr:pic>
      <xdr:nvPicPr>
        <xdr:cNvPr id="21" name="image8.png">
          <a:extLst>
            <a:ext uri="{FF2B5EF4-FFF2-40B4-BE49-F238E27FC236}">
              <a16:creationId xmlns:a16="http://schemas.microsoft.com/office/drawing/2014/main" id="{3FB9A5A9-51E5-A14F-8170-F6B345818A7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3900" y="4940300"/>
          <a:ext cx="4267200" cy="5429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/>
  </sheetViews>
  <sheetFormatPr baseColWidth="10" defaultColWidth="14.5" defaultRowHeight="15" customHeight="1"/>
  <cols>
    <col min="1" max="1" width="15.33203125" customWidth="1"/>
    <col min="2" max="3" width="13.6640625" customWidth="1"/>
    <col min="4" max="4" width="12.6640625" customWidth="1"/>
    <col min="5" max="5" width="11" customWidth="1"/>
    <col min="6" max="26" width="8.6640625" customWidth="1"/>
  </cols>
  <sheetData>
    <row r="1" spans="1:5" ht="14.25" customHeight="1">
      <c r="D1" s="1"/>
    </row>
    <row r="2" spans="1:5" ht="14.25" customHeight="1">
      <c r="A2" s="2" t="s">
        <v>0</v>
      </c>
      <c r="D2" s="1"/>
    </row>
    <row r="3" spans="1:5" ht="14.25" customHeight="1">
      <c r="B3" s="3" t="s">
        <v>1</v>
      </c>
      <c r="D3" s="1"/>
    </row>
    <row r="4" spans="1:5" ht="14.25" customHeight="1">
      <c r="B4" s="3"/>
      <c r="D4" s="1"/>
    </row>
    <row r="5" spans="1:5" ht="14.25" customHeight="1">
      <c r="A5" s="4" t="s">
        <v>2</v>
      </c>
      <c r="D5" s="1"/>
      <c r="E5" s="5" t="s">
        <v>3</v>
      </c>
    </row>
    <row r="6" spans="1:5" ht="14.25" customHeight="1">
      <c r="D6" s="1"/>
    </row>
    <row r="7" spans="1:5" ht="14.25" customHeight="1">
      <c r="B7" s="6" t="s">
        <v>4</v>
      </c>
      <c r="C7" s="6" t="s">
        <v>5</v>
      </c>
      <c r="D7" s="7" t="s">
        <v>6</v>
      </c>
      <c r="E7" s="6" t="s">
        <v>7</v>
      </c>
    </row>
    <row r="8" spans="1:5" ht="14.25" customHeight="1">
      <c r="B8" s="6" t="s">
        <v>8</v>
      </c>
      <c r="C8" s="6" t="s">
        <v>9</v>
      </c>
      <c r="D8" s="8" t="s">
        <v>10</v>
      </c>
      <c r="E8" s="9" t="s">
        <v>11</v>
      </c>
    </row>
    <row r="9" spans="1:5" ht="14.25" customHeight="1">
      <c r="B9" s="10">
        <v>0</v>
      </c>
      <c r="C9" s="10">
        <v>0</v>
      </c>
      <c r="D9" s="10">
        <v>0</v>
      </c>
      <c r="E9" s="10">
        <v>0</v>
      </c>
    </row>
    <row r="10" spans="1:5" ht="14.25" customHeight="1">
      <c r="B10" s="10">
        <v>14</v>
      </c>
      <c r="C10" s="10">
        <v>26.37</v>
      </c>
      <c r="D10" s="10">
        <f t="shared" ref="D10:D25" si="0">C10/(B10-B9)</f>
        <v>1.8835714285714287</v>
      </c>
      <c r="E10" s="10">
        <f t="shared" ref="E10:E25" si="1">E9+C10</f>
        <v>26.37</v>
      </c>
    </row>
    <row r="11" spans="1:5" ht="14.25" customHeight="1">
      <c r="B11" s="10">
        <v>20</v>
      </c>
      <c r="C11" s="10">
        <v>13.67</v>
      </c>
      <c r="D11" s="10">
        <f t="shared" si="0"/>
        <v>2.2783333333333333</v>
      </c>
      <c r="E11" s="10">
        <f t="shared" si="1"/>
        <v>40.04</v>
      </c>
    </row>
    <row r="12" spans="1:5" ht="14.25" customHeight="1">
      <c r="B12" s="10">
        <v>25</v>
      </c>
      <c r="C12" s="10">
        <v>13.37</v>
      </c>
      <c r="D12" s="10">
        <f t="shared" si="0"/>
        <v>2.6739999999999999</v>
      </c>
      <c r="E12" s="10">
        <f t="shared" si="1"/>
        <v>53.41</v>
      </c>
    </row>
    <row r="13" spans="1:5" ht="14.25" customHeight="1">
      <c r="B13" s="10">
        <v>30</v>
      </c>
      <c r="C13" s="10">
        <v>14.07</v>
      </c>
      <c r="D13" s="10">
        <f t="shared" si="0"/>
        <v>2.8140000000000001</v>
      </c>
      <c r="E13" s="10">
        <f t="shared" si="1"/>
        <v>67.47999999999999</v>
      </c>
    </row>
    <row r="14" spans="1:5" ht="14.25" customHeight="1">
      <c r="B14" s="10">
        <v>35.5</v>
      </c>
      <c r="C14" s="10">
        <v>14.07</v>
      </c>
      <c r="D14" s="10">
        <f t="shared" si="0"/>
        <v>2.5581818181818181</v>
      </c>
      <c r="E14" s="10">
        <f t="shared" si="1"/>
        <v>81.549999999999983</v>
      </c>
    </row>
    <row r="15" spans="1:5" ht="14.25" customHeight="1">
      <c r="B15" s="10">
        <v>40</v>
      </c>
      <c r="C15" s="10">
        <v>13.67</v>
      </c>
      <c r="D15" s="10">
        <f t="shared" si="0"/>
        <v>3.0377777777777779</v>
      </c>
      <c r="E15" s="10">
        <f t="shared" si="1"/>
        <v>95.219999999999985</v>
      </c>
    </row>
    <row r="16" spans="1:5" ht="14.25" customHeight="1">
      <c r="B16" s="10">
        <v>45.5</v>
      </c>
      <c r="C16" s="10">
        <v>15.37</v>
      </c>
      <c r="D16" s="10">
        <f t="shared" si="0"/>
        <v>2.7945454545454544</v>
      </c>
      <c r="E16" s="10">
        <f t="shared" si="1"/>
        <v>110.58999999999999</v>
      </c>
    </row>
    <row r="17" spans="2:5" ht="14.25" customHeight="1">
      <c r="B17" s="10">
        <v>50.2</v>
      </c>
      <c r="C17" s="10">
        <v>13.57</v>
      </c>
      <c r="D17" s="10">
        <f t="shared" si="0"/>
        <v>2.8872340425531897</v>
      </c>
      <c r="E17" s="10">
        <f t="shared" si="1"/>
        <v>124.16</v>
      </c>
    </row>
    <row r="18" spans="2:5" ht="14.25" customHeight="1">
      <c r="B18" s="10">
        <v>55.2</v>
      </c>
      <c r="C18" s="10">
        <v>12.37</v>
      </c>
      <c r="D18" s="10">
        <f t="shared" si="0"/>
        <v>2.4739999999999998</v>
      </c>
      <c r="E18" s="10">
        <f t="shared" si="1"/>
        <v>136.53</v>
      </c>
    </row>
    <row r="19" spans="2:5" ht="14.25" customHeight="1">
      <c r="B19" s="11">
        <v>60.4</v>
      </c>
      <c r="C19" s="11">
        <v>12.67</v>
      </c>
      <c r="D19" s="10">
        <f t="shared" si="0"/>
        <v>2.4365384615384635</v>
      </c>
      <c r="E19" s="10">
        <f t="shared" si="1"/>
        <v>149.19999999999999</v>
      </c>
    </row>
    <row r="20" spans="2:5" ht="14.25" customHeight="1">
      <c r="B20" s="10">
        <v>65</v>
      </c>
      <c r="C20" s="10">
        <v>8.3699999999999992</v>
      </c>
      <c r="D20" s="10">
        <f t="shared" si="0"/>
        <v>1.8195652173913037</v>
      </c>
      <c r="E20" s="10">
        <f t="shared" si="1"/>
        <v>157.57</v>
      </c>
    </row>
    <row r="21" spans="2:5" ht="14.25" customHeight="1">
      <c r="B21" s="10">
        <v>70</v>
      </c>
      <c r="C21" s="10">
        <v>8.3699999999999992</v>
      </c>
      <c r="D21" s="10">
        <f t="shared" si="0"/>
        <v>1.6739999999999999</v>
      </c>
      <c r="E21" s="10">
        <f t="shared" si="1"/>
        <v>165.94</v>
      </c>
    </row>
    <row r="22" spans="2:5" ht="14.25" customHeight="1">
      <c r="B22" s="10">
        <v>75.8</v>
      </c>
      <c r="C22" s="10">
        <v>6.37</v>
      </c>
      <c r="D22" s="10">
        <f t="shared" si="0"/>
        <v>1.0982758620689661</v>
      </c>
      <c r="E22" s="10">
        <f t="shared" si="1"/>
        <v>172.31</v>
      </c>
    </row>
    <row r="23" spans="2:5" ht="14.25" customHeight="1">
      <c r="B23" s="10">
        <v>80.2</v>
      </c>
      <c r="C23" s="10">
        <v>4.87</v>
      </c>
      <c r="D23" s="10">
        <f t="shared" si="0"/>
        <v>1.1068181818181804</v>
      </c>
      <c r="E23" s="10">
        <f t="shared" si="1"/>
        <v>177.18</v>
      </c>
    </row>
    <row r="24" spans="2:5" ht="14.25" customHeight="1">
      <c r="B24" s="10">
        <v>85.5</v>
      </c>
      <c r="C24" s="10">
        <v>2.67</v>
      </c>
      <c r="D24" s="10">
        <f t="shared" si="0"/>
        <v>0.5037735849056606</v>
      </c>
      <c r="E24" s="10">
        <f t="shared" si="1"/>
        <v>179.85</v>
      </c>
    </row>
    <row r="25" spans="2:5" ht="14.25" customHeight="1">
      <c r="B25" s="10">
        <v>100</v>
      </c>
      <c r="C25" s="10">
        <v>3.07</v>
      </c>
      <c r="D25" s="10">
        <f t="shared" si="0"/>
        <v>0.21172413793103448</v>
      </c>
      <c r="E25" s="10">
        <f t="shared" si="1"/>
        <v>182.92</v>
      </c>
    </row>
    <row r="26" spans="2:5" ht="14.25" customHeight="1">
      <c r="C26" s="12">
        <f>SUM(C9:C25)</f>
        <v>182.92</v>
      </c>
      <c r="D26" s="1" t="s">
        <v>9</v>
      </c>
      <c r="E26" s="13">
        <f>C26-C10</f>
        <v>156.54999999999998</v>
      </c>
    </row>
    <row r="27" spans="2:5" ht="14.25" customHeight="1">
      <c r="C27" s="14">
        <f>C26/100</f>
        <v>1.8291999999999999</v>
      </c>
      <c r="D27" s="1" t="s">
        <v>12</v>
      </c>
    </row>
    <row r="28" spans="2:5" ht="14.25" customHeight="1">
      <c r="D28" s="1"/>
    </row>
    <row r="29" spans="2:5" ht="14.25" customHeight="1">
      <c r="D29" s="1"/>
    </row>
    <row r="30" spans="2:5" ht="14.25" customHeight="1">
      <c r="D30" s="1"/>
    </row>
    <row r="31" spans="2:5" ht="14.25" customHeight="1">
      <c r="D31" s="1"/>
    </row>
    <row r="32" spans="2:5" ht="14.25" customHeight="1">
      <c r="D32" s="1"/>
    </row>
    <row r="33" spans="1:5" ht="14.25" customHeight="1">
      <c r="D33" s="1"/>
    </row>
    <row r="34" spans="1:5" ht="14.25" customHeight="1">
      <c r="D34" s="1"/>
    </row>
    <row r="35" spans="1:5" ht="14.25" customHeight="1">
      <c r="A35" s="4" t="s">
        <v>13</v>
      </c>
      <c r="D35" s="1"/>
      <c r="E35" s="5" t="s">
        <v>3</v>
      </c>
    </row>
    <row r="36" spans="1:5" ht="14.25" customHeight="1">
      <c r="D36" s="1"/>
    </row>
    <row r="37" spans="1:5" ht="14.25" customHeight="1">
      <c r="B37" s="6" t="s">
        <v>4</v>
      </c>
      <c r="C37" s="6" t="s">
        <v>5</v>
      </c>
      <c r="D37" s="8" t="s">
        <v>6</v>
      </c>
      <c r="E37" s="9" t="s">
        <v>7</v>
      </c>
    </row>
    <row r="38" spans="1:5" ht="14.25" customHeight="1">
      <c r="B38" s="6" t="s">
        <v>8</v>
      </c>
      <c r="C38" s="6" t="s">
        <v>9</v>
      </c>
      <c r="D38" s="8" t="s">
        <v>10</v>
      </c>
      <c r="E38" s="9" t="s">
        <v>11</v>
      </c>
    </row>
    <row r="39" spans="1:5" ht="14.25" customHeight="1">
      <c r="B39" s="10">
        <v>0</v>
      </c>
      <c r="C39" s="10">
        <v>0</v>
      </c>
      <c r="D39" s="10">
        <v>0</v>
      </c>
      <c r="E39" s="10">
        <v>0</v>
      </c>
    </row>
    <row r="40" spans="1:5" ht="14.25" customHeight="1">
      <c r="B40" s="10">
        <v>42.5</v>
      </c>
      <c r="C40" s="10">
        <v>182</v>
      </c>
      <c r="D40" s="10">
        <f t="shared" ref="D40:D51" si="2">C40/(B40-B39)</f>
        <v>4.2823529411764705</v>
      </c>
      <c r="E40" s="10">
        <f t="shared" ref="E40:E51" si="3">E39+C40</f>
        <v>182</v>
      </c>
    </row>
    <row r="41" spans="1:5" ht="14.25" customHeight="1">
      <c r="B41" s="10">
        <v>47.5</v>
      </c>
      <c r="C41" s="10">
        <v>25.87</v>
      </c>
      <c r="D41" s="10">
        <f t="shared" si="2"/>
        <v>5.1740000000000004</v>
      </c>
      <c r="E41" s="10">
        <f t="shared" si="3"/>
        <v>207.87</v>
      </c>
    </row>
    <row r="42" spans="1:5" ht="14.25" customHeight="1">
      <c r="B42" s="10">
        <v>52</v>
      </c>
      <c r="C42" s="10">
        <v>21.07</v>
      </c>
      <c r="D42" s="10">
        <f t="shared" si="2"/>
        <v>4.6822222222222223</v>
      </c>
      <c r="E42" s="10">
        <f t="shared" si="3"/>
        <v>228.94</v>
      </c>
    </row>
    <row r="43" spans="1:5" ht="14.25" customHeight="1">
      <c r="B43" s="10">
        <v>57</v>
      </c>
      <c r="C43" s="10">
        <v>20.57</v>
      </c>
      <c r="D43" s="10">
        <f t="shared" si="2"/>
        <v>4.1139999999999999</v>
      </c>
      <c r="E43" s="10">
        <f t="shared" si="3"/>
        <v>249.51</v>
      </c>
    </row>
    <row r="44" spans="1:5" ht="14.25" customHeight="1">
      <c r="B44" s="10">
        <v>62.4</v>
      </c>
      <c r="C44" s="10">
        <v>21.07</v>
      </c>
      <c r="D44" s="10">
        <f t="shared" si="2"/>
        <v>3.9018518518518528</v>
      </c>
      <c r="E44" s="10">
        <f t="shared" si="3"/>
        <v>270.58</v>
      </c>
    </row>
    <row r="45" spans="1:5" ht="14.25" customHeight="1">
      <c r="B45" s="10">
        <v>67.400000000000006</v>
      </c>
      <c r="C45" s="10">
        <v>17.87</v>
      </c>
      <c r="D45" s="10">
        <f t="shared" si="2"/>
        <v>3.573999999999995</v>
      </c>
      <c r="E45" s="10">
        <f t="shared" si="3"/>
        <v>288.45</v>
      </c>
    </row>
    <row r="46" spans="1:5" ht="14.25" customHeight="1">
      <c r="B46" s="10">
        <v>72</v>
      </c>
      <c r="C46" s="10">
        <v>14.57</v>
      </c>
      <c r="D46" s="10">
        <f t="shared" si="2"/>
        <v>3.1673913043478299</v>
      </c>
      <c r="E46" s="10">
        <f t="shared" si="3"/>
        <v>303.02</v>
      </c>
    </row>
    <row r="47" spans="1:5" ht="14.25" customHeight="1">
      <c r="B47" s="10">
        <v>77.900000000000006</v>
      </c>
      <c r="C47" s="10">
        <v>11.47</v>
      </c>
      <c r="D47" s="10">
        <f t="shared" si="2"/>
        <v>1.9440677966101678</v>
      </c>
      <c r="E47" s="10">
        <f t="shared" si="3"/>
        <v>314.49</v>
      </c>
    </row>
    <row r="48" spans="1:5" ht="14.25" customHeight="1">
      <c r="B48" s="10">
        <v>81.7</v>
      </c>
      <c r="C48" s="10">
        <v>6.37</v>
      </c>
      <c r="D48" s="10">
        <f t="shared" si="2"/>
        <v>1.6763157894736855</v>
      </c>
      <c r="E48" s="10">
        <f t="shared" si="3"/>
        <v>320.86</v>
      </c>
    </row>
    <row r="49" spans="1:5" ht="14.25" customHeight="1">
      <c r="B49" s="10">
        <v>87.6</v>
      </c>
      <c r="C49" s="10">
        <v>6.87</v>
      </c>
      <c r="D49" s="10">
        <f t="shared" si="2"/>
        <v>1.1644067796610187</v>
      </c>
      <c r="E49" s="10">
        <f t="shared" si="3"/>
        <v>327.73</v>
      </c>
    </row>
    <row r="50" spans="1:5" ht="14.25" customHeight="1">
      <c r="B50" s="10">
        <v>92.8</v>
      </c>
      <c r="C50" s="10">
        <v>3.07</v>
      </c>
      <c r="D50" s="10">
        <f t="shared" si="2"/>
        <v>0.59038461538461506</v>
      </c>
      <c r="E50" s="10">
        <f t="shared" si="3"/>
        <v>330.8</v>
      </c>
    </row>
    <row r="51" spans="1:5" ht="14.25" customHeight="1">
      <c r="B51" s="10">
        <v>100</v>
      </c>
      <c r="C51" s="10">
        <v>1</v>
      </c>
      <c r="D51" s="10">
        <f t="shared" si="2"/>
        <v>0.13888888888888884</v>
      </c>
      <c r="E51" s="10">
        <f t="shared" si="3"/>
        <v>331.8</v>
      </c>
    </row>
    <row r="52" spans="1:5" ht="14.25" customHeight="1">
      <c r="C52" s="13">
        <f>SUM(C40:C51)</f>
        <v>331.8</v>
      </c>
      <c r="D52" s="1" t="s">
        <v>9</v>
      </c>
      <c r="E52" s="15">
        <f>E51-C40</f>
        <v>149.80000000000001</v>
      </c>
    </row>
    <row r="53" spans="1:5" ht="14.25" customHeight="1">
      <c r="C53" s="4">
        <f>C52/100</f>
        <v>3.3180000000000001</v>
      </c>
      <c r="D53" s="1" t="s">
        <v>12</v>
      </c>
    </row>
    <row r="54" spans="1:5" ht="14.25" customHeight="1">
      <c r="D54" s="1"/>
    </row>
    <row r="55" spans="1:5" ht="14.25" customHeight="1">
      <c r="D55" s="1"/>
    </row>
    <row r="56" spans="1:5" ht="14.25" customHeight="1">
      <c r="D56" s="1"/>
    </row>
    <row r="57" spans="1:5" ht="14.25" customHeight="1">
      <c r="D57" s="1"/>
    </row>
    <row r="58" spans="1:5" ht="14.25" customHeight="1">
      <c r="D58" s="1"/>
      <c r="E58" s="5" t="s">
        <v>3</v>
      </c>
    </row>
    <row r="59" spans="1:5" ht="14.25" customHeight="1">
      <c r="D59" s="1"/>
      <c r="E59" s="5"/>
    </row>
    <row r="60" spans="1:5" ht="14.25" customHeight="1">
      <c r="A60" s="4" t="s">
        <v>14</v>
      </c>
      <c r="D60" s="1"/>
      <c r="E60" s="5"/>
    </row>
    <row r="61" spans="1:5" ht="14.25" customHeight="1">
      <c r="D61" s="1"/>
    </row>
    <row r="62" spans="1:5" ht="14.25" customHeight="1">
      <c r="B62" s="6" t="s">
        <v>4</v>
      </c>
      <c r="C62" s="6" t="s">
        <v>5</v>
      </c>
      <c r="D62" s="8" t="s">
        <v>6</v>
      </c>
      <c r="E62" s="9" t="s">
        <v>7</v>
      </c>
    </row>
    <row r="63" spans="1:5" ht="14.25" customHeight="1">
      <c r="B63" s="6" t="s">
        <v>8</v>
      </c>
      <c r="C63" s="6" t="s">
        <v>9</v>
      </c>
      <c r="D63" s="8" t="s">
        <v>10</v>
      </c>
      <c r="E63" s="9" t="s">
        <v>11</v>
      </c>
    </row>
    <row r="64" spans="1:5" ht="14.25" customHeight="1">
      <c r="B64" s="10">
        <v>0</v>
      </c>
      <c r="C64" s="10">
        <v>0</v>
      </c>
      <c r="D64" s="16">
        <v>0</v>
      </c>
      <c r="E64" s="16">
        <v>0</v>
      </c>
    </row>
    <row r="65" spans="1:5" ht="14.25" customHeight="1">
      <c r="B65" s="10">
        <v>40</v>
      </c>
      <c r="C65" s="12">
        <v>152</v>
      </c>
      <c r="D65" s="16">
        <f t="shared" ref="D65:D75" si="4">C65/(B65-B64)</f>
        <v>3.8</v>
      </c>
      <c r="E65" s="16">
        <f t="shared" ref="E65:E75" si="5">E64+C65</f>
        <v>152</v>
      </c>
    </row>
    <row r="66" spans="1:5" ht="14.25" customHeight="1">
      <c r="B66" s="10">
        <v>44.6</v>
      </c>
      <c r="C66" s="10">
        <v>24.97</v>
      </c>
      <c r="D66" s="16">
        <f t="shared" si="4"/>
        <v>5.4282608695652153</v>
      </c>
      <c r="E66" s="16">
        <f t="shared" si="5"/>
        <v>176.97</v>
      </c>
    </row>
    <row r="67" spans="1:5" ht="14.25" customHeight="1">
      <c r="B67" s="10">
        <v>49</v>
      </c>
      <c r="C67" s="10">
        <v>20.77</v>
      </c>
      <c r="D67" s="16">
        <f t="shared" si="4"/>
        <v>4.7204545454545466</v>
      </c>
      <c r="E67" s="16">
        <f t="shared" si="5"/>
        <v>197.74</v>
      </c>
    </row>
    <row r="68" spans="1:5" ht="14.25" customHeight="1">
      <c r="B68" s="10">
        <v>54</v>
      </c>
      <c r="C68" s="10">
        <v>20.47</v>
      </c>
      <c r="D68" s="16">
        <f t="shared" si="4"/>
        <v>4.0939999999999994</v>
      </c>
      <c r="E68" s="16">
        <f t="shared" si="5"/>
        <v>218.21</v>
      </c>
    </row>
    <row r="69" spans="1:5" ht="14.25" customHeight="1">
      <c r="B69" s="10">
        <v>59.3</v>
      </c>
      <c r="C69" s="10">
        <v>18.87</v>
      </c>
      <c r="D69" s="16">
        <f t="shared" si="4"/>
        <v>3.5603773584905682</v>
      </c>
      <c r="E69" s="16">
        <f t="shared" si="5"/>
        <v>237.08</v>
      </c>
    </row>
    <row r="70" spans="1:5" ht="14.25" customHeight="1">
      <c r="B70" s="10">
        <v>64.8</v>
      </c>
      <c r="C70" s="10">
        <v>18.87</v>
      </c>
      <c r="D70" s="16">
        <f t="shared" si="4"/>
        <v>3.4309090909090911</v>
      </c>
      <c r="E70" s="16">
        <f t="shared" si="5"/>
        <v>255.95000000000002</v>
      </c>
    </row>
    <row r="71" spans="1:5" ht="14.25" customHeight="1">
      <c r="B71" s="10">
        <v>69.5</v>
      </c>
      <c r="C71" s="10">
        <v>13.27</v>
      </c>
      <c r="D71" s="16">
        <f t="shared" si="4"/>
        <v>2.8234042553191472</v>
      </c>
      <c r="E71" s="16">
        <f t="shared" si="5"/>
        <v>269.22000000000003</v>
      </c>
    </row>
    <row r="72" spans="1:5" ht="14.25" customHeight="1">
      <c r="B72" s="10">
        <v>74</v>
      </c>
      <c r="C72" s="10">
        <v>10.57</v>
      </c>
      <c r="D72" s="16">
        <f t="shared" si="4"/>
        <v>2.3488888888888888</v>
      </c>
      <c r="E72" s="16">
        <f t="shared" si="5"/>
        <v>279.79000000000002</v>
      </c>
    </row>
    <row r="73" spans="1:5" ht="14.25" customHeight="1">
      <c r="B73" s="10">
        <v>79.599999999999994</v>
      </c>
      <c r="C73" s="10">
        <v>10.57</v>
      </c>
      <c r="D73" s="16">
        <f t="shared" si="4"/>
        <v>1.887500000000002</v>
      </c>
      <c r="E73" s="16">
        <f t="shared" si="5"/>
        <v>290.36</v>
      </c>
    </row>
    <row r="74" spans="1:5" ht="14.25" customHeight="1">
      <c r="B74" s="10">
        <v>84.9</v>
      </c>
      <c r="C74" s="10">
        <v>5.47</v>
      </c>
      <c r="D74" s="16">
        <f t="shared" si="4"/>
        <v>1.0320754716981109</v>
      </c>
      <c r="E74" s="16">
        <f t="shared" si="5"/>
        <v>295.83000000000004</v>
      </c>
    </row>
    <row r="75" spans="1:5" ht="14.25" customHeight="1">
      <c r="B75" s="10">
        <v>100</v>
      </c>
      <c r="C75" s="10">
        <v>4.87</v>
      </c>
      <c r="D75" s="16">
        <f t="shared" si="4"/>
        <v>0.32251655629139087</v>
      </c>
      <c r="E75" s="16">
        <f t="shared" si="5"/>
        <v>300.70000000000005</v>
      </c>
    </row>
    <row r="76" spans="1:5" ht="14.25" customHeight="1">
      <c r="C76" s="17">
        <f>SUM(C64:C75)</f>
        <v>300.70000000000005</v>
      </c>
      <c r="D76" s="1" t="s">
        <v>9</v>
      </c>
      <c r="E76" s="15">
        <f>E75-C65</f>
        <v>148.70000000000005</v>
      </c>
    </row>
    <row r="77" spans="1:5" ht="14.25" customHeight="1">
      <c r="C77" s="4">
        <f>C76/100</f>
        <v>3.0070000000000006</v>
      </c>
      <c r="D77" s="1" t="s">
        <v>12</v>
      </c>
    </row>
    <row r="78" spans="1:5" ht="14.25" customHeight="1">
      <c r="C78" s="14"/>
      <c r="D78" s="1"/>
    </row>
    <row r="79" spans="1:5" ht="14.25" customHeight="1">
      <c r="A79" s="4" t="s">
        <v>15</v>
      </c>
      <c r="B79" s="13">
        <f>C76+C52+C26</f>
        <v>815.42</v>
      </c>
      <c r="C79" s="13">
        <f t="shared" ref="C79:C83" si="6">B79/100</f>
        <v>8.1541999999999994</v>
      </c>
      <c r="D79" s="1" t="s">
        <v>12</v>
      </c>
    </row>
    <row r="80" spans="1:5" ht="14.25" customHeight="1">
      <c r="A80" s="4" t="s">
        <v>16</v>
      </c>
      <c r="B80" s="13">
        <f>C26-C10</f>
        <v>156.54999999999998</v>
      </c>
      <c r="C80" s="13">
        <f t="shared" si="6"/>
        <v>1.5654999999999999</v>
      </c>
      <c r="D80" s="1" t="s">
        <v>17</v>
      </c>
    </row>
    <row r="81" spans="1:4" ht="14.25" customHeight="1">
      <c r="B81" s="13">
        <f>C76-C65</f>
        <v>148.70000000000005</v>
      </c>
      <c r="C81" s="13">
        <f t="shared" si="6"/>
        <v>1.4870000000000005</v>
      </c>
      <c r="D81" s="1" t="s">
        <v>18</v>
      </c>
    </row>
    <row r="82" spans="1:4" ht="14.25" customHeight="1">
      <c r="B82" s="13">
        <f>C52-C40</f>
        <v>149.80000000000001</v>
      </c>
      <c r="C82" s="13">
        <f t="shared" si="6"/>
        <v>1.4980000000000002</v>
      </c>
      <c r="D82" s="1" t="s">
        <v>19</v>
      </c>
    </row>
    <row r="83" spans="1:4" ht="14.25" customHeight="1">
      <c r="A83" s="4" t="s">
        <v>20</v>
      </c>
      <c r="B83" s="13">
        <f>B79-B81-C52</f>
        <v>334.9199999999999</v>
      </c>
      <c r="C83" s="13">
        <f t="shared" si="6"/>
        <v>3.3491999999999988</v>
      </c>
      <c r="D83" s="1"/>
    </row>
    <row r="84" spans="1:4" ht="14.25" customHeight="1">
      <c r="B84" s="13"/>
      <c r="C84" s="13"/>
      <c r="D84" s="1"/>
    </row>
    <row r="85" spans="1:4" ht="14.25" customHeight="1">
      <c r="A85" s="4" t="s">
        <v>21</v>
      </c>
      <c r="B85" s="13">
        <f>B79-E51</f>
        <v>483.61999999999995</v>
      </c>
      <c r="C85" s="13">
        <f>B85/100</f>
        <v>4.8361999999999998</v>
      </c>
      <c r="D85" s="1"/>
    </row>
    <row r="86" spans="1:4" ht="14.25" customHeight="1">
      <c r="D86" s="1"/>
    </row>
    <row r="87" spans="1:4" ht="14.25" customHeight="1">
      <c r="D87" s="1"/>
    </row>
    <row r="88" spans="1:4" ht="14.25" customHeight="1">
      <c r="D88" s="1"/>
    </row>
    <row r="89" spans="1:4" ht="14.25" customHeight="1">
      <c r="D89" s="1"/>
    </row>
    <row r="90" spans="1:4" ht="14.25" customHeight="1">
      <c r="D90" s="1"/>
    </row>
    <row r="91" spans="1:4" ht="14.25" customHeight="1">
      <c r="D91" s="1"/>
    </row>
    <row r="92" spans="1:4" ht="14.25" customHeight="1">
      <c r="D92" s="1"/>
    </row>
    <row r="93" spans="1:4" ht="14.25" customHeight="1">
      <c r="D93" s="1"/>
    </row>
    <row r="94" spans="1:4" ht="14.25" customHeight="1">
      <c r="D94" s="1"/>
    </row>
    <row r="95" spans="1:4" ht="14.25" customHeight="1">
      <c r="D95" s="1"/>
    </row>
    <row r="96" spans="1:4" ht="14.25" customHeight="1">
      <c r="D96" s="1"/>
    </row>
    <row r="97" spans="3:7" ht="14.25" customHeight="1">
      <c r="D97" s="1"/>
    </row>
    <row r="98" spans="3:7" ht="14.25" customHeight="1">
      <c r="D98" s="1"/>
      <c r="G98" s="18">
        <f>(307.57+326.7+168.75)-(326.7+168.75+158)</f>
        <v>149.56999999999994</v>
      </c>
    </row>
    <row r="99" spans="3:7" ht="14.25" customHeight="1">
      <c r="C99" s="18">
        <f>(307.57+326.7+168.75)-(326.7)-(149.57)</f>
        <v>326.75</v>
      </c>
      <c r="D99" s="1"/>
    </row>
    <row r="100" spans="3:7" ht="14.25" customHeight="1">
      <c r="D100" s="1"/>
    </row>
    <row r="101" spans="3:7" ht="14.25" customHeight="1">
      <c r="C101" s="18" t="s">
        <v>22</v>
      </c>
      <c r="D101" s="1"/>
    </row>
    <row r="102" spans="3:7" ht="14.25" customHeight="1">
      <c r="D102" s="1"/>
    </row>
    <row r="103" spans="3:7" ht="14.25" customHeight="1">
      <c r="D103" s="1"/>
    </row>
    <row r="104" spans="3:7" ht="14.25" customHeight="1">
      <c r="C104" s="4">
        <f>307.57+168.75-149.57</f>
        <v>326.75</v>
      </c>
      <c r="D104" s="1"/>
    </row>
    <row r="105" spans="3:7" ht="14.25" customHeight="1">
      <c r="D105" s="1"/>
    </row>
    <row r="106" spans="3:7" ht="14.25" customHeight="1">
      <c r="D106" s="1"/>
    </row>
    <row r="107" spans="3:7" ht="14.25" customHeight="1">
      <c r="D107" s="1"/>
    </row>
    <row r="108" spans="3:7" ht="14.25" customHeight="1">
      <c r="D108" s="1"/>
    </row>
    <row r="109" spans="3:7" ht="14.25" customHeight="1">
      <c r="D109" s="1"/>
    </row>
    <row r="110" spans="3:7" ht="14.25" customHeight="1">
      <c r="D110" s="1"/>
    </row>
    <row r="111" spans="3:7" ht="14.25" customHeight="1">
      <c r="D111" s="1"/>
    </row>
    <row r="112" spans="3:7" ht="14.25" customHeight="1">
      <c r="D112" s="1"/>
    </row>
    <row r="113" spans="4:4" ht="14.25" customHeight="1">
      <c r="D113" s="1"/>
    </row>
    <row r="114" spans="4:4" ht="14.25" customHeight="1">
      <c r="D114" s="1"/>
    </row>
    <row r="115" spans="4:4" ht="14.25" customHeight="1">
      <c r="D115" s="1"/>
    </row>
    <row r="116" spans="4:4" ht="14.25" customHeight="1">
      <c r="D116" s="1"/>
    </row>
    <row r="117" spans="4:4" ht="14.25" customHeight="1">
      <c r="D117" s="1"/>
    </row>
    <row r="118" spans="4:4" ht="14.25" customHeight="1">
      <c r="D118" s="1"/>
    </row>
    <row r="119" spans="4:4" ht="14.25" customHeight="1">
      <c r="D119" s="1"/>
    </row>
    <row r="120" spans="4:4" ht="14.25" customHeight="1">
      <c r="D120" s="1"/>
    </row>
    <row r="121" spans="4:4" ht="14.25" customHeight="1">
      <c r="D121" s="1"/>
    </row>
    <row r="122" spans="4:4" ht="14.25" customHeight="1">
      <c r="D122" s="1"/>
    </row>
    <row r="123" spans="4:4" ht="14.25" customHeight="1">
      <c r="D123" s="1"/>
    </row>
    <row r="124" spans="4:4" ht="14.25" customHeight="1">
      <c r="D124" s="1"/>
    </row>
    <row r="125" spans="4:4" ht="14.25" customHeight="1">
      <c r="D125" s="1"/>
    </row>
    <row r="126" spans="4:4" ht="14.25" customHeight="1">
      <c r="D126" s="1"/>
    </row>
    <row r="127" spans="4:4" ht="14.25" customHeight="1">
      <c r="D127" s="1"/>
    </row>
    <row r="128" spans="4:4" ht="14.25" customHeight="1">
      <c r="D128" s="1"/>
    </row>
    <row r="129" spans="4:4" ht="14.25" customHeight="1">
      <c r="D129" s="1"/>
    </row>
    <row r="130" spans="4:4" ht="14.25" customHeight="1">
      <c r="D130" s="1"/>
    </row>
    <row r="131" spans="4:4" ht="14.25" customHeight="1">
      <c r="D131" s="1"/>
    </row>
    <row r="132" spans="4:4" ht="14.25" customHeight="1">
      <c r="D132" s="1"/>
    </row>
    <row r="133" spans="4:4" ht="14.25" customHeight="1">
      <c r="D133" s="1"/>
    </row>
    <row r="134" spans="4:4" ht="14.25" customHeight="1">
      <c r="D134" s="1"/>
    </row>
    <row r="135" spans="4:4" ht="14.25" customHeight="1">
      <c r="D135" s="1"/>
    </row>
    <row r="136" spans="4:4" ht="14.25" customHeight="1">
      <c r="D136" s="1"/>
    </row>
    <row r="137" spans="4:4" ht="14.25" customHeight="1">
      <c r="D137" s="1"/>
    </row>
    <row r="138" spans="4:4" ht="14.25" customHeight="1">
      <c r="D138" s="1"/>
    </row>
    <row r="139" spans="4:4" ht="14.25" customHeight="1">
      <c r="D139" s="1"/>
    </row>
    <row r="140" spans="4:4" ht="14.25" customHeight="1">
      <c r="D140" s="1"/>
    </row>
    <row r="141" spans="4:4" ht="14.25" customHeight="1">
      <c r="D141" s="1"/>
    </row>
    <row r="142" spans="4:4" ht="14.25" customHeight="1">
      <c r="D142" s="1"/>
    </row>
    <row r="143" spans="4:4" ht="14.25" customHeight="1">
      <c r="D143" s="1"/>
    </row>
    <row r="144" spans="4:4" ht="14.25" customHeight="1">
      <c r="D144" s="1"/>
    </row>
    <row r="145" spans="4:4" ht="14.25" customHeight="1">
      <c r="D145" s="1"/>
    </row>
    <row r="146" spans="4:4" ht="14.25" customHeight="1">
      <c r="D146" s="1"/>
    </row>
    <row r="147" spans="4:4" ht="14.25" customHeight="1">
      <c r="D147" s="1"/>
    </row>
    <row r="148" spans="4:4" ht="14.25" customHeight="1">
      <c r="D148" s="1"/>
    </row>
    <row r="149" spans="4:4" ht="14.25" customHeight="1">
      <c r="D149" s="1"/>
    </row>
    <row r="150" spans="4:4" ht="14.25" customHeight="1">
      <c r="D150" s="1"/>
    </row>
    <row r="151" spans="4:4" ht="14.25" customHeight="1">
      <c r="D151" s="1"/>
    </row>
    <row r="152" spans="4:4" ht="14.25" customHeight="1">
      <c r="D152" s="1"/>
    </row>
    <row r="153" spans="4:4" ht="14.25" customHeight="1">
      <c r="D153" s="1"/>
    </row>
    <row r="154" spans="4:4" ht="14.25" customHeight="1">
      <c r="D154" s="1"/>
    </row>
    <row r="155" spans="4:4" ht="14.25" customHeight="1">
      <c r="D155" s="1"/>
    </row>
    <row r="156" spans="4:4" ht="14.25" customHeight="1">
      <c r="D156" s="1"/>
    </row>
    <row r="157" spans="4:4" ht="14.25" customHeight="1">
      <c r="D157" s="1"/>
    </row>
    <row r="158" spans="4:4" ht="14.25" customHeight="1">
      <c r="D158" s="1"/>
    </row>
    <row r="159" spans="4:4" ht="14.25" customHeight="1">
      <c r="D159" s="1"/>
    </row>
    <row r="160" spans="4:4" ht="14.25" customHeight="1">
      <c r="D160" s="1"/>
    </row>
    <row r="161" spans="4:4" ht="14.25" customHeight="1">
      <c r="D161" s="1"/>
    </row>
    <row r="162" spans="4:4" ht="14.25" customHeight="1">
      <c r="D162" s="1"/>
    </row>
    <row r="163" spans="4:4" ht="14.25" customHeight="1">
      <c r="D163" s="1"/>
    </row>
    <row r="164" spans="4:4" ht="14.25" customHeight="1">
      <c r="D164" s="1"/>
    </row>
    <row r="165" spans="4:4" ht="14.25" customHeight="1">
      <c r="D165" s="1"/>
    </row>
    <row r="166" spans="4:4" ht="14.25" customHeight="1">
      <c r="D166" s="1"/>
    </row>
    <row r="167" spans="4:4" ht="14.25" customHeight="1">
      <c r="D167" s="1"/>
    </row>
    <row r="168" spans="4:4" ht="14.25" customHeight="1">
      <c r="D168" s="1"/>
    </row>
    <row r="169" spans="4:4" ht="14.25" customHeight="1">
      <c r="D169" s="1"/>
    </row>
    <row r="170" spans="4:4" ht="14.25" customHeight="1">
      <c r="D170" s="1"/>
    </row>
    <row r="171" spans="4:4" ht="14.25" customHeight="1">
      <c r="D171" s="1"/>
    </row>
    <row r="172" spans="4:4" ht="14.25" customHeight="1">
      <c r="D172" s="1"/>
    </row>
    <row r="173" spans="4:4" ht="14.25" customHeight="1">
      <c r="D173" s="1"/>
    </row>
    <row r="174" spans="4:4" ht="14.25" customHeight="1">
      <c r="D174" s="1"/>
    </row>
    <row r="175" spans="4:4" ht="14.25" customHeight="1">
      <c r="D175" s="1"/>
    </row>
    <row r="176" spans="4:4" ht="14.25" customHeight="1">
      <c r="D176" s="1"/>
    </row>
    <row r="177" spans="4:4" ht="14.25" customHeight="1">
      <c r="D177" s="1"/>
    </row>
    <row r="178" spans="4:4" ht="14.25" customHeight="1">
      <c r="D178" s="1"/>
    </row>
    <row r="179" spans="4:4" ht="14.25" customHeight="1">
      <c r="D179" s="1"/>
    </row>
    <row r="180" spans="4:4" ht="14.25" customHeight="1">
      <c r="D180" s="1"/>
    </row>
    <row r="181" spans="4:4" ht="14.25" customHeight="1">
      <c r="D181" s="1"/>
    </row>
    <row r="182" spans="4:4" ht="14.25" customHeight="1">
      <c r="D182" s="1"/>
    </row>
    <row r="183" spans="4:4" ht="14.25" customHeight="1">
      <c r="D183" s="1"/>
    </row>
    <row r="184" spans="4:4" ht="14.25" customHeight="1">
      <c r="D184" s="1"/>
    </row>
    <row r="185" spans="4:4" ht="14.25" customHeight="1">
      <c r="D185" s="1"/>
    </row>
    <row r="186" spans="4:4" ht="14.25" customHeight="1">
      <c r="D186" s="1"/>
    </row>
    <row r="187" spans="4:4" ht="14.25" customHeight="1">
      <c r="D187" s="1"/>
    </row>
    <row r="188" spans="4:4" ht="14.25" customHeight="1">
      <c r="D188" s="1"/>
    </row>
    <row r="189" spans="4:4" ht="14.25" customHeight="1">
      <c r="D189" s="1"/>
    </row>
    <row r="190" spans="4:4" ht="14.25" customHeight="1">
      <c r="D190" s="1"/>
    </row>
    <row r="191" spans="4:4" ht="14.25" customHeight="1">
      <c r="D191" s="1"/>
    </row>
    <row r="192" spans="4:4" ht="14.25" customHeight="1">
      <c r="D192" s="1"/>
    </row>
    <row r="193" spans="4:4" ht="14.25" customHeight="1">
      <c r="D193" s="1"/>
    </row>
    <row r="194" spans="4:4" ht="14.25" customHeight="1">
      <c r="D194" s="1"/>
    </row>
    <row r="195" spans="4:4" ht="14.25" customHeight="1">
      <c r="D195" s="1"/>
    </row>
    <row r="196" spans="4:4" ht="14.25" customHeight="1">
      <c r="D196" s="1"/>
    </row>
    <row r="197" spans="4:4" ht="14.25" customHeight="1">
      <c r="D197" s="1"/>
    </row>
    <row r="198" spans="4:4" ht="14.25" customHeight="1">
      <c r="D198" s="1"/>
    </row>
    <row r="199" spans="4:4" ht="14.25" customHeight="1">
      <c r="D199" s="1"/>
    </row>
    <row r="200" spans="4:4" ht="14.25" customHeight="1">
      <c r="D200" s="1"/>
    </row>
    <row r="201" spans="4:4" ht="14.25" customHeight="1">
      <c r="D201" s="1"/>
    </row>
    <row r="202" spans="4:4" ht="14.25" customHeight="1">
      <c r="D202" s="1"/>
    </row>
    <row r="203" spans="4:4" ht="14.25" customHeight="1">
      <c r="D203" s="1"/>
    </row>
    <row r="204" spans="4:4" ht="14.25" customHeight="1">
      <c r="D204" s="1"/>
    </row>
    <row r="205" spans="4:4" ht="14.25" customHeight="1">
      <c r="D205" s="1"/>
    </row>
    <row r="206" spans="4:4" ht="14.25" customHeight="1">
      <c r="D206" s="1"/>
    </row>
    <row r="207" spans="4:4" ht="14.25" customHeight="1">
      <c r="D207" s="1"/>
    </row>
    <row r="208" spans="4:4" ht="14.25" customHeight="1">
      <c r="D208" s="1"/>
    </row>
    <row r="209" spans="4:4" ht="14.25" customHeight="1">
      <c r="D209" s="1"/>
    </row>
    <row r="210" spans="4:4" ht="14.25" customHeight="1">
      <c r="D210" s="1"/>
    </row>
    <row r="211" spans="4:4" ht="14.25" customHeight="1">
      <c r="D211" s="1"/>
    </row>
    <row r="212" spans="4:4" ht="14.25" customHeight="1">
      <c r="D212" s="1"/>
    </row>
    <row r="213" spans="4:4" ht="14.25" customHeight="1">
      <c r="D213" s="1"/>
    </row>
    <row r="214" spans="4:4" ht="14.25" customHeight="1">
      <c r="D214" s="1"/>
    </row>
    <row r="215" spans="4:4" ht="14.25" customHeight="1">
      <c r="D215" s="1"/>
    </row>
    <row r="216" spans="4:4" ht="14.25" customHeight="1">
      <c r="D216" s="1"/>
    </row>
    <row r="217" spans="4:4" ht="14.25" customHeight="1">
      <c r="D217" s="1"/>
    </row>
    <row r="218" spans="4:4" ht="14.25" customHeight="1">
      <c r="D218" s="1"/>
    </row>
    <row r="219" spans="4:4" ht="14.25" customHeight="1">
      <c r="D219" s="1"/>
    </row>
    <row r="220" spans="4:4" ht="14.25" customHeight="1">
      <c r="D220" s="1"/>
    </row>
    <row r="221" spans="4:4" ht="14.25" customHeight="1">
      <c r="D221" s="1"/>
    </row>
    <row r="222" spans="4:4" ht="14.25" customHeight="1">
      <c r="D222" s="1"/>
    </row>
    <row r="223" spans="4:4" ht="14.25" customHeight="1">
      <c r="D223" s="1"/>
    </row>
    <row r="224" spans="4:4" ht="14.25" customHeight="1">
      <c r="D224" s="1"/>
    </row>
    <row r="225" spans="4:4" ht="14.25" customHeight="1">
      <c r="D225" s="1"/>
    </row>
    <row r="226" spans="4:4" ht="14.25" customHeight="1">
      <c r="D226" s="1"/>
    </row>
    <row r="227" spans="4:4" ht="14.25" customHeight="1">
      <c r="D227" s="1"/>
    </row>
    <row r="228" spans="4:4" ht="14.25" customHeight="1">
      <c r="D228" s="1"/>
    </row>
    <row r="229" spans="4:4" ht="14.25" customHeight="1">
      <c r="D229" s="1"/>
    </row>
    <row r="230" spans="4:4" ht="14.25" customHeight="1">
      <c r="D230" s="1"/>
    </row>
    <row r="231" spans="4:4" ht="14.25" customHeight="1">
      <c r="D231" s="1"/>
    </row>
    <row r="232" spans="4:4" ht="14.25" customHeight="1">
      <c r="D232" s="1"/>
    </row>
    <row r="233" spans="4:4" ht="14.25" customHeight="1">
      <c r="D233" s="1"/>
    </row>
    <row r="234" spans="4:4" ht="14.25" customHeight="1">
      <c r="D234" s="1"/>
    </row>
    <row r="235" spans="4:4" ht="14.25" customHeight="1">
      <c r="D235" s="1"/>
    </row>
    <row r="236" spans="4:4" ht="14.25" customHeight="1">
      <c r="D236" s="1"/>
    </row>
    <row r="237" spans="4:4" ht="14.25" customHeight="1">
      <c r="D237" s="1"/>
    </row>
    <row r="238" spans="4:4" ht="14.25" customHeight="1">
      <c r="D238" s="1"/>
    </row>
    <row r="239" spans="4:4" ht="14.25" customHeight="1">
      <c r="D239" s="1"/>
    </row>
    <row r="240" spans="4:4" ht="14.25" customHeight="1">
      <c r="D240" s="1"/>
    </row>
    <row r="241" spans="4:4" ht="14.25" customHeight="1">
      <c r="D241" s="1"/>
    </row>
    <row r="242" spans="4:4" ht="14.25" customHeight="1">
      <c r="D242" s="1"/>
    </row>
    <row r="243" spans="4:4" ht="14.25" customHeight="1">
      <c r="D243" s="1"/>
    </row>
    <row r="244" spans="4:4" ht="14.25" customHeight="1">
      <c r="D244" s="1"/>
    </row>
    <row r="245" spans="4:4" ht="14.25" customHeight="1">
      <c r="D245" s="1"/>
    </row>
    <row r="246" spans="4:4" ht="14.25" customHeight="1">
      <c r="D246" s="1"/>
    </row>
    <row r="247" spans="4:4" ht="14.25" customHeight="1">
      <c r="D247" s="1"/>
    </row>
    <row r="248" spans="4:4" ht="14.25" customHeight="1">
      <c r="D248" s="1"/>
    </row>
    <row r="249" spans="4:4" ht="14.25" customHeight="1">
      <c r="D249" s="1"/>
    </row>
    <row r="250" spans="4:4" ht="14.25" customHeight="1">
      <c r="D250" s="1"/>
    </row>
    <row r="251" spans="4:4" ht="14.25" customHeight="1">
      <c r="D251" s="1"/>
    </row>
    <row r="252" spans="4:4" ht="14.25" customHeight="1">
      <c r="D252" s="1"/>
    </row>
    <row r="253" spans="4:4" ht="14.25" customHeight="1">
      <c r="D253" s="1"/>
    </row>
    <row r="254" spans="4:4" ht="14.25" customHeight="1">
      <c r="D254" s="1"/>
    </row>
    <row r="255" spans="4:4" ht="14.25" customHeight="1">
      <c r="D255" s="1"/>
    </row>
    <row r="256" spans="4:4" ht="14.25" customHeight="1">
      <c r="D256" s="1"/>
    </row>
    <row r="257" spans="4:4" ht="14.25" customHeight="1">
      <c r="D257" s="1"/>
    </row>
    <row r="258" spans="4:4" ht="14.25" customHeight="1">
      <c r="D258" s="1"/>
    </row>
    <row r="259" spans="4:4" ht="14.25" customHeight="1">
      <c r="D259" s="1"/>
    </row>
    <row r="260" spans="4:4" ht="14.25" customHeight="1">
      <c r="D260" s="1"/>
    </row>
    <row r="261" spans="4:4" ht="14.25" customHeight="1">
      <c r="D261" s="1"/>
    </row>
    <row r="262" spans="4:4" ht="14.25" customHeight="1">
      <c r="D262" s="1"/>
    </row>
    <row r="263" spans="4:4" ht="14.25" customHeight="1">
      <c r="D263" s="1"/>
    </row>
    <row r="264" spans="4:4" ht="14.25" customHeight="1">
      <c r="D264" s="1"/>
    </row>
    <row r="265" spans="4:4" ht="14.25" customHeight="1">
      <c r="D265" s="1"/>
    </row>
    <row r="266" spans="4:4" ht="14.25" customHeight="1">
      <c r="D266" s="1"/>
    </row>
    <row r="267" spans="4:4" ht="14.25" customHeight="1">
      <c r="D267" s="1"/>
    </row>
    <row r="268" spans="4:4" ht="14.25" customHeight="1">
      <c r="D268" s="1"/>
    </row>
    <row r="269" spans="4:4" ht="14.25" customHeight="1">
      <c r="D269" s="1"/>
    </row>
    <row r="270" spans="4:4" ht="14.25" customHeight="1">
      <c r="D270" s="1"/>
    </row>
    <row r="271" spans="4:4" ht="14.25" customHeight="1">
      <c r="D271" s="1"/>
    </row>
    <row r="272" spans="4:4" ht="14.25" customHeight="1">
      <c r="D272" s="1"/>
    </row>
    <row r="273" spans="4:4" ht="14.25" customHeight="1">
      <c r="D273" s="1"/>
    </row>
    <row r="274" spans="4:4" ht="14.25" customHeight="1">
      <c r="D274" s="1"/>
    </row>
    <row r="275" spans="4:4" ht="14.25" customHeight="1">
      <c r="D275" s="1"/>
    </row>
    <row r="276" spans="4:4" ht="14.25" customHeight="1">
      <c r="D276" s="1"/>
    </row>
    <row r="277" spans="4:4" ht="14.25" customHeight="1">
      <c r="D277" s="1"/>
    </row>
    <row r="278" spans="4:4" ht="14.25" customHeight="1">
      <c r="D278" s="1"/>
    </row>
    <row r="279" spans="4:4" ht="14.25" customHeight="1">
      <c r="D279" s="1"/>
    </row>
    <row r="280" spans="4:4" ht="14.25" customHeight="1">
      <c r="D280" s="1"/>
    </row>
    <row r="281" spans="4:4" ht="14.25" customHeight="1">
      <c r="D281" s="1"/>
    </row>
    <row r="282" spans="4:4" ht="14.25" customHeight="1">
      <c r="D282" s="1"/>
    </row>
    <row r="283" spans="4:4" ht="14.25" customHeight="1">
      <c r="D283" s="1"/>
    </row>
    <row r="284" spans="4:4" ht="14.25" customHeight="1">
      <c r="D284" s="1"/>
    </row>
    <row r="285" spans="4:4" ht="14.25" customHeight="1">
      <c r="D285" s="1"/>
    </row>
    <row r="286" spans="4:4" ht="14.25" customHeight="1">
      <c r="D286" s="1"/>
    </row>
    <row r="287" spans="4:4" ht="14.25" customHeight="1">
      <c r="D287" s="1"/>
    </row>
    <row r="288" spans="4:4" ht="14.25" customHeight="1">
      <c r="D288" s="1"/>
    </row>
    <row r="289" spans="4:4" ht="14.25" customHeight="1">
      <c r="D289" s="1"/>
    </row>
    <row r="290" spans="4:4" ht="14.25" customHeight="1">
      <c r="D290" s="1"/>
    </row>
    <row r="291" spans="4:4" ht="14.25" customHeight="1">
      <c r="D291" s="1"/>
    </row>
    <row r="292" spans="4:4" ht="14.25" customHeight="1">
      <c r="D292" s="1"/>
    </row>
    <row r="293" spans="4:4" ht="14.25" customHeight="1">
      <c r="D293" s="1"/>
    </row>
    <row r="294" spans="4:4" ht="14.25" customHeight="1">
      <c r="D294" s="1"/>
    </row>
    <row r="295" spans="4:4" ht="14.25" customHeight="1">
      <c r="D295" s="1"/>
    </row>
    <row r="296" spans="4:4" ht="14.25" customHeight="1">
      <c r="D296" s="1"/>
    </row>
    <row r="297" spans="4:4" ht="14.25" customHeight="1">
      <c r="D297" s="1"/>
    </row>
    <row r="298" spans="4:4" ht="14.25" customHeight="1">
      <c r="D298" s="1"/>
    </row>
    <row r="299" spans="4:4" ht="14.25" customHeight="1">
      <c r="D299" s="1"/>
    </row>
    <row r="300" spans="4:4" ht="14.25" customHeight="1">
      <c r="D300" s="1"/>
    </row>
    <row r="301" spans="4:4" ht="14.25" customHeight="1">
      <c r="D301" s="1"/>
    </row>
    <row r="302" spans="4:4" ht="14.25" customHeight="1">
      <c r="D302" s="1"/>
    </row>
    <row r="303" spans="4:4" ht="14.25" customHeight="1">
      <c r="D303" s="1"/>
    </row>
    <row r="304" spans="4:4" ht="14.25" customHeight="1">
      <c r="D304" s="1"/>
    </row>
    <row r="305" spans="4:4" ht="14.25" customHeight="1">
      <c r="D305" s="1"/>
    </row>
    <row r="306" spans="4:4" ht="14.25" customHeight="1">
      <c r="D306" s="1"/>
    </row>
    <row r="307" spans="4:4" ht="14.25" customHeight="1">
      <c r="D307" s="1"/>
    </row>
    <row r="308" spans="4:4" ht="14.25" customHeight="1">
      <c r="D308" s="1"/>
    </row>
    <row r="309" spans="4:4" ht="14.25" customHeight="1">
      <c r="D309" s="1"/>
    </row>
    <row r="310" spans="4:4" ht="14.25" customHeight="1">
      <c r="D310" s="1"/>
    </row>
    <row r="311" spans="4:4" ht="14.25" customHeight="1">
      <c r="D311" s="1"/>
    </row>
    <row r="312" spans="4:4" ht="14.25" customHeight="1">
      <c r="D312" s="1"/>
    </row>
    <row r="313" spans="4:4" ht="14.25" customHeight="1">
      <c r="D313" s="1"/>
    </row>
    <row r="314" spans="4:4" ht="14.25" customHeight="1">
      <c r="D314" s="1"/>
    </row>
    <row r="315" spans="4:4" ht="14.25" customHeight="1">
      <c r="D315" s="1"/>
    </row>
    <row r="316" spans="4:4" ht="14.25" customHeight="1">
      <c r="D316" s="1"/>
    </row>
    <row r="317" spans="4:4" ht="14.25" customHeight="1">
      <c r="D317" s="1"/>
    </row>
    <row r="318" spans="4:4" ht="14.25" customHeight="1">
      <c r="D318" s="1"/>
    </row>
    <row r="319" spans="4:4" ht="14.25" customHeight="1">
      <c r="D319" s="1"/>
    </row>
    <row r="320" spans="4:4" ht="14.25" customHeight="1">
      <c r="D320" s="1"/>
    </row>
    <row r="321" spans="4:4" ht="14.25" customHeight="1">
      <c r="D321" s="1"/>
    </row>
    <row r="322" spans="4:4" ht="14.25" customHeight="1">
      <c r="D322" s="1"/>
    </row>
    <row r="323" spans="4:4" ht="14.25" customHeight="1">
      <c r="D323" s="1"/>
    </row>
    <row r="324" spans="4:4" ht="14.25" customHeight="1">
      <c r="D324" s="1"/>
    </row>
    <row r="325" spans="4:4" ht="14.25" customHeight="1">
      <c r="D325" s="1"/>
    </row>
    <row r="326" spans="4:4" ht="14.25" customHeight="1">
      <c r="D326" s="1"/>
    </row>
    <row r="327" spans="4:4" ht="14.25" customHeight="1">
      <c r="D327" s="1"/>
    </row>
    <row r="328" spans="4:4" ht="14.25" customHeight="1">
      <c r="D328" s="1"/>
    </row>
    <row r="329" spans="4:4" ht="14.25" customHeight="1">
      <c r="D329" s="1"/>
    </row>
    <row r="330" spans="4:4" ht="14.25" customHeight="1">
      <c r="D330" s="1"/>
    </row>
    <row r="331" spans="4:4" ht="14.25" customHeight="1">
      <c r="D331" s="1"/>
    </row>
    <row r="332" spans="4:4" ht="14.25" customHeight="1">
      <c r="D332" s="1"/>
    </row>
    <row r="333" spans="4:4" ht="14.25" customHeight="1">
      <c r="D333" s="1"/>
    </row>
    <row r="334" spans="4:4" ht="14.25" customHeight="1">
      <c r="D334" s="1"/>
    </row>
    <row r="335" spans="4:4" ht="14.25" customHeight="1">
      <c r="D335" s="1"/>
    </row>
    <row r="336" spans="4:4" ht="14.25" customHeight="1">
      <c r="D336" s="1"/>
    </row>
    <row r="337" spans="4:4" ht="14.25" customHeight="1">
      <c r="D337" s="1"/>
    </row>
    <row r="338" spans="4:4" ht="14.25" customHeight="1">
      <c r="D338" s="1"/>
    </row>
    <row r="339" spans="4:4" ht="14.25" customHeight="1">
      <c r="D339" s="1"/>
    </row>
    <row r="340" spans="4:4" ht="14.25" customHeight="1">
      <c r="D340" s="1"/>
    </row>
    <row r="341" spans="4:4" ht="14.25" customHeight="1">
      <c r="D341" s="1"/>
    </row>
    <row r="342" spans="4:4" ht="14.25" customHeight="1">
      <c r="D342" s="1"/>
    </row>
    <row r="343" spans="4:4" ht="14.25" customHeight="1">
      <c r="D343" s="1"/>
    </row>
    <row r="344" spans="4:4" ht="14.25" customHeight="1">
      <c r="D344" s="1"/>
    </row>
    <row r="345" spans="4:4" ht="14.25" customHeight="1">
      <c r="D345" s="1"/>
    </row>
    <row r="346" spans="4:4" ht="14.25" customHeight="1">
      <c r="D346" s="1"/>
    </row>
    <row r="347" spans="4:4" ht="14.25" customHeight="1">
      <c r="D347" s="1"/>
    </row>
    <row r="348" spans="4:4" ht="14.25" customHeight="1">
      <c r="D348" s="1"/>
    </row>
    <row r="349" spans="4:4" ht="14.25" customHeight="1">
      <c r="D349" s="1"/>
    </row>
    <row r="350" spans="4:4" ht="14.25" customHeight="1">
      <c r="D350" s="1"/>
    </row>
    <row r="351" spans="4:4" ht="14.25" customHeight="1">
      <c r="D351" s="1"/>
    </row>
    <row r="352" spans="4:4" ht="14.25" customHeight="1">
      <c r="D352" s="1"/>
    </row>
    <row r="353" spans="4:4" ht="14.25" customHeight="1">
      <c r="D353" s="1"/>
    </row>
    <row r="354" spans="4:4" ht="14.25" customHeight="1">
      <c r="D354" s="1"/>
    </row>
    <row r="355" spans="4:4" ht="14.25" customHeight="1">
      <c r="D355" s="1"/>
    </row>
    <row r="356" spans="4:4" ht="14.25" customHeight="1">
      <c r="D356" s="1"/>
    </row>
    <row r="357" spans="4:4" ht="14.25" customHeight="1">
      <c r="D357" s="1"/>
    </row>
    <row r="358" spans="4:4" ht="14.25" customHeight="1">
      <c r="D358" s="1"/>
    </row>
    <row r="359" spans="4:4" ht="14.25" customHeight="1">
      <c r="D359" s="1"/>
    </row>
    <row r="360" spans="4:4" ht="14.25" customHeight="1">
      <c r="D360" s="1"/>
    </row>
    <row r="361" spans="4:4" ht="14.25" customHeight="1">
      <c r="D361" s="1"/>
    </row>
    <row r="362" spans="4:4" ht="14.25" customHeight="1">
      <c r="D362" s="1"/>
    </row>
    <row r="363" spans="4:4" ht="14.25" customHeight="1">
      <c r="D363" s="1"/>
    </row>
    <row r="364" spans="4:4" ht="14.25" customHeight="1">
      <c r="D364" s="1"/>
    </row>
    <row r="365" spans="4:4" ht="14.25" customHeight="1">
      <c r="D365" s="1"/>
    </row>
    <row r="366" spans="4:4" ht="14.25" customHeight="1">
      <c r="D366" s="1"/>
    </row>
    <row r="367" spans="4:4" ht="14.25" customHeight="1">
      <c r="D367" s="1"/>
    </row>
    <row r="368" spans="4:4" ht="14.25" customHeight="1">
      <c r="D368" s="1"/>
    </row>
    <row r="369" spans="4:4" ht="14.25" customHeight="1">
      <c r="D369" s="1"/>
    </row>
    <row r="370" spans="4:4" ht="14.25" customHeight="1">
      <c r="D370" s="1"/>
    </row>
    <row r="371" spans="4:4" ht="14.25" customHeight="1">
      <c r="D371" s="1"/>
    </row>
    <row r="372" spans="4:4" ht="14.25" customHeight="1">
      <c r="D372" s="1"/>
    </row>
    <row r="373" spans="4:4" ht="14.25" customHeight="1">
      <c r="D373" s="1"/>
    </row>
    <row r="374" spans="4:4" ht="14.25" customHeight="1">
      <c r="D374" s="1"/>
    </row>
    <row r="375" spans="4:4" ht="14.25" customHeight="1">
      <c r="D375" s="1"/>
    </row>
    <row r="376" spans="4:4" ht="14.25" customHeight="1">
      <c r="D376" s="1"/>
    </row>
    <row r="377" spans="4:4" ht="14.25" customHeight="1">
      <c r="D377" s="1"/>
    </row>
    <row r="378" spans="4:4" ht="14.25" customHeight="1">
      <c r="D378" s="1"/>
    </row>
    <row r="379" spans="4:4" ht="14.25" customHeight="1">
      <c r="D379" s="1"/>
    </row>
    <row r="380" spans="4:4" ht="14.25" customHeight="1">
      <c r="D380" s="1"/>
    </row>
    <row r="381" spans="4:4" ht="14.25" customHeight="1">
      <c r="D381" s="1"/>
    </row>
    <row r="382" spans="4:4" ht="14.25" customHeight="1">
      <c r="D382" s="1"/>
    </row>
    <row r="383" spans="4:4" ht="14.25" customHeight="1">
      <c r="D383" s="1"/>
    </row>
    <row r="384" spans="4:4" ht="14.25" customHeight="1">
      <c r="D384" s="1"/>
    </row>
    <row r="385" spans="4:4" ht="14.25" customHeight="1">
      <c r="D385" s="1"/>
    </row>
    <row r="386" spans="4:4" ht="14.25" customHeight="1">
      <c r="D386" s="1"/>
    </row>
    <row r="387" spans="4:4" ht="14.25" customHeight="1">
      <c r="D387" s="1"/>
    </row>
    <row r="388" spans="4:4" ht="14.25" customHeight="1">
      <c r="D388" s="1"/>
    </row>
    <row r="389" spans="4:4" ht="14.25" customHeight="1">
      <c r="D389" s="1"/>
    </row>
    <row r="390" spans="4:4" ht="14.25" customHeight="1">
      <c r="D390" s="1"/>
    </row>
    <row r="391" spans="4:4" ht="14.25" customHeight="1">
      <c r="D391" s="1"/>
    </row>
    <row r="392" spans="4:4" ht="14.25" customHeight="1">
      <c r="D392" s="1"/>
    </row>
    <row r="393" spans="4:4" ht="14.25" customHeight="1">
      <c r="D393" s="1"/>
    </row>
    <row r="394" spans="4:4" ht="14.25" customHeight="1">
      <c r="D394" s="1"/>
    </row>
    <row r="395" spans="4:4" ht="14.25" customHeight="1">
      <c r="D395" s="1"/>
    </row>
    <row r="396" spans="4:4" ht="14.25" customHeight="1">
      <c r="D396" s="1"/>
    </row>
    <row r="397" spans="4:4" ht="14.25" customHeight="1">
      <c r="D397" s="1"/>
    </row>
    <row r="398" spans="4:4" ht="14.25" customHeight="1">
      <c r="D398" s="1"/>
    </row>
    <row r="399" spans="4:4" ht="14.25" customHeight="1">
      <c r="D399" s="1"/>
    </row>
    <row r="400" spans="4:4" ht="14.25" customHeight="1">
      <c r="D400" s="1"/>
    </row>
    <row r="401" spans="4:4" ht="14.25" customHeight="1">
      <c r="D401" s="1"/>
    </row>
    <row r="402" spans="4:4" ht="14.25" customHeight="1">
      <c r="D402" s="1"/>
    </row>
    <row r="403" spans="4:4" ht="14.25" customHeight="1">
      <c r="D403" s="1"/>
    </row>
    <row r="404" spans="4:4" ht="14.25" customHeight="1">
      <c r="D404" s="1"/>
    </row>
    <row r="405" spans="4:4" ht="14.25" customHeight="1">
      <c r="D405" s="1"/>
    </row>
    <row r="406" spans="4:4" ht="14.25" customHeight="1">
      <c r="D406" s="1"/>
    </row>
    <row r="407" spans="4:4" ht="14.25" customHeight="1">
      <c r="D407" s="1"/>
    </row>
    <row r="408" spans="4:4" ht="14.25" customHeight="1">
      <c r="D408" s="1"/>
    </row>
    <row r="409" spans="4:4" ht="14.25" customHeight="1">
      <c r="D409" s="1"/>
    </row>
    <row r="410" spans="4:4" ht="14.25" customHeight="1">
      <c r="D410" s="1"/>
    </row>
    <row r="411" spans="4:4" ht="14.25" customHeight="1">
      <c r="D411" s="1"/>
    </row>
    <row r="412" spans="4:4" ht="14.25" customHeight="1">
      <c r="D412" s="1"/>
    </row>
    <row r="413" spans="4:4" ht="14.25" customHeight="1">
      <c r="D413" s="1"/>
    </row>
    <row r="414" spans="4:4" ht="14.25" customHeight="1">
      <c r="D414" s="1"/>
    </row>
    <row r="415" spans="4:4" ht="14.25" customHeight="1">
      <c r="D415" s="1"/>
    </row>
    <row r="416" spans="4:4" ht="14.25" customHeight="1">
      <c r="D416" s="1"/>
    </row>
    <row r="417" spans="4:4" ht="14.25" customHeight="1">
      <c r="D417" s="1"/>
    </row>
    <row r="418" spans="4:4" ht="14.25" customHeight="1">
      <c r="D418" s="1"/>
    </row>
    <row r="419" spans="4:4" ht="14.25" customHeight="1">
      <c r="D419" s="1"/>
    </row>
    <row r="420" spans="4:4" ht="14.25" customHeight="1">
      <c r="D420" s="1"/>
    </row>
    <row r="421" spans="4:4" ht="14.25" customHeight="1">
      <c r="D421" s="1"/>
    </row>
    <row r="422" spans="4:4" ht="14.25" customHeight="1">
      <c r="D422" s="1"/>
    </row>
    <row r="423" spans="4:4" ht="14.25" customHeight="1">
      <c r="D423" s="1"/>
    </row>
    <row r="424" spans="4:4" ht="14.25" customHeight="1">
      <c r="D424" s="1"/>
    </row>
    <row r="425" spans="4:4" ht="14.25" customHeight="1">
      <c r="D425" s="1"/>
    </row>
    <row r="426" spans="4:4" ht="14.25" customHeight="1">
      <c r="D426" s="1"/>
    </row>
    <row r="427" spans="4:4" ht="14.25" customHeight="1">
      <c r="D427" s="1"/>
    </row>
    <row r="428" spans="4:4" ht="14.25" customHeight="1">
      <c r="D428" s="1"/>
    </row>
    <row r="429" spans="4:4" ht="14.25" customHeight="1">
      <c r="D429" s="1"/>
    </row>
    <row r="430" spans="4:4" ht="14.25" customHeight="1">
      <c r="D430" s="1"/>
    </row>
    <row r="431" spans="4:4" ht="14.25" customHeight="1">
      <c r="D431" s="1"/>
    </row>
    <row r="432" spans="4:4" ht="14.25" customHeight="1">
      <c r="D432" s="1"/>
    </row>
    <row r="433" spans="4:4" ht="14.25" customHeight="1">
      <c r="D433" s="1"/>
    </row>
    <row r="434" spans="4:4" ht="14.25" customHeight="1">
      <c r="D434" s="1"/>
    </row>
    <row r="435" spans="4:4" ht="14.25" customHeight="1">
      <c r="D435" s="1"/>
    </row>
    <row r="436" spans="4:4" ht="14.25" customHeight="1">
      <c r="D436" s="1"/>
    </row>
    <row r="437" spans="4:4" ht="14.25" customHeight="1">
      <c r="D437" s="1"/>
    </row>
    <row r="438" spans="4:4" ht="14.25" customHeight="1">
      <c r="D438" s="1"/>
    </row>
    <row r="439" spans="4:4" ht="14.25" customHeight="1">
      <c r="D439" s="1"/>
    </row>
    <row r="440" spans="4:4" ht="14.25" customHeight="1">
      <c r="D440" s="1"/>
    </row>
    <row r="441" spans="4:4" ht="14.25" customHeight="1">
      <c r="D441" s="1"/>
    </row>
    <row r="442" spans="4:4" ht="14.25" customHeight="1">
      <c r="D442" s="1"/>
    </row>
    <row r="443" spans="4:4" ht="14.25" customHeight="1">
      <c r="D443" s="1"/>
    </row>
    <row r="444" spans="4:4" ht="14.25" customHeight="1">
      <c r="D444" s="1"/>
    </row>
    <row r="445" spans="4:4" ht="14.25" customHeight="1">
      <c r="D445" s="1"/>
    </row>
    <row r="446" spans="4:4" ht="14.25" customHeight="1">
      <c r="D446" s="1"/>
    </row>
    <row r="447" spans="4:4" ht="14.25" customHeight="1">
      <c r="D447" s="1"/>
    </row>
    <row r="448" spans="4:4" ht="14.25" customHeight="1">
      <c r="D448" s="1"/>
    </row>
    <row r="449" spans="4:4" ht="14.25" customHeight="1">
      <c r="D449" s="1"/>
    </row>
    <row r="450" spans="4:4" ht="14.25" customHeight="1">
      <c r="D450" s="1"/>
    </row>
    <row r="451" spans="4:4" ht="14.25" customHeight="1">
      <c r="D451" s="1"/>
    </row>
    <row r="452" spans="4:4" ht="14.25" customHeight="1">
      <c r="D452" s="1"/>
    </row>
    <row r="453" spans="4:4" ht="14.25" customHeight="1">
      <c r="D453" s="1"/>
    </row>
    <row r="454" spans="4:4" ht="14.25" customHeight="1">
      <c r="D454" s="1"/>
    </row>
    <row r="455" spans="4:4" ht="14.25" customHeight="1">
      <c r="D455" s="1"/>
    </row>
    <row r="456" spans="4:4" ht="14.25" customHeight="1">
      <c r="D456" s="1"/>
    </row>
    <row r="457" spans="4:4" ht="14.25" customHeight="1">
      <c r="D457" s="1"/>
    </row>
    <row r="458" spans="4:4" ht="14.25" customHeight="1">
      <c r="D458" s="1"/>
    </row>
    <row r="459" spans="4:4" ht="14.25" customHeight="1">
      <c r="D459" s="1"/>
    </row>
    <row r="460" spans="4:4" ht="14.25" customHeight="1">
      <c r="D460" s="1"/>
    </row>
    <row r="461" spans="4:4" ht="14.25" customHeight="1">
      <c r="D461" s="1"/>
    </row>
    <row r="462" spans="4:4" ht="14.25" customHeight="1">
      <c r="D462" s="1"/>
    </row>
    <row r="463" spans="4:4" ht="14.25" customHeight="1">
      <c r="D463" s="1"/>
    </row>
    <row r="464" spans="4:4" ht="14.25" customHeight="1">
      <c r="D464" s="1"/>
    </row>
    <row r="465" spans="4:4" ht="14.25" customHeight="1">
      <c r="D465" s="1"/>
    </row>
    <row r="466" spans="4:4" ht="14.25" customHeight="1">
      <c r="D466" s="1"/>
    </row>
    <row r="467" spans="4:4" ht="14.25" customHeight="1">
      <c r="D467" s="1"/>
    </row>
    <row r="468" spans="4:4" ht="14.25" customHeight="1">
      <c r="D468" s="1"/>
    </row>
    <row r="469" spans="4:4" ht="14.25" customHeight="1">
      <c r="D469" s="1"/>
    </row>
    <row r="470" spans="4:4" ht="14.25" customHeight="1">
      <c r="D470" s="1"/>
    </row>
    <row r="471" spans="4:4" ht="14.25" customHeight="1">
      <c r="D471" s="1"/>
    </row>
    <row r="472" spans="4:4" ht="14.25" customHeight="1">
      <c r="D472" s="1"/>
    </row>
    <row r="473" spans="4:4" ht="14.25" customHeight="1">
      <c r="D473" s="1"/>
    </row>
    <row r="474" spans="4:4" ht="14.25" customHeight="1">
      <c r="D474" s="1"/>
    </row>
    <row r="475" spans="4:4" ht="14.25" customHeight="1">
      <c r="D475" s="1"/>
    </row>
    <row r="476" spans="4:4" ht="14.25" customHeight="1">
      <c r="D476" s="1"/>
    </row>
    <row r="477" spans="4:4" ht="14.25" customHeight="1">
      <c r="D477" s="1"/>
    </row>
    <row r="478" spans="4:4" ht="14.25" customHeight="1">
      <c r="D478" s="1"/>
    </row>
    <row r="479" spans="4:4" ht="14.25" customHeight="1">
      <c r="D479" s="1"/>
    </row>
    <row r="480" spans="4:4" ht="14.25" customHeight="1">
      <c r="D480" s="1"/>
    </row>
    <row r="481" spans="4:4" ht="14.25" customHeight="1">
      <c r="D481" s="1"/>
    </row>
    <row r="482" spans="4:4" ht="14.25" customHeight="1">
      <c r="D482" s="1"/>
    </row>
    <row r="483" spans="4:4" ht="14.25" customHeight="1">
      <c r="D483" s="1"/>
    </row>
    <row r="484" spans="4:4" ht="14.25" customHeight="1">
      <c r="D484" s="1"/>
    </row>
    <row r="485" spans="4:4" ht="14.25" customHeight="1">
      <c r="D485" s="1"/>
    </row>
    <row r="486" spans="4:4" ht="14.25" customHeight="1">
      <c r="D486" s="1"/>
    </row>
    <row r="487" spans="4:4" ht="14.25" customHeight="1">
      <c r="D487" s="1"/>
    </row>
    <row r="488" spans="4:4" ht="14.25" customHeight="1">
      <c r="D488" s="1"/>
    </row>
    <row r="489" spans="4:4" ht="14.25" customHeight="1">
      <c r="D489" s="1"/>
    </row>
    <row r="490" spans="4:4" ht="14.25" customHeight="1">
      <c r="D490" s="1"/>
    </row>
    <row r="491" spans="4:4" ht="14.25" customHeight="1">
      <c r="D491" s="1"/>
    </row>
    <row r="492" spans="4:4" ht="14.25" customHeight="1">
      <c r="D492" s="1"/>
    </row>
    <row r="493" spans="4:4" ht="14.25" customHeight="1">
      <c r="D493" s="1"/>
    </row>
    <row r="494" spans="4:4" ht="14.25" customHeight="1">
      <c r="D494" s="1"/>
    </row>
    <row r="495" spans="4:4" ht="14.25" customHeight="1">
      <c r="D495" s="1"/>
    </row>
    <row r="496" spans="4:4" ht="14.25" customHeight="1">
      <c r="D496" s="1"/>
    </row>
    <row r="497" spans="4:4" ht="14.25" customHeight="1">
      <c r="D497" s="1"/>
    </row>
    <row r="498" spans="4:4" ht="14.25" customHeight="1">
      <c r="D498" s="1"/>
    </row>
    <row r="499" spans="4:4" ht="14.25" customHeight="1">
      <c r="D499" s="1"/>
    </row>
    <row r="500" spans="4:4" ht="14.25" customHeight="1">
      <c r="D500" s="1"/>
    </row>
    <row r="501" spans="4:4" ht="14.25" customHeight="1">
      <c r="D501" s="1"/>
    </row>
    <row r="502" spans="4:4" ht="14.25" customHeight="1">
      <c r="D502" s="1"/>
    </row>
    <row r="503" spans="4:4" ht="14.25" customHeight="1">
      <c r="D503" s="1"/>
    </row>
    <row r="504" spans="4:4" ht="14.25" customHeight="1">
      <c r="D504" s="1"/>
    </row>
    <row r="505" spans="4:4" ht="14.25" customHeight="1">
      <c r="D505" s="1"/>
    </row>
    <row r="506" spans="4:4" ht="14.25" customHeight="1">
      <c r="D506" s="1"/>
    </row>
    <row r="507" spans="4:4" ht="14.25" customHeight="1">
      <c r="D507" s="1"/>
    </row>
    <row r="508" spans="4:4" ht="14.25" customHeight="1">
      <c r="D508" s="1"/>
    </row>
    <row r="509" spans="4:4" ht="14.25" customHeight="1">
      <c r="D509" s="1"/>
    </row>
    <row r="510" spans="4:4" ht="14.25" customHeight="1">
      <c r="D510" s="1"/>
    </row>
    <row r="511" spans="4:4" ht="14.25" customHeight="1">
      <c r="D511" s="1"/>
    </row>
    <row r="512" spans="4:4" ht="14.25" customHeight="1">
      <c r="D512" s="1"/>
    </row>
    <row r="513" spans="4:4" ht="14.25" customHeight="1">
      <c r="D513" s="1"/>
    </row>
    <row r="514" spans="4:4" ht="14.25" customHeight="1">
      <c r="D514" s="1"/>
    </row>
    <row r="515" spans="4:4" ht="14.25" customHeight="1">
      <c r="D515" s="1"/>
    </row>
    <row r="516" spans="4:4" ht="14.25" customHeight="1">
      <c r="D516" s="1"/>
    </row>
    <row r="517" spans="4:4" ht="14.25" customHeight="1">
      <c r="D517" s="1"/>
    </row>
    <row r="518" spans="4:4" ht="14.25" customHeight="1">
      <c r="D518" s="1"/>
    </row>
    <row r="519" spans="4:4" ht="14.25" customHeight="1">
      <c r="D519" s="1"/>
    </row>
    <row r="520" spans="4:4" ht="14.25" customHeight="1">
      <c r="D520" s="1"/>
    </row>
    <row r="521" spans="4:4" ht="14.25" customHeight="1">
      <c r="D521" s="1"/>
    </row>
    <row r="522" spans="4:4" ht="14.25" customHeight="1">
      <c r="D522" s="1"/>
    </row>
    <row r="523" spans="4:4" ht="14.25" customHeight="1">
      <c r="D523" s="1"/>
    </row>
    <row r="524" spans="4:4" ht="14.25" customHeight="1">
      <c r="D524" s="1"/>
    </row>
    <row r="525" spans="4:4" ht="14.25" customHeight="1">
      <c r="D525" s="1"/>
    </row>
    <row r="526" spans="4:4" ht="14.25" customHeight="1">
      <c r="D526" s="1"/>
    </row>
    <row r="527" spans="4:4" ht="14.25" customHeight="1">
      <c r="D527" s="1"/>
    </row>
    <row r="528" spans="4:4" ht="14.25" customHeight="1">
      <c r="D528" s="1"/>
    </row>
    <row r="529" spans="4:4" ht="14.25" customHeight="1">
      <c r="D529" s="1"/>
    </row>
    <row r="530" spans="4:4" ht="14.25" customHeight="1">
      <c r="D530" s="1"/>
    </row>
    <row r="531" spans="4:4" ht="14.25" customHeight="1">
      <c r="D531" s="1"/>
    </row>
    <row r="532" spans="4:4" ht="14.25" customHeight="1">
      <c r="D532" s="1"/>
    </row>
    <row r="533" spans="4:4" ht="14.25" customHeight="1">
      <c r="D533" s="1"/>
    </row>
    <row r="534" spans="4:4" ht="14.25" customHeight="1">
      <c r="D534" s="1"/>
    </row>
    <row r="535" spans="4:4" ht="14.25" customHeight="1">
      <c r="D535" s="1"/>
    </row>
    <row r="536" spans="4:4" ht="14.25" customHeight="1">
      <c r="D536" s="1"/>
    </row>
    <row r="537" spans="4:4" ht="14.25" customHeight="1">
      <c r="D537" s="1"/>
    </row>
    <row r="538" spans="4:4" ht="14.25" customHeight="1">
      <c r="D538" s="1"/>
    </row>
    <row r="539" spans="4:4" ht="14.25" customHeight="1">
      <c r="D539" s="1"/>
    </row>
    <row r="540" spans="4:4" ht="14.25" customHeight="1">
      <c r="D540" s="1"/>
    </row>
    <row r="541" spans="4:4" ht="14.25" customHeight="1">
      <c r="D541" s="1"/>
    </row>
    <row r="542" spans="4:4" ht="14.25" customHeight="1">
      <c r="D542" s="1"/>
    </row>
    <row r="543" spans="4:4" ht="14.25" customHeight="1">
      <c r="D543" s="1"/>
    </row>
    <row r="544" spans="4:4" ht="14.25" customHeight="1">
      <c r="D544" s="1"/>
    </row>
    <row r="545" spans="4:4" ht="14.25" customHeight="1">
      <c r="D545" s="1"/>
    </row>
    <row r="546" spans="4:4" ht="14.25" customHeight="1">
      <c r="D546" s="1"/>
    </row>
    <row r="547" spans="4:4" ht="14.25" customHeight="1">
      <c r="D547" s="1"/>
    </row>
    <row r="548" spans="4:4" ht="14.25" customHeight="1">
      <c r="D548" s="1"/>
    </row>
    <row r="549" spans="4:4" ht="14.25" customHeight="1">
      <c r="D549" s="1"/>
    </row>
    <row r="550" spans="4:4" ht="14.25" customHeight="1">
      <c r="D550" s="1"/>
    </row>
    <row r="551" spans="4:4" ht="14.25" customHeight="1">
      <c r="D551" s="1"/>
    </row>
    <row r="552" spans="4:4" ht="14.25" customHeight="1">
      <c r="D552" s="1"/>
    </row>
    <row r="553" spans="4:4" ht="14.25" customHeight="1">
      <c r="D553" s="1"/>
    </row>
    <row r="554" spans="4:4" ht="14.25" customHeight="1">
      <c r="D554" s="1"/>
    </row>
    <row r="555" spans="4:4" ht="14.25" customHeight="1">
      <c r="D555" s="1"/>
    </row>
    <row r="556" spans="4:4" ht="14.25" customHeight="1">
      <c r="D556" s="1"/>
    </row>
    <row r="557" spans="4:4" ht="14.25" customHeight="1">
      <c r="D557" s="1"/>
    </row>
    <row r="558" spans="4:4" ht="14.25" customHeight="1">
      <c r="D558" s="1"/>
    </row>
    <row r="559" spans="4:4" ht="14.25" customHeight="1">
      <c r="D559" s="1"/>
    </row>
    <row r="560" spans="4:4" ht="14.25" customHeight="1">
      <c r="D560" s="1"/>
    </row>
    <row r="561" spans="4:4" ht="14.25" customHeight="1">
      <c r="D561" s="1"/>
    </row>
    <row r="562" spans="4:4" ht="14.25" customHeight="1">
      <c r="D562" s="1"/>
    </row>
    <row r="563" spans="4:4" ht="14.25" customHeight="1">
      <c r="D563" s="1"/>
    </row>
    <row r="564" spans="4:4" ht="14.25" customHeight="1">
      <c r="D564" s="1"/>
    </row>
    <row r="565" spans="4:4" ht="14.25" customHeight="1">
      <c r="D565" s="1"/>
    </row>
    <row r="566" spans="4:4" ht="14.25" customHeight="1">
      <c r="D566" s="1"/>
    </row>
    <row r="567" spans="4:4" ht="14.25" customHeight="1">
      <c r="D567" s="1"/>
    </row>
    <row r="568" spans="4:4" ht="14.25" customHeight="1">
      <c r="D568" s="1"/>
    </row>
    <row r="569" spans="4:4" ht="14.25" customHeight="1">
      <c r="D569" s="1"/>
    </row>
    <row r="570" spans="4:4" ht="14.25" customHeight="1">
      <c r="D570" s="1"/>
    </row>
    <row r="571" spans="4:4" ht="14.25" customHeight="1">
      <c r="D571" s="1"/>
    </row>
    <row r="572" spans="4:4" ht="14.25" customHeight="1">
      <c r="D572" s="1"/>
    </row>
    <row r="573" spans="4:4" ht="14.25" customHeight="1">
      <c r="D573" s="1"/>
    </row>
    <row r="574" spans="4:4" ht="14.25" customHeight="1">
      <c r="D574" s="1"/>
    </row>
    <row r="575" spans="4:4" ht="14.25" customHeight="1">
      <c r="D575" s="1"/>
    </row>
    <row r="576" spans="4:4" ht="14.25" customHeight="1">
      <c r="D576" s="1"/>
    </row>
    <row r="577" spans="4:4" ht="14.25" customHeight="1">
      <c r="D577" s="1"/>
    </row>
    <row r="578" spans="4:4" ht="14.25" customHeight="1">
      <c r="D578" s="1"/>
    </row>
    <row r="579" spans="4:4" ht="14.25" customHeight="1">
      <c r="D579" s="1"/>
    </row>
    <row r="580" spans="4:4" ht="14.25" customHeight="1">
      <c r="D580" s="1"/>
    </row>
    <row r="581" spans="4:4" ht="14.25" customHeight="1">
      <c r="D581" s="1"/>
    </row>
    <row r="582" spans="4:4" ht="14.25" customHeight="1">
      <c r="D582" s="1"/>
    </row>
    <row r="583" spans="4:4" ht="14.25" customHeight="1">
      <c r="D583" s="1"/>
    </row>
    <row r="584" spans="4:4" ht="14.25" customHeight="1">
      <c r="D584" s="1"/>
    </row>
    <row r="585" spans="4:4" ht="14.25" customHeight="1">
      <c r="D585" s="1"/>
    </row>
    <row r="586" spans="4:4" ht="14.25" customHeight="1">
      <c r="D586" s="1"/>
    </row>
    <row r="587" spans="4:4" ht="14.25" customHeight="1">
      <c r="D587" s="1"/>
    </row>
    <row r="588" spans="4:4" ht="14.25" customHeight="1">
      <c r="D588" s="1"/>
    </row>
    <row r="589" spans="4:4" ht="14.25" customHeight="1">
      <c r="D589" s="1"/>
    </row>
    <row r="590" spans="4:4" ht="14.25" customHeight="1">
      <c r="D590" s="1"/>
    </row>
    <row r="591" spans="4:4" ht="14.25" customHeight="1">
      <c r="D591" s="1"/>
    </row>
    <row r="592" spans="4:4" ht="14.25" customHeight="1">
      <c r="D592" s="1"/>
    </row>
    <row r="593" spans="4:4" ht="14.25" customHeight="1">
      <c r="D593" s="1"/>
    </row>
    <row r="594" spans="4:4" ht="14.25" customHeight="1">
      <c r="D594" s="1"/>
    </row>
    <row r="595" spans="4:4" ht="14.25" customHeight="1">
      <c r="D595" s="1"/>
    </row>
    <row r="596" spans="4:4" ht="14.25" customHeight="1">
      <c r="D596" s="1"/>
    </row>
    <row r="597" spans="4:4" ht="14.25" customHeight="1">
      <c r="D597" s="1"/>
    </row>
    <row r="598" spans="4:4" ht="14.25" customHeight="1">
      <c r="D598" s="1"/>
    </row>
    <row r="599" spans="4:4" ht="14.25" customHeight="1">
      <c r="D599" s="1"/>
    </row>
    <row r="600" spans="4:4" ht="14.25" customHeight="1">
      <c r="D600" s="1"/>
    </row>
    <row r="601" spans="4:4" ht="14.25" customHeight="1">
      <c r="D601" s="1"/>
    </row>
    <row r="602" spans="4:4" ht="14.25" customHeight="1">
      <c r="D602" s="1"/>
    </row>
    <row r="603" spans="4:4" ht="14.25" customHeight="1">
      <c r="D603" s="1"/>
    </row>
    <row r="604" spans="4:4" ht="14.25" customHeight="1">
      <c r="D604" s="1"/>
    </row>
    <row r="605" spans="4:4" ht="14.25" customHeight="1">
      <c r="D605" s="1"/>
    </row>
    <row r="606" spans="4:4" ht="14.25" customHeight="1">
      <c r="D606" s="1"/>
    </row>
    <row r="607" spans="4:4" ht="14.25" customHeight="1">
      <c r="D607" s="1"/>
    </row>
    <row r="608" spans="4:4" ht="14.25" customHeight="1">
      <c r="D608" s="1"/>
    </row>
    <row r="609" spans="4:4" ht="14.25" customHeight="1">
      <c r="D609" s="1"/>
    </row>
    <row r="610" spans="4:4" ht="14.25" customHeight="1">
      <c r="D610" s="1"/>
    </row>
    <row r="611" spans="4:4" ht="14.25" customHeight="1">
      <c r="D611" s="1"/>
    </row>
    <row r="612" spans="4:4" ht="14.25" customHeight="1">
      <c r="D612" s="1"/>
    </row>
    <row r="613" spans="4:4" ht="14.25" customHeight="1">
      <c r="D613" s="1"/>
    </row>
    <row r="614" spans="4:4" ht="14.25" customHeight="1">
      <c r="D614" s="1"/>
    </row>
    <row r="615" spans="4:4" ht="14.25" customHeight="1">
      <c r="D615" s="1"/>
    </row>
    <row r="616" spans="4:4" ht="14.25" customHeight="1">
      <c r="D616" s="1"/>
    </row>
    <row r="617" spans="4:4" ht="14.25" customHeight="1">
      <c r="D617" s="1"/>
    </row>
    <row r="618" spans="4:4" ht="14.25" customHeight="1">
      <c r="D618" s="1"/>
    </row>
    <row r="619" spans="4:4" ht="14.25" customHeight="1">
      <c r="D619" s="1"/>
    </row>
    <row r="620" spans="4:4" ht="14.25" customHeight="1">
      <c r="D620" s="1"/>
    </row>
    <row r="621" spans="4:4" ht="14.25" customHeight="1">
      <c r="D621" s="1"/>
    </row>
    <row r="622" spans="4:4" ht="14.25" customHeight="1">
      <c r="D622" s="1"/>
    </row>
    <row r="623" spans="4:4" ht="14.25" customHeight="1">
      <c r="D623" s="1"/>
    </row>
    <row r="624" spans="4:4" ht="14.25" customHeight="1">
      <c r="D624" s="1"/>
    </row>
    <row r="625" spans="4:4" ht="14.25" customHeight="1">
      <c r="D625" s="1"/>
    </row>
    <row r="626" spans="4:4" ht="14.25" customHeight="1">
      <c r="D626" s="1"/>
    </row>
    <row r="627" spans="4:4" ht="14.25" customHeight="1">
      <c r="D627" s="1"/>
    </row>
    <row r="628" spans="4:4" ht="14.25" customHeight="1">
      <c r="D628" s="1"/>
    </row>
    <row r="629" spans="4:4" ht="14.25" customHeight="1">
      <c r="D629" s="1"/>
    </row>
    <row r="630" spans="4:4" ht="14.25" customHeight="1">
      <c r="D630" s="1"/>
    </row>
    <row r="631" spans="4:4" ht="14.25" customHeight="1">
      <c r="D631" s="1"/>
    </row>
    <row r="632" spans="4:4" ht="14.25" customHeight="1">
      <c r="D632" s="1"/>
    </row>
    <row r="633" spans="4:4" ht="14.25" customHeight="1">
      <c r="D633" s="1"/>
    </row>
    <row r="634" spans="4:4" ht="14.25" customHeight="1">
      <c r="D634" s="1"/>
    </row>
    <row r="635" spans="4:4" ht="14.25" customHeight="1">
      <c r="D635" s="1"/>
    </row>
    <row r="636" spans="4:4" ht="14.25" customHeight="1">
      <c r="D636" s="1"/>
    </row>
    <row r="637" spans="4:4" ht="14.25" customHeight="1">
      <c r="D637" s="1"/>
    </row>
    <row r="638" spans="4:4" ht="14.25" customHeight="1">
      <c r="D638" s="1"/>
    </row>
    <row r="639" spans="4:4" ht="14.25" customHeight="1">
      <c r="D639" s="1"/>
    </row>
    <row r="640" spans="4:4" ht="14.25" customHeight="1">
      <c r="D640" s="1"/>
    </row>
    <row r="641" spans="4:4" ht="14.25" customHeight="1">
      <c r="D641" s="1"/>
    </row>
    <row r="642" spans="4:4" ht="14.25" customHeight="1">
      <c r="D642" s="1"/>
    </row>
    <row r="643" spans="4:4" ht="14.25" customHeight="1">
      <c r="D643" s="1"/>
    </row>
    <row r="644" spans="4:4" ht="14.25" customHeight="1">
      <c r="D644" s="1"/>
    </row>
    <row r="645" spans="4:4" ht="14.25" customHeight="1">
      <c r="D645" s="1"/>
    </row>
    <row r="646" spans="4:4" ht="14.25" customHeight="1">
      <c r="D646" s="1"/>
    </row>
    <row r="647" spans="4:4" ht="14.25" customHeight="1">
      <c r="D647" s="1"/>
    </row>
    <row r="648" spans="4:4" ht="14.25" customHeight="1">
      <c r="D648" s="1"/>
    </row>
    <row r="649" spans="4:4" ht="14.25" customHeight="1">
      <c r="D649" s="1"/>
    </row>
    <row r="650" spans="4:4" ht="14.25" customHeight="1">
      <c r="D650" s="1"/>
    </row>
    <row r="651" spans="4:4" ht="14.25" customHeight="1">
      <c r="D651" s="1"/>
    </row>
    <row r="652" spans="4:4" ht="14.25" customHeight="1">
      <c r="D652" s="1"/>
    </row>
    <row r="653" spans="4:4" ht="14.25" customHeight="1">
      <c r="D653" s="1"/>
    </row>
    <row r="654" spans="4:4" ht="14.25" customHeight="1">
      <c r="D654" s="1"/>
    </row>
    <row r="655" spans="4:4" ht="14.25" customHeight="1">
      <c r="D655" s="1"/>
    </row>
    <row r="656" spans="4:4" ht="14.25" customHeight="1">
      <c r="D656" s="1"/>
    </row>
    <row r="657" spans="4:4" ht="14.25" customHeight="1">
      <c r="D657" s="1"/>
    </row>
    <row r="658" spans="4:4" ht="14.25" customHeight="1">
      <c r="D658" s="1"/>
    </row>
    <row r="659" spans="4:4" ht="14.25" customHeight="1">
      <c r="D659" s="1"/>
    </row>
    <row r="660" spans="4:4" ht="14.25" customHeight="1">
      <c r="D660" s="1"/>
    </row>
    <row r="661" spans="4:4" ht="14.25" customHeight="1">
      <c r="D661" s="1"/>
    </row>
    <row r="662" spans="4:4" ht="14.25" customHeight="1">
      <c r="D662" s="1"/>
    </row>
    <row r="663" spans="4:4" ht="14.25" customHeight="1">
      <c r="D663" s="1"/>
    </row>
    <row r="664" spans="4:4" ht="14.25" customHeight="1">
      <c r="D664" s="1"/>
    </row>
    <row r="665" spans="4:4" ht="14.25" customHeight="1">
      <c r="D665" s="1"/>
    </row>
    <row r="666" spans="4:4" ht="14.25" customHeight="1">
      <c r="D666" s="1"/>
    </row>
    <row r="667" spans="4:4" ht="14.25" customHeight="1">
      <c r="D667" s="1"/>
    </row>
    <row r="668" spans="4:4" ht="14.25" customHeight="1">
      <c r="D668" s="1"/>
    </row>
    <row r="669" spans="4:4" ht="14.25" customHeight="1">
      <c r="D669" s="1"/>
    </row>
    <row r="670" spans="4:4" ht="14.25" customHeight="1">
      <c r="D670" s="1"/>
    </row>
    <row r="671" spans="4:4" ht="14.25" customHeight="1">
      <c r="D671" s="1"/>
    </row>
    <row r="672" spans="4:4" ht="14.25" customHeight="1">
      <c r="D672" s="1"/>
    </row>
    <row r="673" spans="4:4" ht="14.25" customHeight="1">
      <c r="D673" s="1"/>
    </row>
    <row r="674" spans="4:4" ht="14.25" customHeight="1">
      <c r="D674" s="1"/>
    </row>
    <row r="675" spans="4:4" ht="14.25" customHeight="1">
      <c r="D675" s="1"/>
    </row>
    <row r="676" spans="4:4" ht="14.25" customHeight="1">
      <c r="D676" s="1"/>
    </row>
    <row r="677" spans="4:4" ht="14.25" customHeight="1">
      <c r="D677" s="1"/>
    </row>
    <row r="678" spans="4:4" ht="14.25" customHeight="1">
      <c r="D678" s="1"/>
    </row>
    <row r="679" spans="4:4" ht="14.25" customHeight="1">
      <c r="D679" s="1"/>
    </row>
    <row r="680" spans="4:4" ht="14.25" customHeight="1">
      <c r="D680" s="1"/>
    </row>
    <row r="681" spans="4:4" ht="14.25" customHeight="1">
      <c r="D681" s="1"/>
    </row>
    <row r="682" spans="4:4" ht="14.25" customHeight="1">
      <c r="D682" s="1"/>
    </row>
    <row r="683" spans="4:4" ht="14.25" customHeight="1">
      <c r="D683" s="1"/>
    </row>
    <row r="684" spans="4:4" ht="14.25" customHeight="1">
      <c r="D684" s="1"/>
    </row>
    <row r="685" spans="4:4" ht="14.25" customHeight="1">
      <c r="D685" s="1"/>
    </row>
    <row r="686" spans="4:4" ht="14.25" customHeight="1">
      <c r="D686" s="1"/>
    </row>
    <row r="687" spans="4:4" ht="14.25" customHeight="1">
      <c r="D687" s="1"/>
    </row>
    <row r="688" spans="4:4" ht="14.25" customHeight="1">
      <c r="D688" s="1"/>
    </row>
    <row r="689" spans="4:4" ht="14.25" customHeight="1">
      <c r="D689" s="1"/>
    </row>
    <row r="690" spans="4:4" ht="14.25" customHeight="1">
      <c r="D690" s="1"/>
    </row>
    <row r="691" spans="4:4" ht="14.25" customHeight="1">
      <c r="D691" s="1"/>
    </row>
    <row r="692" spans="4:4" ht="14.25" customHeight="1">
      <c r="D692" s="1"/>
    </row>
    <row r="693" spans="4:4" ht="14.25" customHeight="1">
      <c r="D693" s="1"/>
    </row>
    <row r="694" spans="4:4" ht="14.25" customHeight="1">
      <c r="D694" s="1"/>
    </row>
    <row r="695" spans="4:4" ht="14.25" customHeight="1">
      <c r="D695" s="1"/>
    </row>
    <row r="696" spans="4:4" ht="14.25" customHeight="1">
      <c r="D696" s="1"/>
    </row>
    <row r="697" spans="4:4" ht="14.25" customHeight="1">
      <c r="D697" s="1"/>
    </row>
    <row r="698" spans="4:4" ht="14.25" customHeight="1">
      <c r="D698" s="1"/>
    </row>
    <row r="699" spans="4:4" ht="14.25" customHeight="1">
      <c r="D699" s="1"/>
    </row>
    <row r="700" spans="4:4" ht="14.25" customHeight="1">
      <c r="D700" s="1"/>
    </row>
    <row r="701" spans="4:4" ht="14.25" customHeight="1">
      <c r="D701" s="1"/>
    </row>
    <row r="702" spans="4:4" ht="14.25" customHeight="1">
      <c r="D702" s="1"/>
    </row>
    <row r="703" spans="4:4" ht="14.25" customHeight="1">
      <c r="D703" s="1"/>
    </row>
    <row r="704" spans="4:4" ht="14.25" customHeight="1">
      <c r="D704" s="1"/>
    </row>
    <row r="705" spans="4:4" ht="14.25" customHeight="1">
      <c r="D705" s="1"/>
    </row>
    <row r="706" spans="4:4" ht="14.25" customHeight="1">
      <c r="D706" s="1"/>
    </row>
    <row r="707" spans="4:4" ht="14.25" customHeight="1">
      <c r="D707" s="1"/>
    </row>
    <row r="708" spans="4:4" ht="14.25" customHeight="1">
      <c r="D708" s="1"/>
    </row>
    <row r="709" spans="4:4" ht="14.25" customHeight="1">
      <c r="D709" s="1"/>
    </row>
    <row r="710" spans="4:4" ht="14.25" customHeight="1">
      <c r="D710" s="1"/>
    </row>
    <row r="711" spans="4:4" ht="14.25" customHeight="1">
      <c r="D711" s="1"/>
    </row>
    <row r="712" spans="4:4" ht="14.25" customHeight="1">
      <c r="D712" s="1"/>
    </row>
    <row r="713" spans="4:4" ht="14.25" customHeight="1">
      <c r="D713" s="1"/>
    </row>
    <row r="714" spans="4:4" ht="14.25" customHeight="1">
      <c r="D714" s="1"/>
    </row>
    <row r="715" spans="4:4" ht="14.25" customHeight="1">
      <c r="D715" s="1"/>
    </row>
    <row r="716" spans="4:4" ht="14.25" customHeight="1">
      <c r="D716" s="1"/>
    </row>
    <row r="717" spans="4:4" ht="14.25" customHeight="1">
      <c r="D717" s="1"/>
    </row>
    <row r="718" spans="4:4" ht="14.25" customHeight="1">
      <c r="D718" s="1"/>
    </row>
    <row r="719" spans="4:4" ht="14.25" customHeight="1">
      <c r="D719" s="1"/>
    </row>
    <row r="720" spans="4:4" ht="14.25" customHeight="1">
      <c r="D720" s="1"/>
    </row>
    <row r="721" spans="4:4" ht="14.25" customHeight="1">
      <c r="D721" s="1"/>
    </row>
    <row r="722" spans="4:4" ht="14.25" customHeight="1">
      <c r="D722" s="1"/>
    </row>
    <row r="723" spans="4:4" ht="14.25" customHeight="1">
      <c r="D723" s="1"/>
    </row>
    <row r="724" spans="4:4" ht="14.25" customHeight="1">
      <c r="D724" s="1"/>
    </row>
    <row r="725" spans="4:4" ht="14.25" customHeight="1">
      <c r="D725" s="1"/>
    </row>
    <row r="726" spans="4:4" ht="14.25" customHeight="1">
      <c r="D726" s="1"/>
    </row>
    <row r="727" spans="4:4" ht="14.25" customHeight="1">
      <c r="D727" s="1"/>
    </row>
    <row r="728" spans="4:4" ht="14.25" customHeight="1">
      <c r="D728" s="1"/>
    </row>
    <row r="729" spans="4:4" ht="14.25" customHeight="1">
      <c r="D729" s="1"/>
    </row>
    <row r="730" spans="4:4" ht="14.25" customHeight="1">
      <c r="D730" s="1"/>
    </row>
    <row r="731" spans="4:4" ht="14.25" customHeight="1">
      <c r="D731" s="1"/>
    </row>
    <row r="732" spans="4:4" ht="14.25" customHeight="1">
      <c r="D732" s="1"/>
    </row>
    <row r="733" spans="4:4" ht="14.25" customHeight="1">
      <c r="D733" s="1"/>
    </row>
    <row r="734" spans="4:4" ht="14.25" customHeight="1">
      <c r="D734" s="1"/>
    </row>
    <row r="735" spans="4:4" ht="14.25" customHeight="1">
      <c r="D735" s="1"/>
    </row>
    <row r="736" spans="4:4" ht="14.25" customHeight="1">
      <c r="D736" s="1"/>
    </row>
    <row r="737" spans="4:4" ht="14.25" customHeight="1">
      <c r="D737" s="1"/>
    </row>
    <row r="738" spans="4:4" ht="14.25" customHeight="1">
      <c r="D738" s="1"/>
    </row>
    <row r="739" spans="4:4" ht="14.25" customHeight="1">
      <c r="D739" s="1"/>
    </row>
    <row r="740" spans="4:4" ht="14.25" customHeight="1">
      <c r="D740" s="1"/>
    </row>
    <row r="741" spans="4:4" ht="14.25" customHeight="1">
      <c r="D741" s="1"/>
    </row>
    <row r="742" spans="4:4" ht="14.25" customHeight="1">
      <c r="D742" s="1"/>
    </row>
    <row r="743" spans="4:4" ht="14.25" customHeight="1">
      <c r="D743" s="1"/>
    </row>
    <row r="744" spans="4:4" ht="14.25" customHeight="1">
      <c r="D744" s="1"/>
    </row>
    <row r="745" spans="4:4" ht="14.25" customHeight="1">
      <c r="D745" s="1"/>
    </row>
    <row r="746" spans="4:4" ht="14.25" customHeight="1">
      <c r="D746" s="1"/>
    </row>
    <row r="747" spans="4:4" ht="14.25" customHeight="1">
      <c r="D747" s="1"/>
    </row>
    <row r="748" spans="4:4" ht="14.25" customHeight="1">
      <c r="D748" s="1"/>
    </row>
    <row r="749" spans="4:4" ht="14.25" customHeight="1">
      <c r="D749" s="1"/>
    </row>
    <row r="750" spans="4:4" ht="14.25" customHeight="1">
      <c r="D750" s="1"/>
    </row>
    <row r="751" spans="4:4" ht="14.25" customHeight="1">
      <c r="D751" s="1"/>
    </row>
    <row r="752" spans="4:4" ht="14.25" customHeight="1">
      <c r="D752" s="1"/>
    </row>
    <row r="753" spans="4:4" ht="14.25" customHeight="1">
      <c r="D753" s="1"/>
    </row>
    <row r="754" spans="4:4" ht="14.25" customHeight="1">
      <c r="D754" s="1"/>
    </row>
    <row r="755" spans="4:4" ht="14.25" customHeight="1">
      <c r="D755" s="1"/>
    </row>
    <row r="756" spans="4:4" ht="14.25" customHeight="1">
      <c r="D756" s="1"/>
    </row>
    <row r="757" spans="4:4" ht="14.25" customHeight="1">
      <c r="D757" s="1"/>
    </row>
    <row r="758" spans="4:4" ht="14.25" customHeight="1">
      <c r="D758" s="1"/>
    </row>
    <row r="759" spans="4:4" ht="14.25" customHeight="1">
      <c r="D759" s="1"/>
    </row>
    <row r="760" spans="4:4" ht="14.25" customHeight="1">
      <c r="D760" s="1"/>
    </row>
    <row r="761" spans="4:4" ht="14.25" customHeight="1">
      <c r="D761" s="1"/>
    </row>
    <row r="762" spans="4:4" ht="14.25" customHeight="1">
      <c r="D762" s="1"/>
    </row>
    <row r="763" spans="4:4" ht="14.25" customHeight="1">
      <c r="D763" s="1"/>
    </row>
    <row r="764" spans="4:4" ht="14.25" customHeight="1">
      <c r="D764" s="1"/>
    </row>
    <row r="765" spans="4:4" ht="14.25" customHeight="1">
      <c r="D765" s="1"/>
    </row>
    <row r="766" spans="4:4" ht="14.25" customHeight="1">
      <c r="D766" s="1"/>
    </row>
    <row r="767" spans="4:4" ht="14.25" customHeight="1">
      <c r="D767" s="1"/>
    </row>
    <row r="768" spans="4:4" ht="14.25" customHeight="1">
      <c r="D768" s="1"/>
    </row>
    <row r="769" spans="4:4" ht="14.25" customHeight="1">
      <c r="D769" s="1"/>
    </row>
    <row r="770" spans="4:4" ht="14.25" customHeight="1">
      <c r="D770" s="1"/>
    </row>
    <row r="771" spans="4:4" ht="14.25" customHeight="1">
      <c r="D771" s="1"/>
    </row>
    <row r="772" spans="4:4" ht="14.25" customHeight="1">
      <c r="D772" s="1"/>
    </row>
    <row r="773" spans="4:4" ht="14.25" customHeight="1">
      <c r="D773" s="1"/>
    </row>
    <row r="774" spans="4:4" ht="14.25" customHeight="1">
      <c r="D774" s="1"/>
    </row>
    <row r="775" spans="4:4" ht="14.25" customHeight="1">
      <c r="D775" s="1"/>
    </row>
    <row r="776" spans="4:4" ht="14.25" customHeight="1">
      <c r="D776" s="1"/>
    </row>
    <row r="777" spans="4:4" ht="14.25" customHeight="1">
      <c r="D777" s="1"/>
    </row>
    <row r="778" spans="4:4" ht="14.25" customHeight="1">
      <c r="D778" s="1"/>
    </row>
    <row r="779" spans="4:4" ht="14.25" customHeight="1">
      <c r="D779" s="1"/>
    </row>
    <row r="780" spans="4:4" ht="14.25" customHeight="1">
      <c r="D780" s="1"/>
    </row>
    <row r="781" spans="4:4" ht="14.25" customHeight="1">
      <c r="D781" s="1"/>
    </row>
    <row r="782" spans="4:4" ht="14.25" customHeight="1">
      <c r="D782" s="1"/>
    </row>
    <row r="783" spans="4:4" ht="14.25" customHeight="1">
      <c r="D783" s="1"/>
    </row>
    <row r="784" spans="4:4" ht="14.25" customHeight="1">
      <c r="D784" s="1"/>
    </row>
    <row r="785" spans="4:4" ht="14.25" customHeight="1">
      <c r="D785" s="1"/>
    </row>
    <row r="786" spans="4:4" ht="14.25" customHeight="1">
      <c r="D786" s="1"/>
    </row>
    <row r="787" spans="4:4" ht="14.25" customHeight="1">
      <c r="D787" s="1"/>
    </row>
    <row r="788" spans="4:4" ht="14.25" customHeight="1">
      <c r="D788" s="1"/>
    </row>
    <row r="789" spans="4:4" ht="14.25" customHeight="1">
      <c r="D789" s="1"/>
    </row>
    <row r="790" spans="4:4" ht="14.25" customHeight="1">
      <c r="D790" s="1"/>
    </row>
    <row r="791" spans="4:4" ht="14.25" customHeight="1">
      <c r="D791" s="1"/>
    </row>
    <row r="792" spans="4:4" ht="14.25" customHeight="1">
      <c r="D792" s="1"/>
    </row>
    <row r="793" spans="4:4" ht="14.25" customHeight="1">
      <c r="D793" s="1"/>
    </row>
    <row r="794" spans="4:4" ht="14.25" customHeight="1">
      <c r="D794" s="1"/>
    </row>
    <row r="795" spans="4:4" ht="14.25" customHeight="1">
      <c r="D795" s="1"/>
    </row>
    <row r="796" spans="4:4" ht="14.25" customHeight="1">
      <c r="D796" s="1"/>
    </row>
    <row r="797" spans="4:4" ht="14.25" customHeight="1">
      <c r="D797" s="1"/>
    </row>
    <row r="798" spans="4:4" ht="14.25" customHeight="1">
      <c r="D798" s="1"/>
    </row>
    <row r="799" spans="4:4" ht="14.25" customHeight="1">
      <c r="D799" s="1"/>
    </row>
    <row r="800" spans="4:4" ht="14.25" customHeight="1">
      <c r="D800" s="1"/>
    </row>
    <row r="801" spans="4:4" ht="14.25" customHeight="1">
      <c r="D801" s="1"/>
    </row>
    <row r="802" spans="4:4" ht="14.25" customHeight="1">
      <c r="D802" s="1"/>
    </row>
    <row r="803" spans="4:4" ht="14.25" customHeight="1">
      <c r="D803" s="1"/>
    </row>
    <row r="804" spans="4:4" ht="14.25" customHeight="1">
      <c r="D804" s="1"/>
    </row>
    <row r="805" spans="4:4" ht="14.25" customHeight="1">
      <c r="D805" s="1"/>
    </row>
    <row r="806" spans="4:4" ht="14.25" customHeight="1">
      <c r="D806" s="1"/>
    </row>
    <row r="807" spans="4:4" ht="14.25" customHeight="1">
      <c r="D807" s="1"/>
    </row>
    <row r="808" spans="4:4" ht="14.25" customHeight="1">
      <c r="D808" s="1"/>
    </row>
    <row r="809" spans="4:4" ht="14.25" customHeight="1">
      <c r="D809" s="1"/>
    </row>
    <row r="810" spans="4:4" ht="14.25" customHeight="1">
      <c r="D810" s="1"/>
    </row>
    <row r="811" spans="4:4" ht="14.25" customHeight="1">
      <c r="D811" s="1"/>
    </row>
    <row r="812" spans="4:4" ht="14.25" customHeight="1">
      <c r="D812" s="1"/>
    </row>
    <row r="813" spans="4:4" ht="14.25" customHeight="1">
      <c r="D813" s="1"/>
    </row>
    <row r="814" spans="4:4" ht="14.25" customHeight="1">
      <c r="D814" s="1"/>
    </row>
    <row r="815" spans="4:4" ht="14.25" customHeight="1">
      <c r="D815" s="1"/>
    </row>
    <row r="816" spans="4:4" ht="14.25" customHeight="1">
      <c r="D816" s="1"/>
    </row>
    <row r="817" spans="4:4" ht="14.25" customHeight="1">
      <c r="D817" s="1"/>
    </row>
    <row r="818" spans="4:4" ht="14.25" customHeight="1">
      <c r="D818" s="1"/>
    </row>
    <row r="819" spans="4:4" ht="14.25" customHeight="1">
      <c r="D819" s="1"/>
    </row>
    <row r="820" spans="4:4" ht="14.25" customHeight="1">
      <c r="D820" s="1"/>
    </row>
    <row r="821" spans="4:4" ht="14.25" customHeight="1">
      <c r="D821" s="1"/>
    </row>
    <row r="822" spans="4:4" ht="14.25" customHeight="1">
      <c r="D822" s="1"/>
    </row>
    <row r="823" spans="4:4" ht="14.25" customHeight="1">
      <c r="D823" s="1"/>
    </row>
    <row r="824" spans="4:4" ht="14.25" customHeight="1">
      <c r="D824" s="1"/>
    </row>
    <row r="825" spans="4:4" ht="14.25" customHeight="1">
      <c r="D825" s="1"/>
    </row>
    <row r="826" spans="4:4" ht="14.25" customHeight="1">
      <c r="D826" s="1"/>
    </row>
    <row r="827" spans="4:4" ht="14.25" customHeight="1">
      <c r="D827" s="1"/>
    </row>
    <row r="828" spans="4:4" ht="14.25" customHeight="1">
      <c r="D828" s="1"/>
    </row>
    <row r="829" spans="4:4" ht="14.25" customHeight="1">
      <c r="D829" s="1"/>
    </row>
    <row r="830" spans="4:4" ht="14.25" customHeight="1">
      <c r="D830" s="1"/>
    </row>
    <row r="831" spans="4:4" ht="14.25" customHeight="1">
      <c r="D831" s="1"/>
    </row>
    <row r="832" spans="4:4" ht="14.25" customHeight="1">
      <c r="D832" s="1"/>
    </row>
    <row r="833" spans="4:4" ht="14.25" customHeight="1">
      <c r="D833" s="1"/>
    </row>
    <row r="834" spans="4:4" ht="14.25" customHeight="1">
      <c r="D834" s="1"/>
    </row>
    <row r="835" spans="4:4" ht="14.25" customHeight="1">
      <c r="D835" s="1"/>
    </row>
    <row r="836" spans="4:4" ht="14.25" customHeight="1">
      <c r="D836" s="1"/>
    </row>
    <row r="837" spans="4:4" ht="14.25" customHeight="1">
      <c r="D837" s="1"/>
    </row>
    <row r="838" spans="4:4" ht="14.25" customHeight="1">
      <c r="D838" s="1"/>
    </row>
    <row r="839" spans="4:4" ht="14.25" customHeight="1">
      <c r="D839" s="1"/>
    </row>
    <row r="840" spans="4:4" ht="14.25" customHeight="1">
      <c r="D840" s="1"/>
    </row>
    <row r="841" spans="4:4" ht="14.25" customHeight="1">
      <c r="D841" s="1"/>
    </row>
    <row r="842" spans="4:4" ht="14.25" customHeight="1">
      <c r="D842" s="1"/>
    </row>
    <row r="843" spans="4:4" ht="14.25" customHeight="1">
      <c r="D843" s="1"/>
    </row>
    <row r="844" spans="4:4" ht="14.25" customHeight="1">
      <c r="D844" s="1"/>
    </row>
    <row r="845" spans="4:4" ht="14.25" customHeight="1">
      <c r="D845" s="1"/>
    </row>
    <row r="846" spans="4:4" ht="14.25" customHeight="1">
      <c r="D846" s="1"/>
    </row>
    <row r="847" spans="4:4" ht="14.25" customHeight="1">
      <c r="D847" s="1"/>
    </row>
    <row r="848" spans="4:4" ht="14.25" customHeight="1">
      <c r="D848" s="1"/>
    </row>
    <row r="849" spans="4:4" ht="14.25" customHeight="1">
      <c r="D849" s="1"/>
    </row>
    <row r="850" spans="4:4" ht="14.25" customHeight="1">
      <c r="D850" s="1"/>
    </row>
    <row r="851" spans="4:4" ht="14.25" customHeight="1">
      <c r="D851" s="1"/>
    </row>
    <row r="852" spans="4:4" ht="14.25" customHeight="1">
      <c r="D852" s="1"/>
    </row>
    <row r="853" spans="4:4" ht="14.25" customHeight="1">
      <c r="D853" s="1"/>
    </row>
    <row r="854" spans="4:4" ht="14.25" customHeight="1">
      <c r="D854" s="1"/>
    </row>
    <row r="855" spans="4:4" ht="14.25" customHeight="1">
      <c r="D855" s="1"/>
    </row>
    <row r="856" spans="4:4" ht="14.25" customHeight="1">
      <c r="D856" s="1"/>
    </row>
    <row r="857" spans="4:4" ht="14.25" customHeight="1">
      <c r="D857" s="1"/>
    </row>
    <row r="858" spans="4:4" ht="14.25" customHeight="1">
      <c r="D858" s="1"/>
    </row>
    <row r="859" spans="4:4" ht="14.25" customHeight="1">
      <c r="D859" s="1"/>
    </row>
    <row r="860" spans="4:4" ht="14.25" customHeight="1">
      <c r="D860" s="1"/>
    </row>
    <row r="861" spans="4:4" ht="14.25" customHeight="1">
      <c r="D861" s="1"/>
    </row>
    <row r="862" spans="4:4" ht="14.25" customHeight="1">
      <c r="D862" s="1"/>
    </row>
    <row r="863" spans="4:4" ht="14.25" customHeight="1">
      <c r="D863" s="1"/>
    </row>
    <row r="864" spans="4:4" ht="14.25" customHeight="1">
      <c r="D864" s="1"/>
    </row>
    <row r="865" spans="4:4" ht="14.25" customHeight="1">
      <c r="D865" s="1"/>
    </row>
    <row r="866" spans="4:4" ht="14.25" customHeight="1">
      <c r="D866" s="1"/>
    </row>
    <row r="867" spans="4:4" ht="14.25" customHeight="1">
      <c r="D867" s="1"/>
    </row>
    <row r="868" spans="4:4" ht="14.25" customHeight="1">
      <c r="D868" s="1"/>
    </row>
    <row r="869" spans="4:4" ht="14.25" customHeight="1">
      <c r="D869" s="1"/>
    </row>
    <row r="870" spans="4:4" ht="14.25" customHeight="1">
      <c r="D870" s="1"/>
    </row>
    <row r="871" spans="4:4" ht="14.25" customHeight="1">
      <c r="D871" s="1"/>
    </row>
    <row r="872" spans="4:4" ht="14.25" customHeight="1">
      <c r="D872" s="1"/>
    </row>
    <row r="873" spans="4:4" ht="14.25" customHeight="1">
      <c r="D873" s="1"/>
    </row>
    <row r="874" spans="4:4" ht="14.25" customHeight="1">
      <c r="D874" s="1"/>
    </row>
    <row r="875" spans="4:4" ht="14.25" customHeight="1">
      <c r="D875" s="1"/>
    </row>
    <row r="876" spans="4:4" ht="14.25" customHeight="1">
      <c r="D876" s="1"/>
    </row>
    <row r="877" spans="4:4" ht="14.25" customHeight="1">
      <c r="D877" s="1"/>
    </row>
    <row r="878" spans="4:4" ht="14.25" customHeight="1">
      <c r="D878" s="1"/>
    </row>
    <row r="879" spans="4:4" ht="14.25" customHeight="1">
      <c r="D879" s="1"/>
    </row>
    <row r="880" spans="4:4" ht="14.25" customHeight="1">
      <c r="D880" s="1"/>
    </row>
    <row r="881" spans="4:4" ht="14.25" customHeight="1">
      <c r="D881" s="1"/>
    </row>
    <row r="882" spans="4:4" ht="14.25" customHeight="1">
      <c r="D882" s="1"/>
    </row>
    <row r="883" spans="4:4" ht="14.25" customHeight="1">
      <c r="D883" s="1"/>
    </row>
    <row r="884" spans="4:4" ht="14.25" customHeight="1">
      <c r="D884" s="1"/>
    </row>
    <row r="885" spans="4:4" ht="14.25" customHeight="1">
      <c r="D885" s="1"/>
    </row>
    <row r="886" spans="4:4" ht="14.25" customHeight="1">
      <c r="D886" s="1"/>
    </row>
    <row r="887" spans="4:4" ht="14.25" customHeight="1">
      <c r="D887" s="1"/>
    </row>
    <row r="888" spans="4:4" ht="14.25" customHeight="1">
      <c r="D888" s="1"/>
    </row>
    <row r="889" spans="4:4" ht="14.25" customHeight="1">
      <c r="D889" s="1"/>
    </row>
    <row r="890" spans="4:4" ht="14.25" customHeight="1">
      <c r="D890" s="1"/>
    </row>
    <row r="891" spans="4:4" ht="14.25" customHeight="1">
      <c r="D891" s="1"/>
    </row>
    <row r="892" spans="4:4" ht="14.25" customHeight="1">
      <c r="D892" s="1"/>
    </row>
    <row r="893" spans="4:4" ht="14.25" customHeight="1">
      <c r="D893" s="1"/>
    </row>
    <row r="894" spans="4:4" ht="14.25" customHeight="1">
      <c r="D894" s="1"/>
    </row>
    <row r="895" spans="4:4" ht="14.25" customHeight="1">
      <c r="D895" s="1"/>
    </row>
    <row r="896" spans="4:4" ht="14.25" customHeight="1">
      <c r="D896" s="1"/>
    </row>
    <row r="897" spans="4:4" ht="14.25" customHeight="1">
      <c r="D897" s="1"/>
    </row>
    <row r="898" spans="4:4" ht="14.25" customHeight="1">
      <c r="D898" s="1"/>
    </row>
    <row r="899" spans="4:4" ht="14.25" customHeight="1">
      <c r="D899" s="1"/>
    </row>
    <row r="900" spans="4:4" ht="14.25" customHeight="1">
      <c r="D900" s="1"/>
    </row>
    <row r="901" spans="4:4" ht="14.25" customHeight="1">
      <c r="D901" s="1"/>
    </row>
    <row r="902" spans="4:4" ht="14.25" customHeight="1">
      <c r="D902" s="1"/>
    </row>
    <row r="903" spans="4:4" ht="14.25" customHeight="1">
      <c r="D903" s="1"/>
    </row>
    <row r="904" spans="4:4" ht="14.25" customHeight="1">
      <c r="D904" s="1"/>
    </row>
    <row r="905" spans="4:4" ht="14.25" customHeight="1">
      <c r="D905" s="1"/>
    </row>
    <row r="906" spans="4:4" ht="14.25" customHeight="1">
      <c r="D906" s="1"/>
    </row>
    <row r="907" spans="4:4" ht="14.25" customHeight="1">
      <c r="D907" s="1"/>
    </row>
    <row r="908" spans="4:4" ht="14.25" customHeight="1">
      <c r="D908" s="1"/>
    </row>
    <row r="909" spans="4:4" ht="14.25" customHeight="1">
      <c r="D909" s="1"/>
    </row>
    <row r="910" spans="4:4" ht="14.25" customHeight="1">
      <c r="D910" s="1"/>
    </row>
    <row r="911" spans="4:4" ht="14.25" customHeight="1">
      <c r="D911" s="1"/>
    </row>
    <row r="912" spans="4:4" ht="14.25" customHeight="1">
      <c r="D912" s="1"/>
    </row>
    <row r="913" spans="4:4" ht="14.25" customHeight="1">
      <c r="D913" s="1"/>
    </row>
    <row r="914" spans="4:4" ht="14.25" customHeight="1">
      <c r="D914" s="1"/>
    </row>
    <row r="915" spans="4:4" ht="14.25" customHeight="1">
      <c r="D915" s="1"/>
    </row>
    <row r="916" spans="4:4" ht="14.25" customHeight="1">
      <c r="D916" s="1"/>
    </row>
    <row r="917" spans="4:4" ht="14.25" customHeight="1">
      <c r="D917" s="1"/>
    </row>
    <row r="918" spans="4:4" ht="14.25" customHeight="1">
      <c r="D918" s="1"/>
    </row>
    <row r="919" spans="4:4" ht="14.25" customHeight="1">
      <c r="D919" s="1"/>
    </row>
    <row r="920" spans="4:4" ht="14.25" customHeight="1">
      <c r="D920" s="1"/>
    </row>
    <row r="921" spans="4:4" ht="14.25" customHeight="1">
      <c r="D921" s="1"/>
    </row>
    <row r="922" spans="4:4" ht="14.25" customHeight="1">
      <c r="D922" s="1"/>
    </row>
    <row r="923" spans="4:4" ht="14.25" customHeight="1">
      <c r="D923" s="1"/>
    </row>
    <row r="924" spans="4:4" ht="14.25" customHeight="1">
      <c r="D924" s="1"/>
    </row>
    <row r="925" spans="4:4" ht="14.25" customHeight="1">
      <c r="D925" s="1"/>
    </row>
    <row r="926" spans="4:4" ht="14.25" customHeight="1">
      <c r="D926" s="1"/>
    </row>
    <row r="927" spans="4:4" ht="14.25" customHeight="1">
      <c r="D927" s="1"/>
    </row>
    <row r="928" spans="4:4" ht="14.25" customHeight="1">
      <c r="D928" s="1"/>
    </row>
    <row r="929" spans="4:4" ht="14.25" customHeight="1">
      <c r="D929" s="1"/>
    </row>
    <row r="930" spans="4:4" ht="14.25" customHeight="1">
      <c r="D930" s="1"/>
    </row>
    <row r="931" spans="4:4" ht="14.25" customHeight="1">
      <c r="D931" s="1"/>
    </row>
    <row r="932" spans="4:4" ht="14.25" customHeight="1">
      <c r="D932" s="1"/>
    </row>
    <row r="933" spans="4:4" ht="14.25" customHeight="1">
      <c r="D933" s="1"/>
    </row>
    <row r="934" spans="4:4" ht="14.25" customHeight="1">
      <c r="D934" s="1"/>
    </row>
    <row r="935" spans="4:4" ht="14.25" customHeight="1">
      <c r="D935" s="1"/>
    </row>
    <row r="936" spans="4:4" ht="14.25" customHeight="1">
      <c r="D936" s="1"/>
    </row>
    <row r="937" spans="4:4" ht="14.25" customHeight="1">
      <c r="D937" s="1"/>
    </row>
    <row r="938" spans="4:4" ht="14.25" customHeight="1">
      <c r="D938" s="1"/>
    </row>
    <row r="939" spans="4:4" ht="14.25" customHeight="1">
      <c r="D939" s="1"/>
    </row>
    <row r="940" spans="4:4" ht="14.25" customHeight="1">
      <c r="D940" s="1"/>
    </row>
    <row r="941" spans="4:4" ht="14.25" customHeight="1">
      <c r="D941" s="1"/>
    </row>
    <row r="942" spans="4:4" ht="14.25" customHeight="1">
      <c r="D942" s="1"/>
    </row>
    <row r="943" spans="4:4" ht="14.25" customHeight="1">
      <c r="D943" s="1"/>
    </row>
    <row r="944" spans="4:4" ht="14.25" customHeight="1">
      <c r="D944" s="1"/>
    </row>
    <row r="945" spans="4:4" ht="14.25" customHeight="1">
      <c r="D945" s="1"/>
    </row>
    <row r="946" spans="4:4" ht="14.25" customHeight="1">
      <c r="D946" s="1"/>
    </row>
    <row r="947" spans="4:4" ht="14.25" customHeight="1">
      <c r="D947" s="1"/>
    </row>
    <row r="948" spans="4:4" ht="14.25" customHeight="1">
      <c r="D948" s="1"/>
    </row>
    <row r="949" spans="4:4" ht="14.25" customHeight="1">
      <c r="D949" s="1"/>
    </row>
    <row r="950" spans="4:4" ht="14.25" customHeight="1">
      <c r="D950" s="1"/>
    </row>
    <row r="951" spans="4:4" ht="14.25" customHeight="1">
      <c r="D951" s="1"/>
    </row>
    <row r="952" spans="4:4" ht="14.25" customHeight="1">
      <c r="D952" s="1"/>
    </row>
    <row r="953" spans="4:4" ht="14.25" customHeight="1">
      <c r="D953" s="1"/>
    </row>
    <row r="954" spans="4:4" ht="14.25" customHeight="1">
      <c r="D954" s="1"/>
    </row>
    <row r="955" spans="4:4" ht="14.25" customHeight="1">
      <c r="D955" s="1"/>
    </row>
    <row r="956" spans="4:4" ht="14.25" customHeight="1">
      <c r="D956" s="1"/>
    </row>
    <row r="957" spans="4:4" ht="14.25" customHeight="1">
      <c r="D957" s="1"/>
    </row>
    <row r="958" spans="4:4" ht="14.25" customHeight="1">
      <c r="D958" s="1"/>
    </row>
    <row r="959" spans="4:4" ht="14.25" customHeight="1">
      <c r="D959" s="1"/>
    </row>
    <row r="960" spans="4:4" ht="14.25" customHeight="1">
      <c r="D960" s="1"/>
    </row>
    <row r="961" spans="4:4" ht="14.25" customHeight="1">
      <c r="D961" s="1"/>
    </row>
    <row r="962" spans="4:4" ht="14.25" customHeight="1">
      <c r="D962" s="1"/>
    </row>
    <row r="963" spans="4:4" ht="14.25" customHeight="1">
      <c r="D963" s="1"/>
    </row>
    <row r="964" spans="4:4" ht="14.25" customHeight="1">
      <c r="D964" s="1"/>
    </row>
    <row r="965" spans="4:4" ht="14.25" customHeight="1">
      <c r="D965" s="1"/>
    </row>
    <row r="966" spans="4:4" ht="14.25" customHeight="1">
      <c r="D966" s="1"/>
    </row>
    <row r="967" spans="4:4" ht="14.25" customHeight="1">
      <c r="D967" s="1"/>
    </row>
    <row r="968" spans="4:4" ht="14.25" customHeight="1">
      <c r="D968" s="1"/>
    </row>
    <row r="969" spans="4:4" ht="14.25" customHeight="1">
      <c r="D969" s="1"/>
    </row>
    <row r="970" spans="4:4" ht="14.25" customHeight="1">
      <c r="D970" s="1"/>
    </row>
    <row r="971" spans="4:4" ht="14.25" customHeight="1">
      <c r="D971" s="1"/>
    </row>
    <row r="972" spans="4:4" ht="14.25" customHeight="1">
      <c r="D972" s="1"/>
    </row>
    <row r="973" spans="4:4" ht="14.25" customHeight="1">
      <c r="D973" s="1"/>
    </row>
    <row r="974" spans="4:4" ht="14.25" customHeight="1">
      <c r="D974" s="1"/>
    </row>
    <row r="975" spans="4:4" ht="14.25" customHeight="1">
      <c r="D975" s="1"/>
    </row>
    <row r="976" spans="4:4" ht="14.25" customHeight="1">
      <c r="D976" s="1"/>
    </row>
    <row r="977" spans="4:4" ht="14.25" customHeight="1">
      <c r="D977" s="1"/>
    </row>
    <row r="978" spans="4:4" ht="14.25" customHeight="1">
      <c r="D978" s="1"/>
    </row>
    <row r="979" spans="4:4" ht="14.25" customHeight="1">
      <c r="D979" s="1"/>
    </row>
    <row r="980" spans="4:4" ht="14.25" customHeight="1">
      <c r="D980" s="1"/>
    </row>
    <row r="981" spans="4:4" ht="14.25" customHeight="1">
      <c r="D981" s="1"/>
    </row>
    <row r="982" spans="4:4" ht="14.25" customHeight="1">
      <c r="D982" s="1"/>
    </row>
    <row r="983" spans="4:4" ht="14.25" customHeight="1">
      <c r="D983" s="1"/>
    </row>
    <row r="984" spans="4:4" ht="14.25" customHeight="1">
      <c r="D984" s="1"/>
    </row>
    <row r="985" spans="4:4" ht="14.25" customHeight="1">
      <c r="D985" s="1"/>
    </row>
    <row r="986" spans="4:4" ht="14.25" customHeight="1">
      <c r="D986" s="1"/>
    </row>
    <row r="987" spans="4:4" ht="14.25" customHeight="1">
      <c r="D987" s="1"/>
    </row>
    <row r="988" spans="4:4" ht="14.25" customHeight="1">
      <c r="D988" s="1"/>
    </row>
    <row r="989" spans="4:4" ht="14.25" customHeight="1">
      <c r="D989" s="1"/>
    </row>
    <row r="990" spans="4:4" ht="14.25" customHeight="1">
      <c r="D990" s="1"/>
    </row>
    <row r="991" spans="4:4" ht="14.25" customHeight="1">
      <c r="D991" s="1"/>
    </row>
    <row r="992" spans="4:4" ht="14.25" customHeight="1">
      <c r="D992" s="1"/>
    </row>
    <row r="993" spans="4:4" ht="14.25" customHeight="1">
      <c r="D993" s="1"/>
    </row>
    <row r="994" spans="4:4" ht="14.25" customHeight="1">
      <c r="D994" s="1"/>
    </row>
    <row r="995" spans="4:4" ht="14.25" customHeight="1">
      <c r="D995" s="1"/>
    </row>
    <row r="996" spans="4:4" ht="14.25" customHeight="1">
      <c r="D996" s="1"/>
    </row>
    <row r="997" spans="4:4" ht="14.25" customHeight="1">
      <c r="D997" s="1"/>
    </row>
    <row r="998" spans="4:4" ht="14.25" customHeight="1">
      <c r="D998" s="1"/>
    </row>
    <row r="999" spans="4:4" ht="14.25" customHeight="1">
      <c r="D999" s="1"/>
    </row>
    <row r="1000" spans="4:4" ht="14.25" customHeight="1">
      <c r="D1000" s="1"/>
    </row>
  </sheetData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/>
  <cols>
    <col min="1" max="1" width="10.1640625" customWidth="1"/>
    <col min="2" max="2" width="18.5" customWidth="1"/>
    <col min="3" max="4" width="13.6640625" customWidth="1"/>
    <col min="5" max="5" width="13.83203125" customWidth="1"/>
    <col min="6" max="6" width="13" customWidth="1"/>
    <col min="7" max="26" width="8.6640625" customWidth="1"/>
  </cols>
  <sheetData>
    <row r="1" spans="1:26" ht="16">
      <c r="A1" s="19"/>
      <c r="B1" s="19"/>
      <c r="C1" s="19"/>
      <c r="D1" s="19"/>
      <c r="E1" s="20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8">
      <c r="A2" s="19"/>
      <c r="B2" s="21" t="s">
        <v>0</v>
      </c>
      <c r="C2" s="21"/>
      <c r="D2" s="21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6">
      <c r="A3" s="19"/>
      <c r="B3" s="19" t="s">
        <v>23</v>
      </c>
      <c r="C3" s="19"/>
      <c r="D3" s="19"/>
      <c r="E3" s="20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6">
      <c r="A4" s="19"/>
      <c r="B4" s="19"/>
      <c r="C4" s="19"/>
      <c r="D4" s="19"/>
      <c r="E4" s="20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6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25.5" customHeight="1">
      <c r="A6" s="19"/>
      <c r="B6" s="49" t="s">
        <v>24</v>
      </c>
      <c r="C6" s="50"/>
      <c r="D6" s="50"/>
      <c r="E6" s="5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6">
      <c r="A7" s="19"/>
      <c r="B7" s="22" t="s">
        <v>4</v>
      </c>
      <c r="C7" s="22" t="s">
        <v>5</v>
      </c>
      <c r="D7" s="23" t="s">
        <v>6</v>
      </c>
      <c r="E7" s="22" t="s">
        <v>7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6">
      <c r="A8" s="19"/>
      <c r="B8" s="24" t="s">
        <v>8</v>
      </c>
      <c r="C8" s="24" t="s">
        <v>9</v>
      </c>
      <c r="D8" s="25" t="s">
        <v>10</v>
      </c>
      <c r="E8" s="24" t="s">
        <v>11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6">
      <c r="A9" s="19"/>
      <c r="B9" s="26">
        <v>0</v>
      </c>
      <c r="C9" s="26">
        <v>0</v>
      </c>
      <c r="D9" s="27">
        <v>0</v>
      </c>
      <c r="E9" s="28">
        <v>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6">
      <c r="A10" s="19" t="s">
        <v>25</v>
      </c>
      <c r="B10" s="26">
        <v>16.899999999999999</v>
      </c>
      <c r="C10" s="29">
        <v>27.53</v>
      </c>
      <c r="D10" s="27">
        <f t="shared" ref="D10:D26" si="0">C10/(B10-B9)</f>
        <v>1.6289940828402369</v>
      </c>
      <c r="E10" s="28">
        <f t="shared" ref="E10:E26" si="1">E9+C10</f>
        <v>27.53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6">
      <c r="A11" s="19"/>
      <c r="B11" s="26">
        <v>22.3</v>
      </c>
      <c r="C11" s="26">
        <v>13.27</v>
      </c>
      <c r="D11" s="27">
        <f t="shared" si="0"/>
        <v>2.4574074074074064</v>
      </c>
      <c r="E11" s="28">
        <f t="shared" si="1"/>
        <v>40.799999999999997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6">
      <c r="A12" s="19"/>
      <c r="B12" s="26">
        <v>27.3</v>
      </c>
      <c r="C12" s="26">
        <v>12.07</v>
      </c>
      <c r="D12" s="27">
        <f t="shared" si="0"/>
        <v>2.4140000000000001</v>
      </c>
      <c r="E12" s="28">
        <f t="shared" si="1"/>
        <v>52.87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6">
      <c r="A13" s="19"/>
      <c r="B13" s="26">
        <v>32.299999999999997</v>
      </c>
      <c r="C13" s="26">
        <v>12.97</v>
      </c>
      <c r="D13" s="27">
        <f t="shared" si="0"/>
        <v>2.5940000000000021</v>
      </c>
      <c r="E13" s="28">
        <f t="shared" si="1"/>
        <v>65.84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6">
      <c r="A14" s="19"/>
      <c r="B14" s="26">
        <v>37.799999999999997</v>
      </c>
      <c r="C14" s="26">
        <v>15.67</v>
      </c>
      <c r="D14" s="27">
        <f t="shared" si="0"/>
        <v>2.8490909090909091</v>
      </c>
      <c r="E14" s="28">
        <f t="shared" si="1"/>
        <v>81.510000000000005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6">
      <c r="A15" s="19"/>
      <c r="B15" s="26">
        <v>42.1</v>
      </c>
      <c r="C15" s="26">
        <v>12.67</v>
      </c>
      <c r="D15" s="27">
        <f t="shared" si="0"/>
        <v>2.9465116279069736</v>
      </c>
      <c r="E15" s="28">
        <f t="shared" si="1"/>
        <v>94.18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6">
      <c r="A16" s="19"/>
      <c r="B16" s="26">
        <v>47.6</v>
      </c>
      <c r="C16" s="26">
        <v>14.77</v>
      </c>
      <c r="D16" s="27">
        <f t="shared" si="0"/>
        <v>2.6854545454545455</v>
      </c>
      <c r="E16" s="28">
        <f t="shared" si="1"/>
        <v>108.95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6">
      <c r="A17" s="19"/>
      <c r="B17" s="26">
        <v>51.9</v>
      </c>
      <c r="C17" s="26">
        <v>12.07</v>
      </c>
      <c r="D17" s="27">
        <f t="shared" si="0"/>
        <v>2.8069767441860485</v>
      </c>
      <c r="E17" s="28">
        <f t="shared" si="1"/>
        <v>121.02000000000001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6">
      <c r="A18" s="19"/>
      <c r="B18" s="26">
        <v>57.6</v>
      </c>
      <c r="C18" s="26">
        <v>13.57</v>
      </c>
      <c r="D18" s="27">
        <f t="shared" si="0"/>
        <v>2.3807017543859637</v>
      </c>
      <c r="E18" s="28">
        <f t="shared" si="1"/>
        <v>134.59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6">
      <c r="A19" s="19"/>
      <c r="B19" s="30">
        <v>62.5</v>
      </c>
      <c r="C19" s="30">
        <v>10.87</v>
      </c>
      <c r="D19" s="27">
        <f t="shared" si="0"/>
        <v>2.2183673469387761</v>
      </c>
      <c r="E19" s="28">
        <f t="shared" si="1"/>
        <v>145.46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6">
      <c r="A20" s="19"/>
      <c r="B20" s="26">
        <v>67.400000000000006</v>
      </c>
      <c r="C20" s="26">
        <v>9.07</v>
      </c>
      <c r="D20" s="27">
        <f t="shared" si="0"/>
        <v>1.8510204081632633</v>
      </c>
      <c r="E20" s="28">
        <f t="shared" si="1"/>
        <v>154.53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>
      <c r="A21" s="19"/>
      <c r="B21" s="26">
        <v>72.7</v>
      </c>
      <c r="C21" s="26">
        <v>6.97</v>
      </c>
      <c r="D21" s="27">
        <f t="shared" si="0"/>
        <v>1.3150943396226422</v>
      </c>
      <c r="E21" s="28">
        <f t="shared" si="1"/>
        <v>161.5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>
      <c r="A22" s="19"/>
      <c r="B22" s="26">
        <v>77.3</v>
      </c>
      <c r="C22" s="26">
        <v>6.07</v>
      </c>
      <c r="D22" s="27">
        <f t="shared" si="0"/>
        <v>1.3195652173913059</v>
      </c>
      <c r="E22" s="28">
        <f t="shared" si="1"/>
        <v>167.57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>
      <c r="A23" s="19"/>
      <c r="B23" s="26">
        <v>82.3</v>
      </c>
      <c r="C23" s="26">
        <v>3.97</v>
      </c>
      <c r="D23" s="27">
        <f t="shared" si="0"/>
        <v>0.79400000000000004</v>
      </c>
      <c r="E23" s="28">
        <f t="shared" si="1"/>
        <v>171.54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>
      <c r="A24" s="19"/>
      <c r="B24" s="26">
        <v>87.2</v>
      </c>
      <c r="C24" s="26">
        <v>3.67</v>
      </c>
      <c r="D24" s="27">
        <f t="shared" si="0"/>
        <v>0.74897959183673379</v>
      </c>
      <c r="E24" s="28">
        <f t="shared" si="1"/>
        <v>175.20999999999998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>
      <c r="A25" s="19"/>
      <c r="B25" s="26">
        <v>92.7</v>
      </c>
      <c r="C25" s="26">
        <v>1.57</v>
      </c>
      <c r="D25" s="27">
        <f t="shared" si="0"/>
        <v>0.28545454545454546</v>
      </c>
      <c r="E25" s="28">
        <f t="shared" si="1"/>
        <v>176.77999999999997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>
      <c r="A26" s="19"/>
      <c r="B26" s="26">
        <v>100</v>
      </c>
      <c r="C26" s="26">
        <v>1.57</v>
      </c>
      <c r="D26" s="27">
        <f t="shared" si="0"/>
        <v>0.21506849315068502</v>
      </c>
      <c r="E26" s="28">
        <f t="shared" si="1"/>
        <v>178.34999999999997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>
      <c r="A27" s="19"/>
      <c r="B27" s="19"/>
      <c r="C27" s="31">
        <f>SUM(C9:C26)</f>
        <v>178.34999999999997</v>
      </c>
      <c r="D27" s="32" t="s">
        <v>9</v>
      </c>
      <c r="E27" s="33">
        <f>C27-C10</f>
        <v>150.81999999999996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>
      <c r="A28" s="19"/>
      <c r="B28" s="19"/>
      <c r="C28" s="31">
        <f>C27/100</f>
        <v>1.7834999999999996</v>
      </c>
      <c r="D28" s="32" t="s">
        <v>12</v>
      </c>
      <c r="E28" s="34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>
      <c r="A29" s="19"/>
      <c r="B29" s="19"/>
      <c r="C29" s="19"/>
      <c r="D29" s="19"/>
      <c r="E29" s="20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>
      <c r="A30" s="19"/>
      <c r="B30" s="19"/>
      <c r="C30" s="19"/>
      <c r="D30" s="19"/>
      <c r="E30" s="20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9"/>
      <c r="B31" s="19"/>
      <c r="C31" s="19"/>
      <c r="D31" s="19"/>
      <c r="E31" s="20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A32" s="19"/>
      <c r="B32" s="19"/>
      <c r="C32" s="19"/>
      <c r="D32" s="19"/>
      <c r="E32" s="20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22.5" customHeight="1">
      <c r="A33" s="19"/>
      <c r="B33" s="49" t="s">
        <v>13</v>
      </c>
      <c r="C33" s="50"/>
      <c r="D33" s="50"/>
      <c r="E33" s="51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>
      <c r="A34" s="19"/>
      <c r="B34" s="22" t="s">
        <v>4</v>
      </c>
      <c r="C34" s="22" t="s">
        <v>5</v>
      </c>
      <c r="D34" s="23" t="s">
        <v>6</v>
      </c>
      <c r="E34" s="22" t="s">
        <v>7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9"/>
      <c r="B35" s="24" t="s">
        <v>8</v>
      </c>
      <c r="C35" s="24" t="s">
        <v>9</v>
      </c>
      <c r="D35" s="25" t="s">
        <v>10</v>
      </c>
      <c r="E35" s="24" t="s">
        <v>11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>
      <c r="A36" s="19"/>
      <c r="B36" s="26">
        <v>0</v>
      </c>
      <c r="C36" s="26"/>
      <c r="D36" s="27">
        <v>0</v>
      </c>
      <c r="E36" s="28">
        <v>0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>
      <c r="A37" s="19"/>
      <c r="B37" s="26">
        <v>43.9</v>
      </c>
      <c r="C37" s="26">
        <v>194.3</v>
      </c>
      <c r="D37" s="27">
        <f t="shared" ref="D37:D50" si="2">C37/(B37-B36)</f>
        <v>4.4259681093394079</v>
      </c>
      <c r="E37" s="28">
        <f t="shared" ref="E37:E50" si="3">E36+C37</f>
        <v>194.3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>
      <c r="A38" s="19"/>
      <c r="B38" s="26">
        <v>48</v>
      </c>
      <c r="C38" s="26">
        <v>22.57</v>
      </c>
      <c r="D38" s="27">
        <f t="shared" si="2"/>
        <v>5.504878048780486</v>
      </c>
      <c r="E38" s="28">
        <f t="shared" si="3"/>
        <v>216.87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>
      <c r="A39" s="19"/>
      <c r="B39" s="26">
        <v>52.3</v>
      </c>
      <c r="C39" s="26">
        <v>20.77</v>
      </c>
      <c r="D39" s="27">
        <f t="shared" si="2"/>
        <v>4.8302325581395378</v>
      </c>
      <c r="E39" s="28">
        <f t="shared" si="3"/>
        <v>237.64000000000001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>
      <c r="A40" s="19"/>
      <c r="B40" s="26">
        <v>56.3</v>
      </c>
      <c r="C40" s="26">
        <v>17.170000000000002</v>
      </c>
      <c r="D40" s="27">
        <f t="shared" si="2"/>
        <v>4.2925000000000004</v>
      </c>
      <c r="E40" s="28">
        <f t="shared" si="3"/>
        <v>254.81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>
      <c r="A41" s="19"/>
      <c r="B41" s="26">
        <v>60.5</v>
      </c>
      <c r="C41" s="26">
        <v>18.07</v>
      </c>
      <c r="D41" s="27">
        <f t="shared" si="2"/>
        <v>4.3023809523809495</v>
      </c>
      <c r="E41" s="28">
        <f t="shared" si="3"/>
        <v>272.88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>
      <c r="A42" s="19"/>
      <c r="B42" s="26">
        <v>64.400000000000006</v>
      </c>
      <c r="C42" s="26">
        <v>15.37</v>
      </c>
      <c r="D42" s="27">
        <f t="shared" si="2"/>
        <v>3.941025641025635</v>
      </c>
      <c r="E42" s="28">
        <f t="shared" si="3"/>
        <v>288.25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>
      <c r="A43" s="19"/>
      <c r="B43" s="26">
        <v>68.3</v>
      </c>
      <c r="C43" s="26">
        <v>12.67</v>
      </c>
      <c r="D43" s="27">
        <f t="shared" si="2"/>
        <v>3.2487179487179558</v>
      </c>
      <c r="E43" s="28">
        <f t="shared" si="3"/>
        <v>300.92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>
      <c r="A44" s="19"/>
      <c r="B44" s="26">
        <v>72.5</v>
      </c>
      <c r="C44" s="26">
        <v>12.67</v>
      </c>
      <c r="D44" s="27">
        <f t="shared" si="2"/>
        <v>3.0166666666666644</v>
      </c>
      <c r="E44" s="28">
        <f t="shared" si="3"/>
        <v>313.59000000000003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>
      <c r="A45" s="19"/>
      <c r="B45" s="26">
        <v>76.900000000000006</v>
      </c>
      <c r="C45" s="26">
        <v>10.27</v>
      </c>
      <c r="D45" s="27">
        <f t="shared" si="2"/>
        <v>2.3340909090909059</v>
      </c>
      <c r="E45" s="28">
        <f t="shared" si="3"/>
        <v>323.86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>
      <c r="A46" s="19"/>
      <c r="B46" s="26">
        <v>80.7</v>
      </c>
      <c r="C46" s="26">
        <v>8.17</v>
      </c>
      <c r="D46" s="27">
        <f t="shared" si="2"/>
        <v>2.1500000000000017</v>
      </c>
      <c r="E46" s="28">
        <f t="shared" si="3"/>
        <v>332.03000000000003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>
      <c r="A47" s="19"/>
      <c r="B47" s="26">
        <v>84.6</v>
      </c>
      <c r="C47" s="26">
        <v>5.47</v>
      </c>
      <c r="D47" s="27">
        <f t="shared" si="2"/>
        <v>1.4025641025641056</v>
      </c>
      <c r="E47" s="28">
        <f t="shared" si="3"/>
        <v>337.50000000000006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>
      <c r="A48" s="19"/>
      <c r="B48" s="26">
        <v>88</v>
      </c>
      <c r="C48" s="26">
        <v>3.97</v>
      </c>
      <c r="D48" s="27">
        <f t="shared" si="2"/>
        <v>1.1676470588235275</v>
      </c>
      <c r="E48" s="28">
        <f t="shared" si="3"/>
        <v>341.47000000000008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>
      <c r="A49" s="19"/>
      <c r="B49" s="26">
        <v>93.5</v>
      </c>
      <c r="C49" s="26">
        <v>3.07</v>
      </c>
      <c r="D49" s="27">
        <f t="shared" si="2"/>
        <v>0.55818181818181811</v>
      </c>
      <c r="E49" s="28">
        <f t="shared" si="3"/>
        <v>344.54000000000008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>
      <c r="A50" s="19"/>
      <c r="B50" s="26">
        <v>100</v>
      </c>
      <c r="C50" s="26">
        <v>3.07</v>
      </c>
      <c r="D50" s="27">
        <f t="shared" si="2"/>
        <v>0.47230769230769226</v>
      </c>
      <c r="E50" s="28">
        <f t="shared" si="3"/>
        <v>347.61000000000007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>
      <c r="A51" s="19"/>
      <c r="B51" s="19"/>
      <c r="C51" s="35">
        <f>SUM(C37:C50)</f>
        <v>347.61000000000007</v>
      </c>
      <c r="D51" s="32" t="s">
        <v>9</v>
      </c>
      <c r="E51" s="35">
        <f>C51-C37</f>
        <v>153.31000000000006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>
      <c r="A52" s="19"/>
      <c r="B52" s="19"/>
      <c r="C52" s="33">
        <f>C51/100</f>
        <v>3.4761000000000006</v>
      </c>
      <c r="D52" s="32" t="s">
        <v>12</v>
      </c>
      <c r="E52" s="34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>
      <c r="A53" s="19"/>
      <c r="B53" s="19"/>
      <c r="C53" s="19"/>
      <c r="D53" s="2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>
      <c r="A54" s="19"/>
      <c r="B54" s="19"/>
      <c r="C54" s="19"/>
      <c r="D54" s="19"/>
      <c r="E54" s="20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>
      <c r="A55" s="19"/>
      <c r="B55" s="19"/>
      <c r="C55" s="19"/>
      <c r="D55" s="19"/>
      <c r="E55" s="20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>
      <c r="A56" s="19"/>
      <c r="B56" s="19"/>
      <c r="C56" s="19"/>
      <c r="D56" s="19"/>
      <c r="E56" s="20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>
      <c r="A57" s="19"/>
      <c r="B57" s="19"/>
      <c r="C57" s="19"/>
      <c r="D57" s="19"/>
      <c r="E57" s="20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>
      <c r="A58" s="19"/>
      <c r="B58" s="19"/>
      <c r="C58" s="19"/>
      <c r="D58" s="19"/>
      <c r="E58" s="20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A59" s="19"/>
      <c r="B59" s="19"/>
      <c r="C59" s="19"/>
      <c r="D59" s="19"/>
      <c r="E59" s="20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22.5" customHeight="1">
      <c r="A60" s="19"/>
      <c r="B60" s="49" t="s">
        <v>14</v>
      </c>
      <c r="C60" s="50"/>
      <c r="D60" s="50"/>
      <c r="E60" s="51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>
      <c r="A61" s="19"/>
      <c r="B61" s="22" t="s">
        <v>4</v>
      </c>
      <c r="C61" s="22" t="s">
        <v>5</v>
      </c>
      <c r="D61" s="23" t="s">
        <v>6</v>
      </c>
      <c r="E61" s="22" t="s">
        <v>7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>
      <c r="A62" s="19"/>
      <c r="B62" s="24" t="s">
        <v>8</v>
      </c>
      <c r="C62" s="24" t="s">
        <v>9</v>
      </c>
      <c r="D62" s="25" t="s">
        <v>10</v>
      </c>
      <c r="E62" s="24" t="s">
        <v>11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>
      <c r="A63" s="19"/>
      <c r="B63" s="26">
        <v>0</v>
      </c>
      <c r="C63" s="26">
        <v>0</v>
      </c>
      <c r="D63" s="27">
        <v>0</v>
      </c>
      <c r="E63" s="28">
        <v>0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>
      <c r="A64" s="19"/>
      <c r="B64" s="26">
        <v>40.5</v>
      </c>
      <c r="C64" s="36">
        <v>155.30000000000001</v>
      </c>
      <c r="D64" s="27">
        <f t="shared" ref="D64:D75" si="4">C64/(B64-B63)</f>
        <v>3.8345679012345681</v>
      </c>
      <c r="E64" s="28">
        <f t="shared" ref="E64:E75" si="5">E63+C64</f>
        <v>155.30000000000001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>
      <c r="A65" s="19"/>
      <c r="B65" s="26">
        <v>45.1</v>
      </c>
      <c r="C65" s="26">
        <v>21.37</v>
      </c>
      <c r="D65" s="27">
        <f t="shared" si="4"/>
        <v>4.6456521739130423</v>
      </c>
      <c r="E65" s="28">
        <f t="shared" si="5"/>
        <v>176.67000000000002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>
      <c r="A66" s="19"/>
      <c r="B66" s="26">
        <v>50.1</v>
      </c>
      <c r="C66" s="26">
        <v>21.37</v>
      </c>
      <c r="D66" s="27">
        <f t="shared" si="4"/>
        <v>4.274</v>
      </c>
      <c r="E66" s="28">
        <f t="shared" si="5"/>
        <v>198.04000000000002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>
      <c r="A67" s="19"/>
      <c r="B67" s="26">
        <v>55.3</v>
      </c>
      <c r="C67" s="26">
        <v>21.37</v>
      </c>
      <c r="D67" s="27">
        <f t="shared" si="4"/>
        <v>4.1096153846153882</v>
      </c>
      <c r="E67" s="28">
        <f t="shared" si="5"/>
        <v>219.41000000000003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>
      <c r="A68" s="19"/>
      <c r="B68" s="26">
        <v>60.7</v>
      </c>
      <c r="C68" s="26">
        <v>21.37</v>
      </c>
      <c r="D68" s="27">
        <f t="shared" si="4"/>
        <v>3.9574074074074033</v>
      </c>
      <c r="E68" s="28">
        <f t="shared" si="5"/>
        <v>240.78000000000003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>
      <c r="A69" s="19"/>
      <c r="B69" s="26">
        <v>65.5</v>
      </c>
      <c r="C69" s="26">
        <v>15.67</v>
      </c>
      <c r="D69" s="27">
        <f t="shared" si="4"/>
        <v>3.2645833333333352</v>
      </c>
      <c r="E69" s="28">
        <f t="shared" si="5"/>
        <v>256.45000000000005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>
      <c r="A70" s="19"/>
      <c r="B70" s="26">
        <v>70.599999999999994</v>
      </c>
      <c r="C70" s="26">
        <v>14.77</v>
      </c>
      <c r="D70" s="27">
        <f t="shared" si="4"/>
        <v>2.8960784313725521</v>
      </c>
      <c r="E70" s="28">
        <f t="shared" si="5"/>
        <v>271.22000000000003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>
      <c r="A71" s="19"/>
      <c r="B71" s="26">
        <v>75.900000000000006</v>
      </c>
      <c r="C71" s="26">
        <v>12.37</v>
      </c>
      <c r="D71" s="27">
        <f t="shared" si="4"/>
        <v>2.3339622641509381</v>
      </c>
      <c r="E71" s="28">
        <f t="shared" si="5"/>
        <v>283.59000000000003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>
      <c r="A72" s="19"/>
      <c r="B72" s="26">
        <v>80.5</v>
      </c>
      <c r="C72" s="26">
        <v>7.57</v>
      </c>
      <c r="D72" s="27">
        <f t="shared" si="4"/>
        <v>1.6456521739130456</v>
      </c>
      <c r="E72" s="28">
        <f t="shared" si="5"/>
        <v>291.16000000000003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>
      <c r="A73" s="19"/>
      <c r="B73" s="26">
        <v>85.7</v>
      </c>
      <c r="C73" s="26">
        <v>5.47</v>
      </c>
      <c r="D73" s="27">
        <f t="shared" si="4"/>
        <v>1.0519230769230763</v>
      </c>
      <c r="E73" s="28">
        <f t="shared" si="5"/>
        <v>296.63000000000005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>
      <c r="A74" s="19"/>
      <c r="B74" s="26">
        <v>90.8</v>
      </c>
      <c r="C74" s="26">
        <v>3.37</v>
      </c>
      <c r="D74" s="27">
        <f t="shared" si="4"/>
        <v>0.66078431372549096</v>
      </c>
      <c r="E74" s="28">
        <f t="shared" si="5"/>
        <v>300.00000000000006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>
      <c r="A75" s="19"/>
      <c r="B75" s="26">
        <v>100</v>
      </c>
      <c r="C75" s="26">
        <v>2.17</v>
      </c>
      <c r="D75" s="27">
        <f t="shared" si="4"/>
        <v>0.23586956521739122</v>
      </c>
      <c r="E75" s="28">
        <f t="shared" si="5"/>
        <v>302.17000000000007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>
      <c r="A76" s="19"/>
      <c r="B76" s="19"/>
      <c r="C76" s="33">
        <f>SUM(C63:C75)</f>
        <v>302.17000000000007</v>
      </c>
      <c r="D76" s="32" t="s">
        <v>9</v>
      </c>
      <c r="E76" s="33">
        <f>C76-C64</f>
        <v>146.87000000000006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>
      <c r="A77" s="19"/>
      <c r="B77" s="19"/>
      <c r="C77" s="33">
        <f>C76/100</f>
        <v>3.0217000000000009</v>
      </c>
      <c r="D77" s="32" t="s">
        <v>12</v>
      </c>
      <c r="E77" s="34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>
      <c r="A78" s="19"/>
      <c r="B78" s="19"/>
      <c r="C78" s="34"/>
      <c r="D78" s="37"/>
      <c r="E78" s="32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>
      <c r="A81" s="19"/>
      <c r="B81" s="19"/>
      <c r="C81" s="31" t="s">
        <v>26</v>
      </c>
      <c r="D81" s="31" t="s">
        <v>27</v>
      </c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>
      <c r="A82" s="19"/>
      <c r="B82" s="33" t="s">
        <v>15</v>
      </c>
      <c r="C82" s="38">
        <f>C76+C51+C27</f>
        <v>828.13000000000011</v>
      </c>
      <c r="D82" s="28">
        <f t="shared" ref="D82:D87" si="6">C82/100</f>
        <v>8.2813000000000017</v>
      </c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>
      <c r="A83" s="19"/>
      <c r="B83" s="52" t="s">
        <v>16</v>
      </c>
      <c r="C83" s="28">
        <f>C27-C10</f>
        <v>150.81999999999996</v>
      </c>
      <c r="D83" s="28">
        <f t="shared" si="6"/>
        <v>1.5081999999999995</v>
      </c>
      <c r="E83" s="27" t="s">
        <v>17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>
      <c r="A84" s="19"/>
      <c r="B84" s="53"/>
      <c r="C84" s="28">
        <f>C76-C64</f>
        <v>146.87000000000006</v>
      </c>
      <c r="D84" s="28">
        <f t="shared" si="6"/>
        <v>1.4687000000000006</v>
      </c>
      <c r="E84" s="27" t="s">
        <v>18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>
      <c r="A85" s="19"/>
      <c r="B85" s="54"/>
      <c r="C85" s="38">
        <f>C51-C37</f>
        <v>153.31000000000006</v>
      </c>
      <c r="D85" s="28">
        <f t="shared" si="6"/>
        <v>1.5331000000000006</v>
      </c>
      <c r="E85" s="27" t="s">
        <v>19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>
      <c r="A86" s="19"/>
      <c r="B86" s="33" t="s">
        <v>20</v>
      </c>
      <c r="C86" s="38">
        <f>C82-C84-C51</f>
        <v>333.64999999999992</v>
      </c>
      <c r="D86" s="28">
        <f t="shared" si="6"/>
        <v>3.3364999999999991</v>
      </c>
      <c r="E86" s="20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>
      <c r="A87" s="19"/>
      <c r="B87" s="33" t="s">
        <v>21</v>
      </c>
      <c r="C87" s="38">
        <f>C82-E50</f>
        <v>480.52000000000004</v>
      </c>
      <c r="D87" s="28">
        <f t="shared" si="6"/>
        <v>4.8052000000000001</v>
      </c>
      <c r="E87" s="20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>
      <c r="A546" s="19"/>
      <c r="B546" s="19"/>
      <c r="C546" s="19"/>
      <c r="D546" s="19"/>
      <c r="E546" s="20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>
      <c r="A547" s="19"/>
      <c r="B547" s="19"/>
      <c r="C547" s="19"/>
      <c r="D547" s="19"/>
      <c r="E547" s="20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>
      <c r="A548" s="19"/>
      <c r="B548" s="19"/>
      <c r="C548" s="19"/>
      <c r="D548" s="19"/>
      <c r="E548" s="20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>
      <c r="A549" s="19"/>
      <c r="B549" s="19"/>
      <c r="C549" s="19"/>
      <c r="D549" s="19"/>
      <c r="E549" s="20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>
      <c r="A550" s="19"/>
      <c r="B550" s="19"/>
      <c r="C550" s="19"/>
      <c r="D550" s="19"/>
      <c r="E550" s="20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>
      <c r="A551" s="19"/>
      <c r="B551" s="19"/>
      <c r="C551" s="19"/>
      <c r="D551" s="19"/>
      <c r="E551" s="20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>
      <c r="A552" s="19"/>
      <c r="B552" s="19"/>
      <c r="C552" s="19"/>
      <c r="D552" s="19"/>
      <c r="E552" s="20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>
      <c r="A553" s="19"/>
      <c r="B553" s="19"/>
      <c r="C553" s="19"/>
      <c r="D553" s="19"/>
      <c r="E553" s="20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>
      <c r="A554" s="19"/>
      <c r="B554" s="19"/>
      <c r="C554" s="19"/>
      <c r="D554" s="19"/>
      <c r="E554" s="20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>
      <c r="A555" s="19"/>
      <c r="B555" s="19"/>
      <c r="C555" s="19"/>
      <c r="D555" s="19"/>
      <c r="E555" s="20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>
      <c r="A556" s="19"/>
      <c r="B556" s="19"/>
      <c r="C556" s="19"/>
      <c r="D556" s="19"/>
      <c r="E556" s="20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>
      <c r="A557" s="19"/>
      <c r="B557" s="19"/>
      <c r="C557" s="19"/>
      <c r="D557" s="19"/>
      <c r="E557" s="20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>
      <c r="A558" s="19"/>
      <c r="B558" s="19"/>
      <c r="C558" s="19"/>
      <c r="D558" s="19"/>
      <c r="E558" s="20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>
      <c r="A559" s="19"/>
      <c r="B559" s="19"/>
      <c r="C559" s="19"/>
      <c r="D559" s="19"/>
      <c r="E559" s="20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>
      <c r="A560" s="19"/>
      <c r="B560" s="19"/>
      <c r="C560" s="19"/>
      <c r="D560" s="19"/>
      <c r="E560" s="20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>
      <c r="A561" s="19"/>
      <c r="B561" s="19"/>
      <c r="C561" s="19"/>
      <c r="D561" s="19"/>
      <c r="E561" s="20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>
      <c r="A562" s="19"/>
      <c r="B562" s="19"/>
      <c r="C562" s="19"/>
      <c r="D562" s="19"/>
      <c r="E562" s="20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>
      <c r="A563" s="19"/>
      <c r="B563" s="19"/>
      <c r="C563" s="19"/>
      <c r="D563" s="19"/>
      <c r="E563" s="20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>
      <c r="A564" s="19"/>
      <c r="B564" s="19"/>
      <c r="C564" s="19"/>
      <c r="D564" s="19"/>
      <c r="E564" s="20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>
      <c r="A565" s="19"/>
      <c r="B565" s="19"/>
      <c r="C565" s="19"/>
      <c r="D565" s="19"/>
      <c r="E565" s="20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>
      <c r="A566" s="19"/>
      <c r="B566" s="19"/>
      <c r="C566" s="19"/>
      <c r="D566" s="19"/>
      <c r="E566" s="20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>
      <c r="A567" s="19"/>
      <c r="B567" s="19"/>
      <c r="C567" s="19"/>
      <c r="D567" s="19"/>
      <c r="E567" s="20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>
      <c r="A568" s="19"/>
      <c r="B568" s="19"/>
      <c r="C568" s="19"/>
      <c r="D568" s="19"/>
      <c r="E568" s="20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>
      <c r="A569" s="19"/>
      <c r="B569" s="19"/>
      <c r="C569" s="19"/>
      <c r="D569" s="19"/>
      <c r="E569" s="20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>
      <c r="A570" s="19"/>
      <c r="B570" s="19"/>
      <c r="C570" s="19"/>
      <c r="D570" s="19"/>
      <c r="E570" s="20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>
      <c r="A571" s="19"/>
      <c r="B571" s="19"/>
      <c r="C571" s="19"/>
      <c r="D571" s="19"/>
      <c r="E571" s="20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>
      <c r="A572" s="19"/>
      <c r="B572" s="19"/>
      <c r="C572" s="19"/>
      <c r="D572" s="19"/>
      <c r="E572" s="20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>
      <c r="A573" s="19"/>
      <c r="B573" s="19"/>
      <c r="C573" s="19"/>
      <c r="D573" s="19"/>
      <c r="E573" s="20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>
      <c r="A574" s="19"/>
      <c r="B574" s="19"/>
      <c r="C574" s="19"/>
      <c r="D574" s="19"/>
      <c r="E574" s="20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>
      <c r="A575" s="19"/>
      <c r="B575" s="19"/>
      <c r="C575" s="19"/>
      <c r="D575" s="19"/>
      <c r="E575" s="20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>
      <c r="A576" s="19"/>
      <c r="B576" s="19"/>
      <c r="C576" s="19"/>
      <c r="D576" s="19"/>
      <c r="E576" s="20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>
      <c r="A577" s="19"/>
      <c r="B577" s="19"/>
      <c r="C577" s="19"/>
      <c r="D577" s="19"/>
      <c r="E577" s="20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>
      <c r="A578" s="19"/>
      <c r="B578" s="19"/>
      <c r="C578" s="19"/>
      <c r="D578" s="19"/>
      <c r="E578" s="20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>
      <c r="A579" s="19"/>
      <c r="B579" s="19"/>
      <c r="C579" s="19"/>
      <c r="D579" s="19"/>
      <c r="E579" s="20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>
      <c r="A580" s="19"/>
      <c r="B580" s="19"/>
      <c r="C580" s="19"/>
      <c r="D580" s="19"/>
      <c r="E580" s="20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>
      <c r="A581" s="19"/>
      <c r="B581" s="19"/>
      <c r="C581" s="19"/>
      <c r="D581" s="19"/>
      <c r="E581" s="20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>
      <c r="A582" s="19"/>
      <c r="B582" s="19"/>
      <c r="C582" s="19"/>
      <c r="D582" s="19"/>
      <c r="E582" s="20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>
      <c r="A583" s="19"/>
      <c r="B583" s="19"/>
      <c r="C583" s="19"/>
      <c r="D583" s="19"/>
      <c r="E583" s="20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>
      <c r="A584" s="19"/>
      <c r="B584" s="19"/>
      <c r="C584" s="19"/>
      <c r="D584" s="19"/>
      <c r="E584" s="20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>
      <c r="A585" s="19"/>
      <c r="B585" s="19"/>
      <c r="C585" s="19"/>
      <c r="D585" s="19"/>
      <c r="E585" s="20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>
      <c r="A586" s="19"/>
      <c r="B586" s="19"/>
      <c r="C586" s="19"/>
      <c r="D586" s="19"/>
      <c r="E586" s="20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>
      <c r="A587" s="19"/>
      <c r="B587" s="19"/>
      <c r="C587" s="19"/>
      <c r="D587" s="19"/>
      <c r="E587" s="20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>
      <c r="A588" s="19"/>
      <c r="B588" s="19"/>
      <c r="C588" s="19"/>
      <c r="D588" s="19"/>
      <c r="E588" s="20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>
      <c r="A589" s="19"/>
      <c r="B589" s="19"/>
      <c r="C589" s="19"/>
      <c r="D589" s="19"/>
      <c r="E589" s="20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>
      <c r="A590" s="19"/>
      <c r="B590" s="19"/>
      <c r="C590" s="19"/>
      <c r="D590" s="19"/>
      <c r="E590" s="20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>
      <c r="A591" s="19"/>
      <c r="B591" s="19"/>
      <c r="C591" s="19"/>
      <c r="D591" s="19"/>
      <c r="E591" s="20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>
      <c r="A592" s="19"/>
      <c r="B592" s="19"/>
      <c r="C592" s="19"/>
      <c r="D592" s="19"/>
      <c r="E592" s="20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>
      <c r="A593" s="19"/>
      <c r="B593" s="19"/>
      <c r="C593" s="19"/>
      <c r="D593" s="19"/>
      <c r="E593" s="20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>
      <c r="A594" s="19"/>
      <c r="B594" s="19"/>
      <c r="C594" s="19"/>
      <c r="D594" s="19"/>
      <c r="E594" s="20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>
      <c r="A595" s="19"/>
      <c r="B595" s="19"/>
      <c r="C595" s="19"/>
      <c r="D595" s="19"/>
      <c r="E595" s="20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>
      <c r="A596" s="19"/>
      <c r="B596" s="19"/>
      <c r="C596" s="19"/>
      <c r="D596" s="19"/>
      <c r="E596" s="20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>
      <c r="A597" s="19"/>
      <c r="B597" s="19"/>
      <c r="C597" s="19"/>
      <c r="D597" s="19"/>
      <c r="E597" s="20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>
      <c r="A598" s="19"/>
      <c r="B598" s="19"/>
      <c r="C598" s="19"/>
      <c r="D598" s="19"/>
      <c r="E598" s="20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>
      <c r="A599" s="19"/>
      <c r="B599" s="19"/>
      <c r="C599" s="19"/>
      <c r="D599" s="19"/>
      <c r="E599" s="20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>
      <c r="A600" s="19"/>
      <c r="B600" s="19"/>
      <c r="C600" s="19"/>
      <c r="D600" s="19"/>
      <c r="E600" s="20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>
      <c r="A601" s="19"/>
      <c r="B601" s="19"/>
      <c r="C601" s="19"/>
      <c r="D601" s="19"/>
      <c r="E601" s="20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>
      <c r="A602" s="19"/>
      <c r="B602" s="19"/>
      <c r="C602" s="19"/>
      <c r="D602" s="19"/>
      <c r="E602" s="20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>
      <c r="A603" s="19"/>
      <c r="B603" s="19"/>
      <c r="C603" s="19"/>
      <c r="D603" s="19"/>
      <c r="E603" s="20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>
      <c r="A604" s="19"/>
      <c r="B604" s="19"/>
      <c r="C604" s="19"/>
      <c r="D604" s="19"/>
      <c r="E604" s="20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>
      <c r="A605" s="19"/>
      <c r="B605" s="19"/>
      <c r="C605" s="19"/>
      <c r="D605" s="19"/>
      <c r="E605" s="20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>
      <c r="A606" s="19"/>
      <c r="B606" s="19"/>
      <c r="C606" s="19"/>
      <c r="D606" s="19"/>
      <c r="E606" s="20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>
      <c r="A607" s="19"/>
      <c r="B607" s="19"/>
      <c r="C607" s="19"/>
      <c r="D607" s="19"/>
      <c r="E607" s="20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>
      <c r="A608" s="19"/>
      <c r="B608" s="19"/>
      <c r="C608" s="19"/>
      <c r="D608" s="19"/>
      <c r="E608" s="20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>
      <c r="A609" s="19"/>
      <c r="B609" s="19"/>
      <c r="C609" s="19"/>
      <c r="D609" s="19"/>
      <c r="E609" s="20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>
      <c r="A610" s="19"/>
      <c r="B610" s="19"/>
      <c r="C610" s="19"/>
      <c r="D610" s="19"/>
      <c r="E610" s="20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>
      <c r="A611" s="19"/>
      <c r="B611" s="19"/>
      <c r="C611" s="19"/>
      <c r="D611" s="19"/>
      <c r="E611" s="20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>
      <c r="A612" s="19"/>
      <c r="B612" s="19"/>
      <c r="C612" s="19"/>
      <c r="D612" s="19"/>
      <c r="E612" s="20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>
      <c r="A613" s="19"/>
      <c r="B613" s="19"/>
      <c r="C613" s="19"/>
      <c r="D613" s="19"/>
      <c r="E613" s="20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>
      <c r="A614" s="19"/>
      <c r="B614" s="19"/>
      <c r="C614" s="19"/>
      <c r="D614" s="19"/>
      <c r="E614" s="20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>
      <c r="A615" s="19"/>
      <c r="B615" s="19"/>
      <c r="C615" s="19"/>
      <c r="D615" s="19"/>
      <c r="E615" s="20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>
      <c r="A616" s="19"/>
      <c r="B616" s="19"/>
      <c r="C616" s="19"/>
      <c r="D616" s="19"/>
      <c r="E616" s="20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>
      <c r="A617" s="19"/>
      <c r="B617" s="19"/>
      <c r="C617" s="19"/>
      <c r="D617" s="19"/>
      <c r="E617" s="20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>
      <c r="A618" s="19"/>
      <c r="B618" s="19"/>
      <c r="C618" s="19"/>
      <c r="D618" s="19"/>
      <c r="E618" s="20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>
      <c r="A619" s="19"/>
      <c r="B619" s="19"/>
      <c r="C619" s="19"/>
      <c r="D619" s="19"/>
      <c r="E619" s="20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>
      <c r="A620" s="19"/>
      <c r="B620" s="19"/>
      <c r="C620" s="19"/>
      <c r="D620" s="19"/>
      <c r="E620" s="20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>
      <c r="A621" s="19"/>
      <c r="B621" s="19"/>
      <c r="C621" s="19"/>
      <c r="D621" s="19"/>
      <c r="E621" s="20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>
      <c r="A622" s="19"/>
      <c r="B622" s="19"/>
      <c r="C622" s="19"/>
      <c r="D622" s="19"/>
      <c r="E622" s="20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>
      <c r="A623" s="19"/>
      <c r="B623" s="19"/>
      <c r="C623" s="19"/>
      <c r="D623" s="19"/>
      <c r="E623" s="20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>
      <c r="A624" s="19"/>
      <c r="B624" s="19"/>
      <c r="C624" s="19"/>
      <c r="D624" s="19"/>
      <c r="E624" s="20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>
      <c r="A625" s="19"/>
      <c r="B625" s="19"/>
      <c r="C625" s="19"/>
      <c r="D625" s="19"/>
      <c r="E625" s="20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>
      <c r="A626" s="19"/>
      <c r="B626" s="19"/>
      <c r="C626" s="19"/>
      <c r="D626" s="19"/>
      <c r="E626" s="20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>
      <c r="A627" s="19"/>
      <c r="B627" s="19"/>
      <c r="C627" s="19"/>
      <c r="D627" s="19"/>
      <c r="E627" s="20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>
      <c r="A628" s="19"/>
      <c r="B628" s="19"/>
      <c r="C628" s="19"/>
      <c r="D628" s="19"/>
      <c r="E628" s="20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>
      <c r="A629" s="19"/>
      <c r="B629" s="19"/>
      <c r="C629" s="19"/>
      <c r="D629" s="19"/>
      <c r="E629" s="20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>
      <c r="A630" s="19"/>
      <c r="B630" s="19"/>
      <c r="C630" s="19"/>
      <c r="D630" s="19"/>
      <c r="E630" s="20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>
      <c r="A631" s="19"/>
      <c r="B631" s="19"/>
      <c r="C631" s="19"/>
      <c r="D631" s="19"/>
      <c r="E631" s="20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>
      <c r="A632" s="19"/>
      <c r="B632" s="19"/>
      <c r="C632" s="19"/>
      <c r="D632" s="19"/>
      <c r="E632" s="20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>
      <c r="A633" s="19"/>
      <c r="B633" s="19"/>
      <c r="C633" s="19"/>
      <c r="D633" s="19"/>
      <c r="E633" s="20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>
      <c r="A634" s="19"/>
      <c r="B634" s="19"/>
      <c r="C634" s="19"/>
      <c r="D634" s="19"/>
      <c r="E634" s="20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>
      <c r="A635" s="19"/>
      <c r="B635" s="19"/>
      <c r="C635" s="19"/>
      <c r="D635" s="19"/>
      <c r="E635" s="20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>
      <c r="A636" s="19"/>
      <c r="B636" s="19"/>
      <c r="C636" s="19"/>
      <c r="D636" s="19"/>
      <c r="E636" s="20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>
      <c r="A637" s="19"/>
      <c r="B637" s="19"/>
      <c r="C637" s="19"/>
      <c r="D637" s="19"/>
      <c r="E637" s="20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>
      <c r="A638" s="19"/>
      <c r="B638" s="19"/>
      <c r="C638" s="19"/>
      <c r="D638" s="19"/>
      <c r="E638" s="20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>
      <c r="A639" s="19"/>
      <c r="B639" s="19"/>
      <c r="C639" s="19"/>
      <c r="D639" s="19"/>
      <c r="E639" s="20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>
      <c r="A640" s="19"/>
      <c r="B640" s="19"/>
      <c r="C640" s="19"/>
      <c r="D640" s="19"/>
      <c r="E640" s="20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>
      <c r="A641" s="19"/>
      <c r="B641" s="19"/>
      <c r="C641" s="19"/>
      <c r="D641" s="19"/>
      <c r="E641" s="20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>
      <c r="A642" s="19"/>
      <c r="B642" s="19"/>
      <c r="C642" s="19"/>
      <c r="D642" s="19"/>
      <c r="E642" s="20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>
      <c r="A643" s="19"/>
      <c r="B643" s="19"/>
      <c r="C643" s="19"/>
      <c r="D643" s="19"/>
      <c r="E643" s="20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>
      <c r="A644" s="19"/>
      <c r="B644" s="19"/>
      <c r="C644" s="19"/>
      <c r="D644" s="19"/>
      <c r="E644" s="20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>
      <c r="A645" s="19"/>
      <c r="B645" s="19"/>
      <c r="C645" s="19"/>
      <c r="D645" s="19"/>
      <c r="E645" s="20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>
      <c r="A646" s="19"/>
      <c r="B646" s="19"/>
      <c r="C646" s="19"/>
      <c r="D646" s="19"/>
      <c r="E646" s="20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>
      <c r="A647" s="19"/>
      <c r="B647" s="19"/>
      <c r="C647" s="19"/>
      <c r="D647" s="19"/>
      <c r="E647" s="20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>
      <c r="A648" s="19"/>
      <c r="B648" s="19"/>
      <c r="C648" s="19"/>
      <c r="D648" s="19"/>
      <c r="E648" s="20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>
      <c r="A649" s="19"/>
      <c r="B649" s="19"/>
      <c r="C649" s="19"/>
      <c r="D649" s="19"/>
      <c r="E649" s="20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>
      <c r="A650" s="19"/>
      <c r="B650" s="19"/>
      <c r="C650" s="19"/>
      <c r="D650" s="19"/>
      <c r="E650" s="20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>
      <c r="A651" s="19"/>
      <c r="B651" s="19"/>
      <c r="C651" s="19"/>
      <c r="D651" s="19"/>
      <c r="E651" s="20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>
      <c r="A652" s="19"/>
      <c r="B652" s="19"/>
      <c r="C652" s="19"/>
      <c r="D652" s="19"/>
      <c r="E652" s="20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>
      <c r="A653" s="19"/>
      <c r="B653" s="19"/>
      <c r="C653" s="19"/>
      <c r="D653" s="19"/>
      <c r="E653" s="20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>
      <c r="A654" s="19"/>
      <c r="B654" s="19"/>
      <c r="C654" s="19"/>
      <c r="D654" s="19"/>
      <c r="E654" s="20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>
      <c r="A655" s="19"/>
      <c r="B655" s="19"/>
      <c r="C655" s="19"/>
      <c r="D655" s="19"/>
      <c r="E655" s="20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>
      <c r="A656" s="19"/>
      <c r="B656" s="19"/>
      <c r="C656" s="19"/>
      <c r="D656" s="19"/>
      <c r="E656" s="20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>
      <c r="A657" s="19"/>
      <c r="B657" s="19"/>
      <c r="C657" s="19"/>
      <c r="D657" s="19"/>
      <c r="E657" s="20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>
      <c r="A658" s="19"/>
      <c r="B658" s="19"/>
      <c r="C658" s="19"/>
      <c r="D658" s="19"/>
      <c r="E658" s="20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>
      <c r="A659" s="19"/>
      <c r="B659" s="19"/>
      <c r="C659" s="19"/>
      <c r="D659" s="19"/>
      <c r="E659" s="20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>
      <c r="A660" s="19"/>
      <c r="B660" s="19"/>
      <c r="C660" s="19"/>
      <c r="D660" s="19"/>
      <c r="E660" s="20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>
      <c r="A661" s="19"/>
      <c r="B661" s="19"/>
      <c r="C661" s="19"/>
      <c r="D661" s="19"/>
      <c r="E661" s="20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>
      <c r="A662" s="19"/>
      <c r="B662" s="19"/>
      <c r="C662" s="19"/>
      <c r="D662" s="19"/>
      <c r="E662" s="20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>
      <c r="A663" s="19"/>
      <c r="B663" s="19"/>
      <c r="C663" s="19"/>
      <c r="D663" s="19"/>
      <c r="E663" s="20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>
      <c r="A664" s="19"/>
      <c r="B664" s="19"/>
      <c r="C664" s="19"/>
      <c r="D664" s="19"/>
      <c r="E664" s="20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>
      <c r="A665" s="19"/>
      <c r="B665" s="19"/>
      <c r="C665" s="19"/>
      <c r="D665" s="19"/>
      <c r="E665" s="20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>
      <c r="A666" s="19"/>
      <c r="B666" s="19"/>
      <c r="C666" s="19"/>
      <c r="D666" s="19"/>
      <c r="E666" s="20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>
      <c r="A667" s="19"/>
      <c r="B667" s="19"/>
      <c r="C667" s="19"/>
      <c r="D667" s="19"/>
      <c r="E667" s="20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>
      <c r="A668" s="19"/>
      <c r="B668" s="19"/>
      <c r="C668" s="19"/>
      <c r="D668" s="19"/>
      <c r="E668" s="20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>
      <c r="A669" s="19"/>
      <c r="B669" s="19"/>
      <c r="C669" s="19"/>
      <c r="D669" s="19"/>
      <c r="E669" s="20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>
      <c r="A670" s="19"/>
      <c r="B670" s="19"/>
      <c r="C670" s="19"/>
      <c r="D670" s="19"/>
      <c r="E670" s="20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>
      <c r="A671" s="19"/>
      <c r="B671" s="19"/>
      <c r="C671" s="19"/>
      <c r="D671" s="19"/>
      <c r="E671" s="20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>
      <c r="A672" s="19"/>
      <c r="B672" s="19"/>
      <c r="C672" s="19"/>
      <c r="D672" s="19"/>
      <c r="E672" s="20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>
      <c r="A673" s="19"/>
      <c r="B673" s="19"/>
      <c r="C673" s="19"/>
      <c r="D673" s="19"/>
      <c r="E673" s="20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>
      <c r="A674" s="19"/>
      <c r="B674" s="19"/>
      <c r="C674" s="19"/>
      <c r="D674" s="19"/>
      <c r="E674" s="20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>
      <c r="A675" s="19"/>
      <c r="B675" s="19"/>
      <c r="C675" s="19"/>
      <c r="D675" s="19"/>
      <c r="E675" s="20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>
      <c r="A676" s="19"/>
      <c r="B676" s="19"/>
      <c r="C676" s="19"/>
      <c r="D676" s="19"/>
      <c r="E676" s="20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>
      <c r="A677" s="19"/>
      <c r="B677" s="19"/>
      <c r="C677" s="19"/>
      <c r="D677" s="19"/>
      <c r="E677" s="20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>
      <c r="A678" s="19"/>
      <c r="B678" s="19"/>
      <c r="C678" s="19"/>
      <c r="D678" s="19"/>
      <c r="E678" s="20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>
      <c r="A679" s="19"/>
      <c r="B679" s="19"/>
      <c r="C679" s="19"/>
      <c r="D679" s="19"/>
      <c r="E679" s="20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>
      <c r="A680" s="19"/>
      <c r="B680" s="19"/>
      <c r="C680" s="19"/>
      <c r="D680" s="19"/>
      <c r="E680" s="20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>
      <c r="A681" s="19"/>
      <c r="B681" s="19"/>
      <c r="C681" s="19"/>
      <c r="D681" s="19"/>
      <c r="E681" s="20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>
      <c r="A682" s="19"/>
      <c r="B682" s="19"/>
      <c r="C682" s="19"/>
      <c r="D682" s="19"/>
      <c r="E682" s="20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>
      <c r="A683" s="19"/>
      <c r="B683" s="19"/>
      <c r="C683" s="19"/>
      <c r="D683" s="19"/>
      <c r="E683" s="20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>
      <c r="A684" s="19"/>
      <c r="B684" s="19"/>
      <c r="C684" s="19"/>
      <c r="D684" s="19"/>
      <c r="E684" s="20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>
      <c r="A685" s="19"/>
      <c r="B685" s="19"/>
      <c r="C685" s="19"/>
      <c r="D685" s="19"/>
      <c r="E685" s="20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>
      <c r="A686" s="19"/>
      <c r="B686" s="19"/>
      <c r="C686" s="19"/>
      <c r="D686" s="19"/>
      <c r="E686" s="20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>
      <c r="A687" s="19"/>
      <c r="B687" s="19"/>
      <c r="C687" s="19"/>
      <c r="D687" s="19"/>
      <c r="E687" s="20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>
      <c r="A688" s="19"/>
      <c r="B688" s="19"/>
      <c r="C688" s="19"/>
      <c r="D688" s="19"/>
      <c r="E688" s="20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>
      <c r="A689" s="19"/>
      <c r="B689" s="19"/>
      <c r="C689" s="19"/>
      <c r="D689" s="19"/>
      <c r="E689" s="20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>
      <c r="A690" s="19"/>
      <c r="B690" s="19"/>
      <c r="C690" s="19"/>
      <c r="D690" s="19"/>
      <c r="E690" s="20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>
      <c r="A691" s="19"/>
      <c r="B691" s="19"/>
      <c r="C691" s="19"/>
      <c r="D691" s="19"/>
      <c r="E691" s="20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>
      <c r="A692" s="19"/>
      <c r="B692" s="19"/>
      <c r="C692" s="19"/>
      <c r="D692" s="19"/>
      <c r="E692" s="20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>
      <c r="A693" s="19"/>
      <c r="B693" s="19"/>
      <c r="C693" s="19"/>
      <c r="D693" s="19"/>
      <c r="E693" s="20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>
      <c r="A694" s="19"/>
      <c r="B694" s="19"/>
      <c r="C694" s="19"/>
      <c r="D694" s="19"/>
      <c r="E694" s="20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>
      <c r="A695" s="19"/>
      <c r="B695" s="19"/>
      <c r="C695" s="19"/>
      <c r="D695" s="19"/>
      <c r="E695" s="20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>
      <c r="A696" s="19"/>
      <c r="B696" s="19"/>
      <c r="C696" s="19"/>
      <c r="D696" s="19"/>
      <c r="E696" s="20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>
      <c r="A697" s="19"/>
      <c r="B697" s="19"/>
      <c r="C697" s="19"/>
      <c r="D697" s="19"/>
      <c r="E697" s="20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>
      <c r="A698" s="19"/>
      <c r="B698" s="19"/>
      <c r="C698" s="19"/>
      <c r="D698" s="19"/>
      <c r="E698" s="20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>
      <c r="A699" s="19"/>
      <c r="B699" s="19"/>
      <c r="C699" s="19"/>
      <c r="D699" s="19"/>
      <c r="E699" s="20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>
      <c r="A700" s="19"/>
      <c r="B700" s="19"/>
      <c r="C700" s="19"/>
      <c r="D700" s="19"/>
      <c r="E700" s="20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>
      <c r="A701" s="19"/>
      <c r="B701" s="19"/>
      <c r="C701" s="19"/>
      <c r="D701" s="19"/>
      <c r="E701" s="20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>
      <c r="A702" s="19"/>
      <c r="B702" s="19"/>
      <c r="C702" s="19"/>
      <c r="D702" s="19"/>
      <c r="E702" s="20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>
      <c r="A703" s="19"/>
      <c r="B703" s="19"/>
      <c r="C703" s="19"/>
      <c r="D703" s="19"/>
      <c r="E703" s="20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>
      <c r="A704" s="19"/>
      <c r="B704" s="19"/>
      <c r="C704" s="19"/>
      <c r="D704" s="19"/>
      <c r="E704" s="20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>
      <c r="A705" s="19"/>
      <c r="B705" s="19"/>
      <c r="C705" s="19"/>
      <c r="D705" s="19"/>
      <c r="E705" s="20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>
      <c r="A706" s="19"/>
      <c r="B706" s="19"/>
      <c r="C706" s="19"/>
      <c r="D706" s="19"/>
      <c r="E706" s="20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>
      <c r="A707" s="19"/>
      <c r="B707" s="19"/>
      <c r="C707" s="19"/>
      <c r="D707" s="19"/>
      <c r="E707" s="20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>
      <c r="A708" s="19"/>
      <c r="B708" s="19"/>
      <c r="C708" s="19"/>
      <c r="D708" s="19"/>
      <c r="E708" s="20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>
      <c r="A709" s="19"/>
      <c r="B709" s="19"/>
      <c r="C709" s="19"/>
      <c r="D709" s="19"/>
      <c r="E709" s="20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>
      <c r="A710" s="19"/>
      <c r="B710" s="19"/>
      <c r="C710" s="19"/>
      <c r="D710" s="19"/>
      <c r="E710" s="20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>
      <c r="A711" s="19"/>
      <c r="B711" s="19"/>
      <c r="C711" s="19"/>
      <c r="D711" s="19"/>
      <c r="E711" s="20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>
      <c r="A712" s="19"/>
      <c r="B712" s="19"/>
      <c r="C712" s="19"/>
      <c r="D712" s="19"/>
      <c r="E712" s="20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>
      <c r="A713" s="19"/>
      <c r="B713" s="19"/>
      <c r="C713" s="19"/>
      <c r="D713" s="19"/>
      <c r="E713" s="20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>
      <c r="A714" s="19"/>
      <c r="B714" s="19"/>
      <c r="C714" s="19"/>
      <c r="D714" s="19"/>
      <c r="E714" s="20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>
      <c r="A715" s="19"/>
      <c r="B715" s="19"/>
      <c r="C715" s="19"/>
      <c r="D715" s="19"/>
      <c r="E715" s="20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>
      <c r="A716" s="19"/>
      <c r="B716" s="19"/>
      <c r="C716" s="19"/>
      <c r="D716" s="19"/>
      <c r="E716" s="20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>
      <c r="A717" s="19"/>
      <c r="B717" s="19"/>
      <c r="C717" s="19"/>
      <c r="D717" s="19"/>
      <c r="E717" s="20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>
      <c r="A718" s="19"/>
      <c r="B718" s="19"/>
      <c r="C718" s="19"/>
      <c r="D718" s="19"/>
      <c r="E718" s="20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>
      <c r="A719" s="19"/>
      <c r="B719" s="19"/>
      <c r="C719" s="19"/>
      <c r="D719" s="19"/>
      <c r="E719" s="20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>
      <c r="A720" s="19"/>
      <c r="B720" s="19"/>
      <c r="C720" s="19"/>
      <c r="D720" s="19"/>
      <c r="E720" s="20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>
      <c r="A721" s="19"/>
      <c r="B721" s="19"/>
      <c r="C721" s="19"/>
      <c r="D721" s="19"/>
      <c r="E721" s="20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>
      <c r="A722" s="19"/>
      <c r="B722" s="19"/>
      <c r="C722" s="19"/>
      <c r="D722" s="19"/>
      <c r="E722" s="20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>
      <c r="A723" s="19"/>
      <c r="B723" s="19"/>
      <c r="C723" s="19"/>
      <c r="D723" s="19"/>
      <c r="E723" s="20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>
      <c r="A724" s="19"/>
      <c r="B724" s="19"/>
      <c r="C724" s="19"/>
      <c r="D724" s="19"/>
      <c r="E724" s="20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>
      <c r="A725" s="19"/>
      <c r="B725" s="19"/>
      <c r="C725" s="19"/>
      <c r="D725" s="19"/>
      <c r="E725" s="20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>
      <c r="A726" s="19"/>
      <c r="B726" s="19"/>
      <c r="C726" s="19"/>
      <c r="D726" s="19"/>
      <c r="E726" s="20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>
      <c r="A727" s="19"/>
      <c r="B727" s="19"/>
      <c r="C727" s="19"/>
      <c r="D727" s="19"/>
      <c r="E727" s="20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>
      <c r="A728" s="19"/>
      <c r="B728" s="19"/>
      <c r="C728" s="19"/>
      <c r="D728" s="19"/>
      <c r="E728" s="20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>
      <c r="A729" s="19"/>
      <c r="B729" s="19"/>
      <c r="C729" s="19"/>
      <c r="D729" s="19"/>
      <c r="E729" s="20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>
      <c r="A730" s="19"/>
      <c r="B730" s="19"/>
      <c r="C730" s="19"/>
      <c r="D730" s="19"/>
      <c r="E730" s="20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>
      <c r="A731" s="19"/>
      <c r="B731" s="19"/>
      <c r="C731" s="19"/>
      <c r="D731" s="19"/>
      <c r="E731" s="20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>
      <c r="A732" s="19"/>
      <c r="B732" s="19"/>
      <c r="C732" s="19"/>
      <c r="D732" s="19"/>
      <c r="E732" s="20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>
      <c r="A733" s="19"/>
      <c r="B733" s="19"/>
      <c r="C733" s="19"/>
      <c r="D733" s="19"/>
      <c r="E733" s="20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>
      <c r="A734" s="19"/>
      <c r="B734" s="19"/>
      <c r="C734" s="19"/>
      <c r="D734" s="19"/>
      <c r="E734" s="20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>
      <c r="A735" s="19"/>
      <c r="B735" s="19"/>
      <c r="C735" s="19"/>
      <c r="D735" s="19"/>
      <c r="E735" s="20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>
      <c r="A736" s="19"/>
      <c r="B736" s="19"/>
      <c r="C736" s="19"/>
      <c r="D736" s="19"/>
      <c r="E736" s="20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>
      <c r="A737" s="19"/>
      <c r="B737" s="19"/>
      <c r="C737" s="19"/>
      <c r="D737" s="19"/>
      <c r="E737" s="20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>
      <c r="A738" s="19"/>
      <c r="B738" s="19"/>
      <c r="C738" s="19"/>
      <c r="D738" s="19"/>
      <c r="E738" s="20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>
      <c r="A739" s="19"/>
      <c r="B739" s="19"/>
      <c r="C739" s="19"/>
      <c r="D739" s="19"/>
      <c r="E739" s="20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>
      <c r="A740" s="19"/>
      <c r="B740" s="19"/>
      <c r="C740" s="19"/>
      <c r="D740" s="19"/>
      <c r="E740" s="20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>
      <c r="A741" s="19"/>
      <c r="B741" s="19"/>
      <c r="C741" s="19"/>
      <c r="D741" s="19"/>
      <c r="E741" s="20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>
      <c r="A742" s="19"/>
      <c r="B742" s="19"/>
      <c r="C742" s="19"/>
      <c r="D742" s="19"/>
      <c r="E742" s="20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>
      <c r="A743" s="19"/>
      <c r="B743" s="19"/>
      <c r="C743" s="19"/>
      <c r="D743" s="19"/>
      <c r="E743" s="20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>
      <c r="A744" s="19"/>
      <c r="B744" s="19"/>
      <c r="C744" s="19"/>
      <c r="D744" s="19"/>
      <c r="E744" s="20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>
      <c r="A745" s="19"/>
      <c r="B745" s="19"/>
      <c r="C745" s="19"/>
      <c r="D745" s="19"/>
      <c r="E745" s="20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>
      <c r="A746" s="19"/>
      <c r="B746" s="19"/>
      <c r="C746" s="19"/>
      <c r="D746" s="19"/>
      <c r="E746" s="20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>
      <c r="A747" s="19"/>
      <c r="B747" s="19"/>
      <c r="C747" s="19"/>
      <c r="D747" s="19"/>
      <c r="E747" s="20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>
      <c r="A748" s="19"/>
      <c r="B748" s="19"/>
      <c r="C748" s="19"/>
      <c r="D748" s="19"/>
      <c r="E748" s="20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>
      <c r="A749" s="19"/>
      <c r="B749" s="19"/>
      <c r="C749" s="19"/>
      <c r="D749" s="19"/>
      <c r="E749" s="20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>
      <c r="A750" s="19"/>
      <c r="B750" s="19"/>
      <c r="C750" s="19"/>
      <c r="D750" s="19"/>
      <c r="E750" s="20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>
      <c r="A751" s="19"/>
      <c r="B751" s="19"/>
      <c r="C751" s="19"/>
      <c r="D751" s="19"/>
      <c r="E751" s="20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>
      <c r="A752" s="19"/>
      <c r="B752" s="19"/>
      <c r="C752" s="19"/>
      <c r="D752" s="19"/>
      <c r="E752" s="20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>
      <c r="A753" s="19"/>
      <c r="B753" s="19"/>
      <c r="C753" s="19"/>
      <c r="D753" s="19"/>
      <c r="E753" s="20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>
      <c r="A754" s="19"/>
      <c r="B754" s="19"/>
      <c r="C754" s="19"/>
      <c r="D754" s="19"/>
      <c r="E754" s="20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>
      <c r="A755" s="19"/>
      <c r="B755" s="19"/>
      <c r="C755" s="19"/>
      <c r="D755" s="19"/>
      <c r="E755" s="20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>
      <c r="A756" s="19"/>
      <c r="B756" s="19"/>
      <c r="C756" s="19"/>
      <c r="D756" s="19"/>
      <c r="E756" s="20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>
      <c r="A757" s="19"/>
      <c r="B757" s="19"/>
      <c r="C757" s="19"/>
      <c r="D757" s="19"/>
      <c r="E757" s="20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>
      <c r="A758" s="19"/>
      <c r="B758" s="19"/>
      <c r="C758" s="19"/>
      <c r="D758" s="19"/>
      <c r="E758" s="20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>
      <c r="A759" s="19"/>
      <c r="B759" s="19"/>
      <c r="C759" s="19"/>
      <c r="D759" s="19"/>
      <c r="E759" s="20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>
      <c r="A760" s="19"/>
      <c r="B760" s="19"/>
      <c r="C760" s="19"/>
      <c r="D760" s="19"/>
      <c r="E760" s="20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>
      <c r="A761" s="19"/>
      <c r="B761" s="19"/>
      <c r="C761" s="19"/>
      <c r="D761" s="19"/>
      <c r="E761" s="20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>
      <c r="A762" s="19"/>
      <c r="B762" s="19"/>
      <c r="C762" s="19"/>
      <c r="D762" s="19"/>
      <c r="E762" s="20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>
      <c r="A763" s="19"/>
      <c r="B763" s="19"/>
      <c r="C763" s="19"/>
      <c r="D763" s="19"/>
      <c r="E763" s="20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>
      <c r="A764" s="19"/>
      <c r="B764" s="19"/>
      <c r="C764" s="19"/>
      <c r="D764" s="19"/>
      <c r="E764" s="20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>
      <c r="A765" s="19"/>
      <c r="B765" s="19"/>
      <c r="C765" s="19"/>
      <c r="D765" s="19"/>
      <c r="E765" s="20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>
      <c r="A766" s="19"/>
      <c r="B766" s="19"/>
      <c r="C766" s="19"/>
      <c r="D766" s="19"/>
      <c r="E766" s="20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>
      <c r="A767" s="19"/>
      <c r="B767" s="19"/>
      <c r="C767" s="19"/>
      <c r="D767" s="19"/>
      <c r="E767" s="20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>
      <c r="A768" s="19"/>
      <c r="B768" s="19"/>
      <c r="C768" s="19"/>
      <c r="D768" s="19"/>
      <c r="E768" s="20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>
      <c r="A769" s="19"/>
      <c r="B769" s="19"/>
      <c r="C769" s="19"/>
      <c r="D769" s="19"/>
      <c r="E769" s="20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>
      <c r="A770" s="19"/>
      <c r="B770" s="19"/>
      <c r="C770" s="19"/>
      <c r="D770" s="19"/>
      <c r="E770" s="20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>
      <c r="A771" s="19"/>
      <c r="B771" s="19"/>
      <c r="C771" s="19"/>
      <c r="D771" s="19"/>
      <c r="E771" s="20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>
      <c r="A772" s="19"/>
      <c r="B772" s="19"/>
      <c r="C772" s="19"/>
      <c r="D772" s="19"/>
      <c r="E772" s="20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>
      <c r="A773" s="19"/>
      <c r="B773" s="19"/>
      <c r="C773" s="19"/>
      <c r="D773" s="19"/>
      <c r="E773" s="20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>
      <c r="A774" s="19"/>
      <c r="B774" s="19"/>
      <c r="C774" s="19"/>
      <c r="D774" s="19"/>
      <c r="E774" s="20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>
      <c r="A775" s="19"/>
      <c r="B775" s="19"/>
      <c r="C775" s="19"/>
      <c r="D775" s="19"/>
      <c r="E775" s="20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>
      <c r="A776" s="19"/>
      <c r="B776" s="19"/>
      <c r="C776" s="19"/>
      <c r="D776" s="19"/>
      <c r="E776" s="20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>
      <c r="A777" s="19"/>
      <c r="B777" s="19"/>
      <c r="C777" s="19"/>
      <c r="D777" s="19"/>
      <c r="E777" s="20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>
      <c r="A778" s="19"/>
      <c r="B778" s="19"/>
      <c r="C778" s="19"/>
      <c r="D778" s="19"/>
      <c r="E778" s="20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>
      <c r="A779" s="19"/>
      <c r="B779" s="19"/>
      <c r="C779" s="19"/>
      <c r="D779" s="19"/>
      <c r="E779" s="20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>
      <c r="A780" s="19"/>
      <c r="B780" s="19"/>
      <c r="C780" s="19"/>
      <c r="D780" s="19"/>
      <c r="E780" s="20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>
      <c r="A781" s="19"/>
      <c r="B781" s="19"/>
      <c r="C781" s="19"/>
      <c r="D781" s="19"/>
      <c r="E781" s="20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>
      <c r="A782" s="19"/>
      <c r="B782" s="19"/>
      <c r="C782" s="19"/>
      <c r="D782" s="19"/>
      <c r="E782" s="20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>
      <c r="A783" s="19"/>
      <c r="B783" s="19"/>
      <c r="C783" s="19"/>
      <c r="D783" s="19"/>
      <c r="E783" s="20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>
      <c r="A784" s="19"/>
      <c r="B784" s="19"/>
      <c r="C784" s="19"/>
      <c r="D784" s="19"/>
      <c r="E784" s="20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>
      <c r="A785" s="19"/>
      <c r="B785" s="19"/>
      <c r="C785" s="19"/>
      <c r="D785" s="19"/>
      <c r="E785" s="20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>
      <c r="A786" s="19"/>
      <c r="B786" s="19"/>
      <c r="C786" s="19"/>
      <c r="D786" s="19"/>
      <c r="E786" s="20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>
      <c r="A787" s="19"/>
      <c r="B787" s="19"/>
      <c r="C787" s="19"/>
      <c r="D787" s="19"/>
      <c r="E787" s="20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>
      <c r="A788" s="19"/>
      <c r="B788" s="19"/>
      <c r="C788" s="19"/>
      <c r="D788" s="19"/>
      <c r="E788" s="20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>
      <c r="A789" s="19"/>
      <c r="B789" s="19"/>
      <c r="C789" s="19"/>
      <c r="D789" s="19"/>
      <c r="E789" s="20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>
      <c r="A790" s="19"/>
      <c r="B790" s="19"/>
      <c r="C790" s="19"/>
      <c r="D790" s="19"/>
      <c r="E790" s="20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>
      <c r="A791" s="19"/>
      <c r="B791" s="19"/>
      <c r="C791" s="19"/>
      <c r="D791" s="19"/>
      <c r="E791" s="20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>
      <c r="A792" s="19"/>
      <c r="B792" s="19"/>
      <c r="C792" s="19"/>
      <c r="D792" s="19"/>
      <c r="E792" s="20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>
      <c r="A793" s="19"/>
      <c r="B793" s="19"/>
      <c r="C793" s="19"/>
      <c r="D793" s="19"/>
      <c r="E793" s="20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>
      <c r="A794" s="19"/>
      <c r="B794" s="19"/>
      <c r="C794" s="19"/>
      <c r="D794" s="19"/>
      <c r="E794" s="20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>
      <c r="A795" s="19"/>
      <c r="B795" s="19"/>
      <c r="C795" s="19"/>
      <c r="D795" s="19"/>
      <c r="E795" s="20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>
      <c r="A796" s="19"/>
      <c r="B796" s="19"/>
      <c r="C796" s="19"/>
      <c r="D796" s="19"/>
      <c r="E796" s="20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>
      <c r="A797" s="19"/>
      <c r="B797" s="19"/>
      <c r="C797" s="19"/>
      <c r="D797" s="19"/>
      <c r="E797" s="20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>
      <c r="A798" s="19"/>
      <c r="B798" s="19"/>
      <c r="C798" s="19"/>
      <c r="D798" s="19"/>
      <c r="E798" s="20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>
      <c r="A799" s="19"/>
      <c r="B799" s="19"/>
      <c r="C799" s="19"/>
      <c r="D799" s="19"/>
      <c r="E799" s="20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>
      <c r="A800" s="19"/>
      <c r="B800" s="19"/>
      <c r="C800" s="19"/>
      <c r="D800" s="19"/>
      <c r="E800" s="20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>
      <c r="A801" s="19"/>
      <c r="B801" s="19"/>
      <c r="C801" s="19"/>
      <c r="D801" s="19"/>
      <c r="E801" s="20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>
      <c r="A802" s="19"/>
      <c r="B802" s="19"/>
      <c r="C802" s="19"/>
      <c r="D802" s="19"/>
      <c r="E802" s="20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>
      <c r="A803" s="19"/>
      <c r="B803" s="19"/>
      <c r="C803" s="19"/>
      <c r="D803" s="19"/>
      <c r="E803" s="20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>
      <c r="A804" s="19"/>
      <c r="B804" s="19"/>
      <c r="C804" s="19"/>
      <c r="D804" s="19"/>
      <c r="E804" s="20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>
      <c r="A805" s="19"/>
      <c r="B805" s="19"/>
      <c r="C805" s="19"/>
      <c r="D805" s="19"/>
      <c r="E805" s="20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>
      <c r="A806" s="19"/>
      <c r="B806" s="19"/>
      <c r="C806" s="19"/>
      <c r="D806" s="19"/>
      <c r="E806" s="20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>
      <c r="A807" s="19"/>
      <c r="B807" s="19"/>
      <c r="C807" s="19"/>
      <c r="D807" s="19"/>
      <c r="E807" s="20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>
      <c r="A808" s="19"/>
      <c r="B808" s="19"/>
      <c r="C808" s="19"/>
      <c r="D808" s="19"/>
      <c r="E808" s="20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>
      <c r="A809" s="19"/>
      <c r="B809" s="19"/>
      <c r="C809" s="19"/>
      <c r="D809" s="19"/>
      <c r="E809" s="20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>
      <c r="A810" s="19"/>
      <c r="B810" s="19"/>
      <c r="C810" s="19"/>
      <c r="D810" s="19"/>
      <c r="E810" s="20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>
      <c r="A811" s="19"/>
      <c r="B811" s="19"/>
      <c r="C811" s="19"/>
      <c r="D811" s="19"/>
      <c r="E811" s="20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>
      <c r="A812" s="19"/>
      <c r="B812" s="19"/>
      <c r="C812" s="19"/>
      <c r="D812" s="19"/>
      <c r="E812" s="20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>
      <c r="A813" s="19"/>
      <c r="B813" s="19"/>
      <c r="C813" s="19"/>
      <c r="D813" s="19"/>
      <c r="E813" s="20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>
      <c r="A814" s="19"/>
      <c r="B814" s="19"/>
      <c r="C814" s="19"/>
      <c r="D814" s="19"/>
      <c r="E814" s="20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>
      <c r="A815" s="19"/>
      <c r="B815" s="19"/>
      <c r="C815" s="19"/>
      <c r="D815" s="19"/>
      <c r="E815" s="20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>
      <c r="A816" s="19"/>
      <c r="B816" s="19"/>
      <c r="C816" s="19"/>
      <c r="D816" s="19"/>
      <c r="E816" s="20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>
      <c r="A817" s="19"/>
      <c r="B817" s="19"/>
      <c r="C817" s="19"/>
      <c r="D817" s="19"/>
      <c r="E817" s="20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>
      <c r="A818" s="19"/>
      <c r="B818" s="19"/>
      <c r="C818" s="19"/>
      <c r="D818" s="19"/>
      <c r="E818" s="20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>
      <c r="A819" s="19"/>
      <c r="B819" s="19"/>
      <c r="C819" s="19"/>
      <c r="D819" s="19"/>
      <c r="E819" s="20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>
      <c r="A820" s="19"/>
      <c r="B820" s="19"/>
      <c r="C820" s="19"/>
      <c r="D820" s="19"/>
      <c r="E820" s="20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>
      <c r="A821" s="19"/>
      <c r="B821" s="19"/>
      <c r="C821" s="19"/>
      <c r="D821" s="19"/>
      <c r="E821" s="20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>
      <c r="A822" s="19"/>
      <c r="B822" s="19"/>
      <c r="C822" s="19"/>
      <c r="D822" s="19"/>
      <c r="E822" s="20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>
      <c r="A823" s="19"/>
      <c r="B823" s="19"/>
      <c r="C823" s="19"/>
      <c r="D823" s="19"/>
      <c r="E823" s="20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>
      <c r="A824" s="19"/>
      <c r="B824" s="19"/>
      <c r="C824" s="19"/>
      <c r="D824" s="19"/>
      <c r="E824" s="20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>
      <c r="A825" s="19"/>
      <c r="B825" s="19"/>
      <c r="C825" s="19"/>
      <c r="D825" s="19"/>
      <c r="E825" s="20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>
      <c r="A826" s="19"/>
      <c r="B826" s="19"/>
      <c r="C826" s="19"/>
      <c r="D826" s="19"/>
      <c r="E826" s="20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>
      <c r="A827" s="19"/>
      <c r="B827" s="19"/>
      <c r="C827" s="19"/>
      <c r="D827" s="19"/>
      <c r="E827" s="20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>
      <c r="A828" s="19"/>
      <c r="B828" s="19"/>
      <c r="C828" s="19"/>
      <c r="D828" s="19"/>
      <c r="E828" s="20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>
      <c r="A829" s="19"/>
      <c r="B829" s="19"/>
      <c r="C829" s="19"/>
      <c r="D829" s="19"/>
      <c r="E829" s="20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>
      <c r="A830" s="19"/>
      <c r="B830" s="19"/>
      <c r="C830" s="19"/>
      <c r="D830" s="19"/>
      <c r="E830" s="20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>
      <c r="A831" s="19"/>
      <c r="B831" s="19"/>
      <c r="C831" s="19"/>
      <c r="D831" s="19"/>
      <c r="E831" s="20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>
      <c r="A832" s="19"/>
      <c r="B832" s="19"/>
      <c r="C832" s="19"/>
      <c r="D832" s="19"/>
      <c r="E832" s="20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>
      <c r="A833" s="19"/>
      <c r="B833" s="19"/>
      <c r="C833" s="19"/>
      <c r="D833" s="19"/>
      <c r="E833" s="20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>
      <c r="A834" s="19"/>
      <c r="B834" s="19"/>
      <c r="C834" s="19"/>
      <c r="D834" s="19"/>
      <c r="E834" s="20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>
      <c r="A835" s="19"/>
      <c r="B835" s="19"/>
      <c r="C835" s="19"/>
      <c r="D835" s="19"/>
      <c r="E835" s="20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>
      <c r="A836" s="19"/>
      <c r="B836" s="19"/>
      <c r="C836" s="19"/>
      <c r="D836" s="19"/>
      <c r="E836" s="20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>
      <c r="A837" s="19"/>
      <c r="B837" s="19"/>
      <c r="C837" s="19"/>
      <c r="D837" s="19"/>
      <c r="E837" s="20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>
      <c r="A838" s="19"/>
      <c r="B838" s="19"/>
      <c r="C838" s="19"/>
      <c r="D838" s="19"/>
      <c r="E838" s="20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>
      <c r="A839" s="19"/>
      <c r="B839" s="19"/>
      <c r="C839" s="19"/>
      <c r="D839" s="19"/>
      <c r="E839" s="20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>
      <c r="A840" s="19"/>
      <c r="B840" s="19"/>
      <c r="C840" s="19"/>
      <c r="D840" s="19"/>
      <c r="E840" s="20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>
      <c r="A841" s="19"/>
      <c r="B841" s="19"/>
      <c r="C841" s="19"/>
      <c r="D841" s="19"/>
      <c r="E841" s="20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>
      <c r="A842" s="19"/>
      <c r="B842" s="19"/>
      <c r="C842" s="19"/>
      <c r="D842" s="19"/>
      <c r="E842" s="20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>
      <c r="A843" s="19"/>
      <c r="B843" s="19"/>
      <c r="C843" s="19"/>
      <c r="D843" s="19"/>
      <c r="E843" s="20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>
      <c r="A844" s="19"/>
      <c r="B844" s="19"/>
      <c r="C844" s="19"/>
      <c r="D844" s="19"/>
      <c r="E844" s="20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>
      <c r="A845" s="19"/>
      <c r="B845" s="19"/>
      <c r="C845" s="19"/>
      <c r="D845" s="19"/>
      <c r="E845" s="20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>
      <c r="A846" s="19"/>
      <c r="B846" s="19"/>
      <c r="C846" s="19"/>
      <c r="D846" s="19"/>
      <c r="E846" s="20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>
      <c r="A847" s="19"/>
      <c r="B847" s="19"/>
      <c r="C847" s="19"/>
      <c r="D847" s="19"/>
      <c r="E847" s="20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>
      <c r="A848" s="19"/>
      <c r="B848" s="19"/>
      <c r="C848" s="19"/>
      <c r="D848" s="19"/>
      <c r="E848" s="20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>
      <c r="A849" s="19"/>
      <c r="B849" s="19"/>
      <c r="C849" s="19"/>
      <c r="D849" s="19"/>
      <c r="E849" s="20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>
      <c r="A850" s="19"/>
      <c r="B850" s="19"/>
      <c r="C850" s="19"/>
      <c r="D850" s="19"/>
      <c r="E850" s="20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>
      <c r="A851" s="19"/>
      <c r="B851" s="19"/>
      <c r="C851" s="19"/>
      <c r="D851" s="19"/>
      <c r="E851" s="20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>
      <c r="A852" s="19"/>
      <c r="B852" s="19"/>
      <c r="C852" s="19"/>
      <c r="D852" s="19"/>
      <c r="E852" s="20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>
      <c r="A853" s="19"/>
      <c r="B853" s="19"/>
      <c r="C853" s="19"/>
      <c r="D853" s="19"/>
      <c r="E853" s="20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>
      <c r="A854" s="19"/>
      <c r="B854" s="19"/>
      <c r="C854" s="19"/>
      <c r="D854" s="19"/>
      <c r="E854" s="20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>
      <c r="A855" s="19"/>
      <c r="B855" s="19"/>
      <c r="C855" s="19"/>
      <c r="D855" s="19"/>
      <c r="E855" s="20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>
      <c r="A856" s="19"/>
      <c r="B856" s="19"/>
      <c r="C856" s="19"/>
      <c r="D856" s="19"/>
      <c r="E856" s="20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>
      <c r="A857" s="19"/>
      <c r="B857" s="19"/>
      <c r="C857" s="19"/>
      <c r="D857" s="19"/>
      <c r="E857" s="20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>
      <c r="A858" s="19"/>
      <c r="B858" s="19"/>
      <c r="C858" s="19"/>
      <c r="D858" s="19"/>
      <c r="E858" s="20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>
      <c r="A859" s="19"/>
      <c r="B859" s="19"/>
      <c r="C859" s="19"/>
      <c r="D859" s="19"/>
      <c r="E859" s="20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>
      <c r="A860" s="19"/>
      <c r="B860" s="19"/>
      <c r="C860" s="19"/>
      <c r="D860" s="19"/>
      <c r="E860" s="20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>
      <c r="A861" s="19"/>
      <c r="B861" s="19"/>
      <c r="C861" s="19"/>
      <c r="D861" s="19"/>
      <c r="E861" s="20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>
      <c r="A862" s="19"/>
      <c r="B862" s="19"/>
      <c r="C862" s="19"/>
      <c r="D862" s="19"/>
      <c r="E862" s="20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>
      <c r="A863" s="19"/>
      <c r="B863" s="19"/>
      <c r="C863" s="19"/>
      <c r="D863" s="19"/>
      <c r="E863" s="20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>
      <c r="A864" s="19"/>
      <c r="B864" s="19"/>
      <c r="C864" s="19"/>
      <c r="D864" s="19"/>
      <c r="E864" s="20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>
      <c r="A865" s="19"/>
      <c r="B865" s="19"/>
      <c r="C865" s="19"/>
      <c r="D865" s="19"/>
      <c r="E865" s="20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>
      <c r="A866" s="19"/>
      <c r="B866" s="19"/>
      <c r="C866" s="19"/>
      <c r="D866" s="19"/>
      <c r="E866" s="20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>
      <c r="A867" s="19"/>
      <c r="B867" s="19"/>
      <c r="C867" s="19"/>
      <c r="D867" s="19"/>
      <c r="E867" s="20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>
      <c r="A868" s="19"/>
      <c r="B868" s="19"/>
      <c r="C868" s="19"/>
      <c r="D868" s="19"/>
      <c r="E868" s="20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>
      <c r="A869" s="19"/>
      <c r="B869" s="19"/>
      <c r="C869" s="19"/>
      <c r="D869" s="19"/>
      <c r="E869" s="20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>
      <c r="A870" s="19"/>
      <c r="B870" s="19"/>
      <c r="C870" s="19"/>
      <c r="D870" s="19"/>
      <c r="E870" s="20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>
      <c r="A871" s="19"/>
      <c r="B871" s="19"/>
      <c r="C871" s="19"/>
      <c r="D871" s="19"/>
      <c r="E871" s="20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>
      <c r="A872" s="19"/>
      <c r="B872" s="19"/>
      <c r="C872" s="19"/>
      <c r="D872" s="19"/>
      <c r="E872" s="20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>
      <c r="A873" s="19"/>
      <c r="B873" s="19"/>
      <c r="C873" s="19"/>
      <c r="D873" s="19"/>
      <c r="E873" s="20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>
      <c r="A874" s="19"/>
      <c r="B874" s="19"/>
      <c r="C874" s="19"/>
      <c r="D874" s="19"/>
      <c r="E874" s="20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>
      <c r="A875" s="19"/>
      <c r="B875" s="19"/>
      <c r="C875" s="19"/>
      <c r="D875" s="19"/>
      <c r="E875" s="20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>
      <c r="A876" s="19"/>
      <c r="B876" s="19"/>
      <c r="C876" s="19"/>
      <c r="D876" s="19"/>
      <c r="E876" s="20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>
      <c r="A877" s="19"/>
      <c r="B877" s="19"/>
      <c r="C877" s="19"/>
      <c r="D877" s="19"/>
      <c r="E877" s="20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>
      <c r="A878" s="19"/>
      <c r="B878" s="19"/>
      <c r="C878" s="19"/>
      <c r="D878" s="19"/>
      <c r="E878" s="20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>
      <c r="A879" s="19"/>
      <c r="B879" s="19"/>
      <c r="C879" s="19"/>
      <c r="D879" s="19"/>
      <c r="E879" s="20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>
      <c r="A880" s="19"/>
      <c r="B880" s="19"/>
      <c r="C880" s="19"/>
      <c r="D880" s="19"/>
      <c r="E880" s="20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>
      <c r="A881" s="19"/>
      <c r="B881" s="19"/>
      <c r="C881" s="19"/>
      <c r="D881" s="19"/>
      <c r="E881" s="20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>
      <c r="A882" s="19"/>
      <c r="B882" s="19"/>
      <c r="C882" s="19"/>
      <c r="D882" s="19"/>
      <c r="E882" s="20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>
      <c r="A883" s="19"/>
      <c r="B883" s="19"/>
      <c r="C883" s="19"/>
      <c r="D883" s="19"/>
      <c r="E883" s="20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>
      <c r="A884" s="19"/>
      <c r="B884" s="19"/>
      <c r="C884" s="19"/>
      <c r="D884" s="19"/>
      <c r="E884" s="20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>
      <c r="A885" s="19"/>
      <c r="B885" s="19"/>
      <c r="C885" s="19"/>
      <c r="D885" s="19"/>
      <c r="E885" s="20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>
      <c r="A886" s="19"/>
      <c r="B886" s="19"/>
      <c r="C886" s="19"/>
      <c r="D886" s="19"/>
      <c r="E886" s="20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>
      <c r="A887" s="19"/>
      <c r="B887" s="19"/>
      <c r="C887" s="19"/>
      <c r="D887" s="19"/>
      <c r="E887" s="20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>
      <c r="A888" s="19"/>
      <c r="B888" s="19"/>
      <c r="C888" s="19"/>
      <c r="D888" s="19"/>
      <c r="E888" s="20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>
      <c r="A889" s="19"/>
      <c r="B889" s="19"/>
      <c r="C889" s="19"/>
      <c r="D889" s="19"/>
      <c r="E889" s="20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>
      <c r="A890" s="19"/>
      <c r="B890" s="19"/>
      <c r="C890" s="19"/>
      <c r="D890" s="19"/>
      <c r="E890" s="20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>
      <c r="A891" s="19"/>
      <c r="B891" s="19"/>
      <c r="C891" s="19"/>
      <c r="D891" s="19"/>
      <c r="E891" s="20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>
      <c r="A892" s="19"/>
      <c r="B892" s="19"/>
      <c r="C892" s="19"/>
      <c r="D892" s="19"/>
      <c r="E892" s="20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>
      <c r="A893" s="19"/>
      <c r="B893" s="19"/>
      <c r="C893" s="19"/>
      <c r="D893" s="19"/>
      <c r="E893" s="20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>
      <c r="A894" s="19"/>
      <c r="B894" s="19"/>
      <c r="C894" s="19"/>
      <c r="D894" s="19"/>
      <c r="E894" s="20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>
      <c r="A895" s="19"/>
      <c r="B895" s="19"/>
      <c r="C895" s="19"/>
      <c r="D895" s="19"/>
      <c r="E895" s="20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>
      <c r="A896" s="19"/>
      <c r="B896" s="19"/>
      <c r="C896" s="19"/>
      <c r="D896" s="19"/>
      <c r="E896" s="20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>
      <c r="A897" s="19"/>
      <c r="B897" s="19"/>
      <c r="C897" s="19"/>
      <c r="D897" s="19"/>
      <c r="E897" s="20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>
      <c r="A898" s="19"/>
      <c r="B898" s="19"/>
      <c r="C898" s="19"/>
      <c r="D898" s="19"/>
      <c r="E898" s="20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>
      <c r="A899" s="19"/>
      <c r="B899" s="19"/>
      <c r="C899" s="19"/>
      <c r="D899" s="19"/>
      <c r="E899" s="20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>
      <c r="A900" s="19"/>
      <c r="B900" s="19"/>
      <c r="C900" s="19"/>
      <c r="D900" s="19"/>
      <c r="E900" s="20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>
      <c r="A901" s="19"/>
      <c r="B901" s="19"/>
      <c r="C901" s="19"/>
      <c r="D901" s="19"/>
      <c r="E901" s="20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>
      <c r="A902" s="19"/>
      <c r="B902" s="19"/>
      <c r="C902" s="19"/>
      <c r="D902" s="19"/>
      <c r="E902" s="20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>
      <c r="A903" s="19"/>
      <c r="B903" s="19"/>
      <c r="C903" s="19"/>
      <c r="D903" s="19"/>
      <c r="E903" s="20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>
      <c r="A904" s="19"/>
      <c r="B904" s="19"/>
      <c r="C904" s="19"/>
      <c r="D904" s="19"/>
      <c r="E904" s="20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>
      <c r="A905" s="19"/>
      <c r="B905" s="19"/>
      <c r="C905" s="19"/>
      <c r="D905" s="19"/>
      <c r="E905" s="20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>
      <c r="A906" s="19"/>
      <c r="B906" s="19"/>
      <c r="C906" s="19"/>
      <c r="D906" s="19"/>
      <c r="E906" s="20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>
      <c r="A907" s="19"/>
      <c r="B907" s="19"/>
      <c r="C907" s="19"/>
      <c r="D907" s="19"/>
      <c r="E907" s="20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>
      <c r="A908" s="19"/>
      <c r="B908" s="19"/>
      <c r="C908" s="19"/>
      <c r="D908" s="19"/>
      <c r="E908" s="20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>
      <c r="A909" s="19"/>
      <c r="B909" s="19"/>
      <c r="C909" s="19"/>
      <c r="D909" s="19"/>
      <c r="E909" s="20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>
      <c r="A910" s="19"/>
      <c r="B910" s="19"/>
      <c r="C910" s="19"/>
      <c r="D910" s="19"/>
      <c r="E910" s="20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>
      <c r="A911" s="19"/>
      <c r="B911" s="19"/>
      <c r="C911" s="19"/>
      <c r="D911" s="19"/>
      <c r="E911" s="20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>
      <c r="A912" s="19"/>
      <c r="B912" s="19"/>
      <c r="C912" s="19"/>
      <c r="D912" s="19"/>
      <c r="E912" s="20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>
      <c r="A913" s="19"/>
      <c r="B913" s="19"/>
      <c r="C913" s="19"/>
      <c r="D913" s="19"/>
      <c r="E913" s="20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>
      <c r="A914" s="19"/>
      <c r="B914" s="19"/>
      <c r="C914" s="19"/>
      <c r="D914" s="19"/>
      <c r="E914" s="20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>
      <c r="A915" s="19"/>
      <c r="B915" s="19"/>
      <c r="C915" s="19"/>
      <c r="D915" s="19"/>
      <c r="E915" s="20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>
      <c r="A916" s="19"/>
      <c r="B916" s="19"/>
      <c r="C916" s="19"/>
      <c r="D916" s="19"/>
      <c r="E916" s="20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>
      <c r="A917" s="19"/>
      <c r="B917" s="19"/>
      <c r="C917" s="19"/>
      <c r="D917" s="19"/>
      <c r="E917" s="20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>
      <c r="A918" s="19"/>
      <c r="B918" s="19"/>
      <c r="C918" s="19"/>
      <c r="D918" s="19"/>
      <c r="E918" s="20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>
      <c r="A919" s="19"/>
      <c r="B919" s="19"/>
      <c r="C919" s="19"/>
      <c r="D919" s="19"/>
      <c r="E919" s="20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>
      <c r="A920" s="19"/>
      <c r="B920" s="19"/>
      <c r="C920" s="19"/>
      <c r="D920" s="19"/>
      <c r="E920" s="20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>
      <c r="A921" s="19"/>
      <c r="B921" s="19"/>
      <c r="C921" s="19"/>
      <c r="D921" s="19"/>
      <c r="E921" s="20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>
      <c r="A922" s="19"/>
      <c r="B922" s="19"/>
      <c r="C922" s="19"/>
      <c r="D922" s="19"/>
      <c r="E922" s="20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>
      <c r="A923" s="19"/>
      <c r="B923" s="19"/>
      <c r="C923" s="19"/>
      <c r="D923" s="19"/>
      <c r="E923" s="20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>
      <c r="A924" s="19"/>
      <c r="B924" s="19"/>
      <c r="C924" s="19"/>
      <c r="D924" s="19"/>
      <c r="E924" s="20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>
      <c r="A925" s="19"/>
      <c r="B925" s="19"/>
      <c r="C925" s="19"/>
      <c r="D925" s="19"/>
      <c r="E925" s="20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>
      <c r="A926" s="19"/>
      <c r="B926" s="19"/>
      <c r="C926" s="19"/>
      <c r="D926" s="19"/>
      <c r="E926" s="20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>
      <c r="A927" s="19"/>
      <c r="B927" s="19"/>
      <c r="C927" s="19"/>
      <c r="D927" s="19"/>
      <c r="E927" s="20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>
      <c r="A928" s="19"/>
      <c r="B928" s="19"/>
      <c r="C928" s="19"/>
      <c r="D928" s="19"/>
      <c r="E928" s="20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>
      <c r="A929" s="19"/>
      <c r="B929" s="19"/>
      <c r="C929" s="19"/>
      <c r="D929" s="19"/>
      <c r="E929" s="20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>
      <c r="A930" s="19"/>
      <c r="B930" s="19"/>
      <c r="C930" s="19"/>
      <c r="D930" s="19"/>
      <c r="E930" s="20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>
      <c r="A931" s="19"/>
      <c r="B931" s="19"/>
      <c r="C931" s="19"/>
      <c r="D931" s="19"/>
      <c r="E931" s="20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>
      <c r="A932" s="19"/>
      <c r="B932" s="19"/>
      <c r="C932" s="19"/>
      <c r="D932" s="19"/>
      <c r="E932" s="20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>
      <c r="A933" s="19"/>
      <c r="B933" s="19"/>
      <c r="C933" s="19"/>
      <c r="D933" s="19"/>
      <c r="E933" s="20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>
      <c r="A934" s="19"/>
      <c r="B934" s="19"/>
      <c r="C934" s="19"/>
      <c r="D934" s="19"/>
      <c r="E934" s="20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>
      <c r="A935" s="19"/>
      <c r="B935" s="19"/>
      <c r="C935" s="19"/>
      <c r="D935" s="19"/>
      <c r="E935" s="20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>
      <c r="A936" s="19"/>
      <c r="B936" s="19"/>
      <c r="C936" s="19"/>
      <c r="D936" s="19"/>
      <c r="E936" s="20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>
      <c r="A937" s="19"/>
      <c r="B937" s="19"/>
      <c r="C937" s="19"/>
      <c r="D937" s="19"/>
      <c r="E937" s="20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>
      <c r="A938" s="19"/>
      <c r="B938" s="19"/>
      <c r="C938" s="19"/>
      <c r="D938" s="19"/>
      <c r="E938" s="20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>
      <c r="A939" s="19"/>
      <c r="B939" s="19"/>
      <c r="C939" s="19"/>
      <c r="D939" s="19"/>
      <c r="E939" s="20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>
      <c r="A940" s="19"/>
      <c r="B940" s="19"/>
      <c r="C940" s="19"/>
      <c r="D940" s="19"/>
      <c r="E940" s="20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>
      <c r="A941" s="19"/>
      <c r="B941" s="19"/>
      <c r="C941" s="19"/>
      <c r="D941" s="19"/>
      <c r="E941" s="20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>
      <c r="A942" s="19"/>
      <c r="B942" s="19"/>
      <c r="C942" s="19"/>
      <c r="D942" s="19"/>
      <c r="E942" s="20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>
      <c r="A943" s="19"/>
      <c r="B943" s="19"/>
      <c r="C943" s="19"/>
      <c r="D943" s="19"/>
      <c r="E943" s="20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>
      <c r="A944" s="19"/>
      <c r="B944" s="19"/>
      <c r="C944" s="19"/>
      <c r="D944" s="19"/>
      <c r="E944" s="20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>
      <c r="A945" s="19"/>
      <c r="B945" s="19"/>
      <c r="C945" s="19"/>
      <c r="D945" s="19"/>
      <c r="E945" s="20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>
      <c r="A946" s="19"/>
      <c r="B946" s="19"/>
      <c r="C946" s="19"/>
      <c r="D946" s="19"/>
      <c r="E946" s="20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>
      <c r="A947" s="19"/>
      <c r="B947" s="19"/>
      <c r="C947" s="19"/>
      <c r="D947" s="19"/>
      <c r="E947" s="20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>
      <c r="A948" s="19"/>
      <c r="B948" s="19"/>
      <c r="C948" s="19"/>
      <c r="D948" s="19"/>
      <c r="E948" s="20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>
      <c r="A949" s="19"/>
      <c r="B949" s="19"/>
      <c r="C949" s="19"/>
      <c r="D949" s="19"/>
      <c r="E949" s="20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>
      <c r="A950" s="19"/>
      <c r="B950" s="19"/>
      <c r="C950" s="19"/>
      <c r="D950" s="19"/>
      <c r="E950" s="20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>
      <c r="A951" s="19"/>
      <c r="B951" s="19"/>
      <c r="C951" s="19"/>
      <c r="D951" s="19"/>
      <c r="E951" s="20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>
      <c r="A952" s="19"/>
      <c r="B952" s="19"/>
      <c r="C952" s="19"/>
      <c r="D952" s="19"/>
      <c r="E952" s="20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>
      <c r="A953" s="19"/>
      <c r="B953" s="19"/>
      <c r="C953" s="19"/>
      <c r="D953" s="19"/>
      <c r="E953" s="20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>
      <c r="A954" s="19"/>
      <c r="B954" s="19"/>
      <c r="C954" s="19"/>
      <c r="D954" s="19"/>
      <c r="E954" s="20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>
      <c r="A955" s="19"/>
      <c r="B955" s="19"/>
      <c r="C955" s="19"/>
      <c r="D955" s="19"/>
      <c r="E955" s="20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>
      <c r="A956" s="19"/>
      <c r="B956" s="19"/>
      <c r="C956" s="19"/>
      <c r="D956" s="19"/>
      <c r="E956" s="20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>
      <c r="A957" s="19"/>
      <c r="B957" s="19"/>
      <c r="C957" s="19"/>
      <c r="D957" s="19"/>
      <c r="E957" s="20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>
      <c r="A958" s="19"/>
      <c r="B958" s="19"/>
      <c r="C958" s="19"/>
      <c r="D958" s="19"/>
      <c r="E958" s="20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>
      <c r="A959" s="19"/>
      <c r="B959" s="19"/>
      <c r="C959" s="19"/>
      <c r="D959" s="19"/>
      <c r="E959" s="20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>
      <c r="A960" s="19"/>
      <c r="B960" s="19"/>
      <c r="C960" s="19"/>
      <c r="D960" s="19"/>
      <c r="E960" s="20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>
      <c r="A961" s="19"/>
      <c r="B961" s="19"/>
      <c r="C961" s="19"/>
      <c r="D961" s="19"/>
      <c r="E961" s="20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>
      <c r="A962" s="19"/>
      <c r="B962" s="19"/>
      <c r="C962" s="19"/>
      <c r="D962" s="19"/>
      <c r="E962" s="20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>
      <c r="A963" s="19"/>
      <c r="B963" s="19"/>
      <c r="C963" s="19"/>
      <c r="D963" s="19"/>
      <c r="E963" s="20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>
      <c r="A964" s="19"/>
      <c r="B964" s="19"/>
      <c r="C964" s="19"/>
      <c r="D964" s="19"/>
      <c r="E964" s="20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>
      <c r="A965" s="19"/>
      <c r="B965" s="19"/>
      <c r="C965" s="19"/>
      <c r="D965" s="19"/>
      <c r="E965" s="20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>
      <c r="A966" s="19"/>
      <c r="B966" s="19"/>
      <c r="C966" s="19"/>
      <c r="D966" s="19"/>
      <c r="E966" s="20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>
      <c r="A967" s="19"/>
      <c r="B967" s="19"/>
      <c r="C967" s="19"/>
      <c r="D967" s="19"/>
      <c r="E967" s="20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>
      <c r="A968" s="19"/>
      <c r="B968" s="19"/>
      <c r="C968" s="19"/>
      <c r="D968" s="19"/>
      <c r="E968" s="20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>
      <c r="A969" s="19"/>
      <c r="B969" s="19"/>
      <c r="C969" s="19"/>
      <c r="D969" s="19"/>
      <c r="E969" s="20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>
      <c r="A970" s="19"/>
      <c r="B970" s="19"/>
      <c r="C970" s="19"/>
      <c r="D970" s="19"/>
      <c r="E970" s="20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>
      <c r="A971" s="19"/>
      <c r="B971" s="19"/>
      <c r="C971" s="19"/>
      <c r="D971" s="19"/>
      <c r="E971" s="20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>
      <c r="A972" s="19"/>
      <c r="B972" s="19"/>
      <c r="C972" s="19"/>
      <c r="D972" s="19"/>
      <c r="E972" s="20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>
      <c r="A973" s="19"/>
      <c r="B973" s="19"/>
      <c r="C973" s="19"/>
      <c r="D973" s="19"/>
      <c r="E973" s="20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>
      <c r="A974" s="19"/>
      <c r="B974" s="19"/>
      <c r="C974" s="19"/>
      <c r="D974" s="19"/>
      <c r="E974" s="20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>
      <c r="A975" s="19"/>
      <c r="B975" s="19"/>
      <c r="C975" s="19"/>
      <c r="D975" s="19"/>
      <c r="E975" s="20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>
      <c r="A976" s="19"/>
      <c r="B976" s="19"/>
      <c r="C976" s="19"/>
      <c r="D976" s="19"/>
      <c r="E976" s="20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>
      <c r="A977" s="19"/>
      <c r="B977" s="19"/>
      <c r="C977" s="19"/>
      <c r="D977" s="19"/>
      <c r="E977" s="20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>
      <c r="A978" s="19"/>
      <c r="B978" s="19"/>
      <c r="C978" s="19"/>
      <c r="D978" s="19"/>
      <c r="E978" s="20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>
      <c r="A979" s="19"/>
      <c r="B979" s="19"/>
      <c r="C979" s="19"/>
      <c r="D979" s="19"/>
      <c r="E979" s="20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>
      <c r="A980" s="19"/>
      <c r="B980" s="19"/>
      <c r="C980" s="19"/>
      <c r="D980" s="19"/>
      <c r="E980" s="20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>
      <c r="A981" s="19"/>
      <c r="B981" s="19"/>
      <c r="C981" s="19"/>
      <c r="D981" s="19"/>
      <c r="E981" s="20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>
      <c r="A982" s="19"/>
      <c r="B982" s="19"/>
      <c r="C982" s="19"/>
      <c r="D982" s="19"/>
      <c r="E982" s="20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>
      <c r="A983" s="19"/>
      <c r="B983" s="19"/>
      <c r="C983" s="19"/>
      <c r="D983" s="19"/>
      <c r="E983" s="20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>
      <c r="A984" s="19"/>
      <c r="B984" s="19"/>
      <c r="C984" s="19"/>
      <c r="D984" s="19"/>
      <c r="E984" s="20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>
      <c r="A985" s="19"/>
      <c r="B985" s="19"/>
      <c r="C985" s="19"/>
      <c r="D985" s="19"/>
      <c r="E985" s="20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>
      <c r="A986" s="19"/>
      <c r="B986" s="19"/>
      <c r="C986" s="19"/>
      <c r="D986" s="19"/>
      <c r="E986" s="20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>
      <c r="A987" s="19"/>
      <c r="B987" s="19"/>
      <c r="C987" s="19"/>
      <c r="D987" s="19"/>
      <c r="E987" s="20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>
      <c r="A988" s="19"/>
      <c r="B988" s="19"/>
      <c r="C988" s="19"/>
      <c r="D988" s="19"/>
      <c r="E988" s="20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>
      <c r="A989" s="19"/>
      <c r="B989" s="19"/>
      <c r="C989" s="19"/>
      <c r="D989" s="19"/>
      <c r="E989" s="20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>
      <c r="A990" s="19"/>
      <c r="B990" s="19"/>
      <c r="C990" s="19"/>
      <c r="D990" s="19"/>
      <c r="E990" s="20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>
      <c r="A991" s="19"/>
      <c r="B991" s="19"/>
      <c r="C991" s="19"/>
      <c r="D991" s="19"/>
      <c r="E991" s="20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>
      <c r="A992" s="19"/>
      <c r="B992" s="19"/>
      <c r="C992" s="19"/>
      <c r="D992" s="19"/>
      <c r="E992" s="20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>
      <c r="A993" s="19"/>
      <c r="B993" s="19"/>
      <c r="C993" s="19"/>
      <c r="D993" s="19"/>
      <c r="E993" s="20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>
      <c r="A994" s="19"/>
      <c r="B994" s="19"/>
      <c r="C994" s="19"/>
      <c r="D994" s="19"/>
      <c r="E994" s="20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>
      <c r="A995" s="19"/>
      <c r="B995" s="19"/>
      <c r="C995" s="19"/>
      <c r="D995" s="19"/>
      <c r="E995" s="20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>
      <c r="A996" s="19"/>
      <c r="B996" s="19"/>
      <c r="C996" s="19"/>
      <c r="D996" s="19"/>
      <c r="E996" s="20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>
      <c r="A997" s="19"/>
      <c r="B997" s="19"/>
      <c r="C997" s="19"/>
      <c r="D997" s="19"/>
      <c r="E997" s="20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>
      <c r="A998" s="19"/>
      <c r="B998" s="19"/>
      <c r="C998" s="19"/>
      <c r="D998" s="19"/>
      <c r="E998" s="20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75" customHeight="1">
      <c r="A999" s="19"/>
      <c r="B999" s="19"/>
      <c r="C999" s="19"/>
      <c r="D999" s="19"/>
      <c r="E999" s="20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75" customHeight="1">
      <c r="A1000" s="19"/>
      <c r="B1000" s="19"/>
      <c r="C1000" s="19"/>
      <c r="D1000" s="19"/>
      <c r="E1000" s="20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4">
    <mergeCell ref="B6:E6"/>
    <mergeCell ref="B33:E33"/>
    <mergeCell ref="B60:E60"/>
    <mergeCell ref="B83:B85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baseColWidth="10" defaultColWidth="14.5" defaultRowHeight="15" customHeight="1"/>
  <cols>
    <col min="1" max="1" width="11.6640625" customWidth="1"/>
    <col min="2" max="3" width="13.6640625" customWidth="1"/>
    <col min="4" max="4" width="11" customWidth="1"/>
    <col min="5" max="26" width="8.6640625" customWidth="1"/>
  </cols>
  <sheetData>
    <row r="1" spans="1:5" ht="14.25" customHeight="1"/>
    <row r="2" spans="1:5" ht="14.25" customHeight="1">
      <c r="A2" s="2" t="s">
        <v>0</v>
      </c>
    </row>
    <row r="3" spans="1:5" ht="14.25" customHeight="1">
      <c r="B3" s="3" t="s">
        <v>28</v>
      </c>
    </row>
    <row r="4" spans="1:5" ht="14.25" customHeight="1">
      <c r="B4" s="3"/>
    </row>
    <row r="5" spans="1:5" ht="14.25" customHeight="1">
      <c r="A5" s="4" t="s">
        <v>2</v>
      </c>
      <c r="E5" s="5" t="s">
        <v>3</v>
      </c>
    </row>
    <row r="6" spans="1:5" ht="14.25" customHeight="1"/>
    <row r="7" spans="1:5" ht="14.25" customHeight="1">
      <c r="B7" s="6" t="s">
        <v>4</v>
      </c>
      <c r="C7" s="6" t="s">
        <v>5</v>
      </c>
      <c r="D7" s="6" t="s">
        <v>6</v>
      </c>
      <c r="E7" s="6" t="s">
        <v>7</v>
      </c>
    </row>
    <row r="8" spans="1:5" ht="14.25" customHeight="1">
      <c r="B8" s="6" t="s">
        <v>8</v>
      </c>
      <c r="C8" s="6" t="s">
        <v>29</v>
      </c>
      <c r="D8" s="6" t="s">
        <v>30</v>
      </c>
      <c r="E8" s="6" t="s">
        <v>29</v>
      </c>
    </row>
    <row r="9" spans="1:5" ht="14.25" customHeight="1">
      <c r="B9" s="6"/>
      <c r="C9" s="6"/>
      <c r="D9" s="9">
        <v>0</v>
      </c>
      <c r="E9" s="9">
        <v>0</v>
      </c>
    </row>
    <row r="10" spans="1:5" ht="14.25" customHeight="1">
      <c r="B10" s="6"/>
      <c r="C10" s="6"/>
      <c r="D10" s="9" t="e">
        <f t="shared" ref="D10:D15" si="0">C10/(B10-B9)</f>
        <v>#DIV/0!</v>
      </c>
      <c r="E10" s="9">
        <f t="shared" ref="E10:E15" si="1">E9+C10</f>
        <v>0</v>
      </c>
    </row>
    <row r="11" spans="1:5" ht="14.25" customHeight="1">
      <c r="B11" s="6"/>
      <c r="C11" s="6"/>
      <c r="D11" s="9" t="e">
        <f t="shared" si="0"/>
        <v>#DIV/0!</v>
      </c>
      <c r="E11" s="9">
        <f t="shared" si="1"/>
        <v>0</v>
      </c>
    </row>
    <row r="12" spans="1:5" ht="14.25" customHeight="1">
      <c r="B12" s="6"/>
      <c r="C12" s="6"/>
      <c r="D12" s="9" t="e">
        <f t="shared" si="0"/>
        <v>#DIV/0!</v>
      </c>
      <c r="E12" s="9">
        <f t="shared" si="1"/>
        <v>0</v>
      </c>
    </row>
    <row r="13" spans="1:5" ht="14.25" customHeight="1">
      <c r="B13" s="6"/>
      <c r="C13" s="6"/>
      <c r="D13" s="9" t="e">
        <f t="shared" si="0"/>
        <v>#DIV/0!</v>
      </c>
      <c r="E13" s="9">
        <f t="shared" si="1"/>
        <v>0</v>
      </c>
    </row>
    <row r="14" spans="1:5" ht="14.25" customHeight="1">
      <c r="B14" s="6"/>
      <c r="C14" s="6"/>
      <c r="D14" s="9" t="e">
        <f t="shared" si="0"/>
        <v>#DIV/0!</v>
      </c>
      <c r="E14" s="9">
        <f t="shared" si="1"/>
        <v>0</v>
      </c>
    </row>
    <row r="15" spans="1:5" ht="14.25" customHeight="1">
      <c r="B15" s="6"/>
      <c r="C15" s="6"/>
      <c r="D15" s="9" t="e">
        <f t="shared" si="0"/>
        <v>#DIV/0!</v>
      </c>
      <c r="E15" s="9">
        <f t="shared" si="1"/>
        <v>0</v>
      </c>
    </row>
    <row r="16" spans="1:5" ht="14.25" customHeight="1">
      <c r="B16" s="14"/>
      <c r="C16" s="14"/>
    </row>
    <row r="17" spans="1:5" ht="14.25" customHeight="1">
      <c r="C17" s="4">
        <f>SUM(C9:C15)</f>
        <v>0</v>
      </c>
    </row>
    <row r="18" spans="1:5" ht="14.25" customHeight="1"/>
    <row r="19" spans="1:5" ht="14.25" customHeight="1"/>
    <row r="20" spans="1:5" ht="14.25" customHeight="1"/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>
      <c r="A26" s="4" t="s">
        <v>13</v>
      </c>
      <c r="E26" s="5" t="s">
        <v>3</v>
      </c>
    </row>
    <row r="27" spans="1:5" ht="14.25" customHeight="1"/>
    <row r="28" spans="1:5" ht="14.25" customHeight="1">
      <c r="B28" s="6" t="s">
        <v>4</v>
      </c>
      <c r="C28" s="6" t="s">
        <v>5</v>
      </c>
      <c r="D28" s="9" t="s">
        <v>6</v>
      </c>
      <c r="E28" s="9" t="s">
        <v>7</v>
      </c>
    </row>
    <row r="29" spans="1:5" ht="14.25" customHeight="1">
      <c r="B29" s="6" t="s">
        <v>8</v>
      </c>
      <c r="C29" s="6" t="s">
        <v>29</v>
      </c>
      <c r="D29" s="9" t="s">
        <v>30</v>
      </c>
      <c r="E29" s="9" t="s">
        <v>29</v>
      </c>
    </row>
    <row r="30" spans="1:5" ht="14.25" customHeight="1">
      <c r="B30" s="6"/>
      <c r="C30" s="6"/>
      <c r="D30" s="9">
        <v>0</v>
      </c>
      <c r="E30" s="9">
        <v>0</v>
      </c>
    </row>
    <row r="31" spans="1:5" ht="14.25" customHeight="1">
      <c r="B31" s="6"/>
      <c r="C31" s="6"/>
      <c r="D31" s="9" t="e">
        <f t="shared" ref="D31:D35" si="2">C31/(B31-B30)</f>
        <v>#DIV/0!</v>
      </c>
      <c r="E31" s="9">
        <f t="shared" ref="E31:E35" si="3">E30+C31</f>
        <v>0</v>
      </c>
    </row>
    <row r="32" spans="1:5" ht="14.25" customHeight="1">
      <c r="B32" s="6"/>
      <c r="C32" s="6"/>
      <c r="D32" s="9" t="e">
        <f t="shared" si="2"/>
        <v>#DIV/0!</v>
      </c>
      <c r="E32" s="9">
        <f t="shared" si="3"/>
        <v>0</v>
      </c>
    </row>
    <row r="33" spans="1:5" ht="14.25" customHeight="1">
      <c r="B33" s="6"/>
      <c r="C33" s="6"/>
      <c r="D33" s="9" t="e">
        <f t="shared" si="2"/>
        <v>#DIV/0!</v>
      </c>
      <c r="E33" s="9">
        <f t="shared" si="3"/>
        <v>0</v>
      </c>
    </row>
    <row r="34" spans="1:5" ht="14.25" customHeight="1">
      <c r="B34" s="6"/>
      <c r="C34" s="6"/>
      <c r="D34" s="9" t="e">
        <f t="shared" si="2"/>
        <v>#DIV/0!</v>
      </c>
      <c r="E34" s="9">
        <f t="shared" si="3"/>
        <v>0</v>
      </c>
    </row>
    <row r="35" spans="1:5" ht="14.25" customHeight="1">
      <c r="B35" s="6"/>
      <c r="C35" s="6"/>
      <c r="D35" s="9" t="e">
        <f t="shared" si="2"/>
        <v>#DIV/0!</v>
      </c>
      <c r="E35" s="9">
        <f t="shared" si="3"/>
        <v>0</v>
      </c>
    </row>
    <row r="36" spans="1:5" ht="14.25" customHeight="1">
      <c r="B36" s="9"/>
      <c r="C36" s="6"/>
      <c r="D36" s="9"/>
      <c r="E36" s="9"/>
    </row>
    <row r="37" spans="1:5" ht="14.25" customHeight="1">
      <c r="C37" s="4">
        <f>SUM(C31:C35)</f>
        <v>0</v>
      </c>
    </row>
    <row r="38" spans="1:5" ht="14.25" customHeight="1"/>
    <row r="39" spans="1:5" ht="14.25" customHeight="1"/>
    <row r="40" spans="1:5" ht="14.25" customHeight="1"/>
    <row r="41" spans="1:5" ht="14.25" customHeight="1"/>
    <row r="42" spans="1:5" ht="14.25" customHeight="1"/>
    <row r="43" spans="1:5" ht="14.25" customHeight="1">
      <c r="E43" s="5" t="s">
        <v>3</v>
      </c>
    </row>
    <row r="44" spans="1:5" ht="14.25" customHeight="1">
      <c r="E44" s="5"/>
    </row>
    <row r="45" spans="1:5" ht="14.25" customHeight="1">
      <c r="A45" s="4" t="s">
        <v>14</v>
      </c>
      <c r="E45" s="5"/>
    </row>
    <row r="46" spans="1:5" ht="14.25" customHeight="1"/>
    <row r="47" spans="1:5" ht="14.25" customHeight="1">
      <c r="B47" s="6" t="s">
        <v>4</v>
      </c>
      <c r="C47" s="6" t="s">
        <v>5</v>
      </c>
      <c r="D47" s="9" t="s">
        <v>6</v>
      </c>
      <c r="E47" s="9" t="s">
        <v>7</v>
      </c>
    </row>
    <row r="48" spans="1:5" ht="14.25" customHeight="1">
      <c r="B48" s="6" t="s">
        <v>8</v>
      </c>
      <c r="C48" s="6" t="s">
        <v>29</v>
      </c>
      <c r="D48" s="9" t="s">
        <v>30</v>
      </c>
      <c r="E48" s="9" t="s">
        <v>29</v>
      </c>
    </row>
    <row r="49" spans="1:5" ht="14.25" customHeight="1">
      <c r="B49" s="6"/>
      <c r="C49" s="6"/>
      <c r="D49" s="9">
        <v>0</v>
      </c>
      <c r="E49" s="9">
        <v>0</v>
      </c>
    </row>
    <row r="50" spans="1:5" ht="14.25" customHeight="1">
      <c r="B50" s="6"/>
      <c r="C50" s="6"/>
      <c r="D50" s="9" t="e">
        <f t="shared" ref="D50:D55" si="4">C50/(B50-B49)</f>
        <v>#DIV/0!</v>
      </c>
      <c r="E50" s="9">
        <f t="shared" ref="E50:E55" si="5">E49+C50</f>
        <v>0</v>
      </c>
    </row>
    <row r="51" spans="1:5" ht="14.25" customHeight="1">
      <c r="B51" s="6"/>
      <c r="C51" s="6"/>
      <c r="D51" s="9" t="e">
        <f t="shared" si="4"/>
        <v>#DIV/0!</v>
      </c>
      <c r="E51" s="9">
        <f t="shared" si="5"/>
        <v>0</v>
      </c>
    </row>
    <row r="52" spans="1:5" ht="14.25" customHeight="1">
      <c r="B52" s="6"/>
      <c r="C52" s="6"/>
      <c r="D52" s="9" t="e">
        <f t="shared" si="4"/>
        <v>#DIV/0!</v>
      </c>
      <c r="E52" s="9">
        <f t="shared" si="5"/>
        <v>0</v>
      </c>
    </row>
    <row r="53" spans="1:5" ht="14.25" customHeight="1">
      <c r="B53" s="6"/>
      <c r="C53" s="6"/>
      <c r="D53" s="9" t="e">
        <f t="shared" si="4"/>
        <v>#DIV/0!</v>
      </c>
      <c r="E53" s="9">
        <f t="shared" si="5"/>
        <v>0</v>
      </c>
    </row>
    <row r="54" spans="1:5" ht="14.25" customHeight="1">
      <c r="B54" s="6"/>
      <c r="C54" s="6"/>
      <c r="D54" s="9" t="e">
        <f t="shared" si="4"/>
        <v>#DIV/0!</v>
      </c>
      <c r="E54" s="9">
        <f t="shared" si="5"/>
        <v>0</v>
      </c>
    </row>
    <row r="55" spans="1:5" ht="14.25" customHeight="1">
      <c r="B55" s="6"/>
      <c r="C55" s="6"/>
      <c r="D55" s="9" t="e">
        <f t="shared" si="4"/>
        <v>#DIV/0!</v>
      </c>
      <c r="E55" s="9">
        <f t="shared" si="5"/>
        <v>0</v>
      </c>
    </row>
    <row r="56" spans="1:5" ht="14.25" customHeight="1">
      <c r="B56" s="6"/>
      <c r="C56" s="6"/>
      <c r="D56" s="9"/>
      <c r="E56" s="9"/>
    </row>
    <row r="57" spans="1:5" ht="14.25" customHeight="1">
      <c r="C57" s="4">
        <f>SUM(C49:C55)</f>
        <v>0</v>
      </c>
    </row>
    <row r="58" spans="1:5" ht="14.25" customHeight="1">
      <c r="C58" s="14"/>
    </row>
    <row r="59" spans="1:5" ht="14.25" customHeight="1">
      <c r="A59" s="4" t="s">
        <v>15</v>
      </c>
      <c r="B59" s="4">
        <f>C57+C37+C17</f>
        <v>0</v>
      </c>
      <c r="C59" s="4">
        <f t="shared" ref="C59:C60" si="6">B59/100</f>
        <v>0</v>
      </c>
    </row>
    <row r="60" spans="1:5" ht="14.25" customHeight="1">
      <c r="A60" s="4" t="s">
        <v>16</v>
      </c>
      <c r="B60" s="4">
        <f>C17-C10</f>
        <v>0</v>
      </c>
      <c r="C60" s="4">
        <f t="shared" si="6"/>
        <v>0</v>
      </c>
    </row>
    <row r="61" spans="1:5" ht="14.25" customHeight="1"/>
    <row r="62" spans="1:5" ht="14.25" customHeight="1"/>
    <row r="63" spans="1:5" ht="14.25" customHeight="1"/>
    <row r="64" spans="1:5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baseColWidth="10" defaultColWidth="14.5" defaultRowHeight="15" customHeight="1"/>
  <cols>
    <col min="1" max="1" width="12" customWidth="1"/>
    <col min="2" max="26" width="8.6640625" customWidth="1"/>
  </cols>
  <sheetData>
    <row r="1" spans="1:5" ht="14.25" customHeight="1"/>
    <row r="2" spans="1:5" ht="14.25" customHeight="1">
      <c r="A2" s="2" t="s">
        <v>0</v>
      </c>
    </row>
    <row r="3" spans="1:5" ht="14.25" customHeight="1">
      <c r="B3" s="3" t="s">
        <v>31</v>
      </c>
    </row>
    <row r="4" spans="1:5" ht="14.25" customHeight="1">
      <c r="B4" s="3"/>
    </row>
    <row r="5" spans="1:5" ht="14.25" customHeight="1">
      <c r="A5" s="4" t="s">
        <v>2</v>
      </c>
      <c r="E5" s="5" t="s">
        <v>3</v>
      </c>
    </row>
    <row r="6" spans="1:5" ht="14.25" customHeight="1"/>
    <row r="7" spans="1:5" ht="14.25" customHeight="1">
      <c r="B7" s="6" t="s">
        <v>4</v>
      </c>
      <c r="C7" s="6" t="s">
        <v>5</v>
      </c>
      <c r="D7" s="6" t="s">
        <v>6</v>
      </c>
      <c r="E7" s="6" t="s">
        <v>7</v>
      </c>
    </row>
    <row r="8" spans="1:5" ht="14.25" customHeight="1">
      <c r="B8" s="6" t="s">
        <v>8</v>
      </c>
      <c r="C8" s="6" t="s">
        <v>29</v>
      </c>
      <c r="D8" s="6" t="s">
        <v>30</v>
      </c>
      <c r="E8" s="6" t="s">
        <v>29</v>
      </c>
    </row>
    <row r="9" spans="1:5" ht="14.25" customHeight="1">
      <c r="B9" s="6">
        <v>0</v>
      </c>
      <c r="C9" s="6">
        <v>0</v>
      </c>
      <c r="D9" s="9">
        <v>0</v>
      </c>
      <c r="E9" s="9">
        <v>0</v>
      </c>
    </row>
    <row r="10" spans="1:5" ht="14.25" customHeight="1">
      <c r="B10" s="6">
        <v>26.2</v>
      </c>
      <c r="C10" s="6">
        <v>13</v>
      </c>
      <c r="D10" s="9">
        <f t="shared" ref="D10:D15" si="0">C10/(B10-B9)</f>
        <v>0.49618320610687022</v>
      </c>
      <c r="E10" s="9">
        <f t="shared" ref="E10:E15" si="1">E9+C10</f>
        <v>13</v>
      </c>
    </row>
    <row r="11" spans="1:5" ht="14.25" customHeight="1">
      <c r="B11" s="6">
        <v>34.700000000000003</v>
      </c>
      <c r="C11" s="6">
        <v>20.6</v>
      </c>
      <c r="D11" s="9">
        <f t="shared" si="0"/>
        <v>2.4235294117647048</v>
      </c>
      <c r="E11" s="9">
        <f t="shared" si="1"/>
        <v>33.6</v>
      </c>
    </row>
    <row r="12" spans="1:5" ht="14.25" customHeight="1">
      <c r="B12" s="6">
        <v>42.1</v>
      </c>
      <c r="C12" s="6">
        <v>18.3</v>
      </c>
      <c r="D12" s="9">
        <f t="shared" si="0"/>
        <v>2.4729729729729737</v>
      </c>
      <c r="E12" s="9">
        <f t="shared" si="1"/>
        <v>51.900000000000006</v>
      </c>
    </row>
    <row r="13" spans="1:5" ht="14.25" customHeight="1">
      <c r="B13" s="6">
        <v>52.4</v>
      </c>
      <c r="C13" s="6">
        <v>25.7</v>
      </c>
      <c r="D13" s="9">
        <f t="shared" si="0"/>
        <v>2.4951456310679618</v>
      </c>
      <c r="E13" s="9">
        <f t="shared" si="1"/>
        <v>77.600000000000009</v>
      </c>
    </row>
    <row r="14" spans="1:5" ht="14.25" customHeight="1">
      <c r="B14" s="6">
        <v>62.2</v>
      </c>
      <c r="C14" s="6">
        <v>21.3</v>
      </c>
      <c r="D14" s="9">
        <f t="shared" si="0"/>
        <v>2.1734693877551012</v>
      </c>
      <c r="E14" s="9">
        <f t="shared" si="1"/>
        <v>98.9</v>
      </c>
    </row>
    <row r="15" spans="1:5" ht="14.25" customHeight="1">
      <c r="B15" s="6">
        <v>100</v>
      </c>
      <c r="C15" s="6">
        <v>29.7</v>
      </c>
      <c r="D15" s="9">
        <f t="shared" si="0"/>
        <v>0.78571428571428581</v>
      </c>
      <c r="E15" s="9">
        <f t="shared" si="1"/>
        <v>128.6</v>
      </c>
    </row>
    <row r="16" spans="1:5" ht="14.25" customHeight="1">
      <c r="B16" s="14"/>
      <c r="C16" s="14"/>
    </row>
    <row r="17" spans="1:5" ht="14.25" customHeight="1">
      <c r="C17" s="4">
        <f>SUM(C9:C15)</f>
        <v>128.6</v>
      </c>
    </row>
    <row r="18" spans="1:5" ht="14.25" customHeight="1"/>
    <row r="19" spans="1:5" ht="14.25" customHeight="1"/>
    <row r="20" spans="1:5" ht="14.25" customHeight="1">
      <c r="A20" s="4" t="s">
        <v>13</v>
      </c>
      <c r="E20" s="5" t="s">
        <v>3</v>
      </c>
    </row>
    <row r="21" spans="1:5" ht="14.25" customHeight="1"/>
    <row r="22" spans="1:5" ht="14.25" customHeight="1">
      <c r="B22" s="6" t="s">
        <v>4</v>
      </c>
      <c r="C22" s="6" t="s">
        <v>5</v>
      </c>
      <c r="D22" s="9" t="s">
        <v>6</v>
      </c>
      <c r="E22" s="9" t="s">
        <v>7</v>
      </c>
    </row>
    <row r="23" spans="1:5" ht="14.25" customHeight="1">
      <c r="B23" s="6" t="s">
        <v>8</v>
      </c>
      <c r="C23" s="6" t="s">
        <v>29</v>
      </c>
      <c r="D23" s="9" t="s">
        <v>30</v>
      </c>
      <c r="E23" s="9" t="s">
        <v>29</v>
      </c>
    </row>
    <row r="24" spans="1:5" ht="14.25" customHeight="1">
      <c r="B24" s="6">
        <v>0</v>
      </c>
      <c r="C24" s="6">
        <v>0</v>
      </c>
      <c r="D24" s="9">
        <v>0</v>
      </c>
      <c r="E24" s="9">
        <v>0</v>
      </c>
    </row>
    <row r="25" spans="1:5" ht="14.25" customHeight="1">
      <c r="B25" s="6">
        <v>50</v>
      </c>
      <c r="C25" s="6">
        <v>120</v>
      </c>
      <c r="D25" s="9">
        <f t="shared" ref="D25:D30" si="2">C25/(B25-B24)</f>
        <v>2.4</v>
      </c>
      <c r="E25" s="9">
        <f t="shared" ref="E25:E30" si="3">E24+C25</f>
        <v>120</v>
      </c>
    </row>
    <row r="26" spans="1:5" ht="14.25" customHeight="1">
      <c r="B26" s="6">
        <v>55</v>
      </c>
      <c r="C26" s="6">
        <v>22.5</v>
      </c>
      <c r="D26" s="9">
        <f t="shared" si="2"/>
        <v>4.5</v>
      </c>
      <c r="E26" s="9">
        <f t="shared" si="3"/>
        <v>142.5</v>
      </c>
    </row>
    <row r="27" spans="1:5" ht="14.25" customHeight="1">
      <c r="B27" s="6">
        <v>59.6</v>
      </c>
      <c r="C27" s="6">
        <v>20.3</v>
      </c>
      <c r="D27" s="9">
        <f t="shared" si="2"/>
        <v>4.4130434782608683</v>
      </c>
      <c r="E27" s="9">
        <f t="shared" si="3"/>
        <v>162.80000000000001</v>
      </c>
    </row>
    <row r="28" spans="1:5" ht="14.25" customHeight="1">
      <c r="B28" s="6">
        <v>65</v>
      </c>
      <c r="C28" s="6">
        <v>20.2</v>
      </c>
      <c r="D28" s="9">
        <f t="shared" si="2"/>
        <v>3.7407407407407418</v>
      </c>
      <c r="E28" s="9">
        <f t="shared" si="3"/>
        <v>183</v>
      </c>
    </row>
    <row r="29" spans="1:5" ht="14.25" customHeight="1">
      <c r="B29" s="6">
        <v>72.099999999999994</v>
      </c>
      <c r="C29" s="6">
        <v>21.8</v>
      </c>
      <c r="D29" s="9">
        <f t="shared" si="2"/>
        <v>3.0704225352112702</v>
      </c>
      <c r="E29" s="9">
        <f t="shared" si="3"/>
        <v>204.8</v>
      </c>
    </row>
    <row r="30" spans="1:5" ht="14.25" customHeight="1">
      <c r="B30" s="6">
        <v>100</v>
      </c>
      <c r="C30" s="6">
        <v>30.8</v>
      </c>
      <c r="D30" s="9">
        <f t="shared" si="2"/>
        <v>1.1039426523297489</v>
      </c>
      <c r="E30" s="9">
        <f t="shared" si="3"/>
        <v>235.60000000000002</v>
      </c>
    </row>
    <row r="31" spans="1:5" ht="14.25" customHeight="1">
      <c r="C31" s="4">
        <f>SUM(C25:C30)</f>
        <v>235.60000000000002</v>
      </c>
    </row>
    <row r="32" spans="1:5" ht="14.25" customHeight="1"/>
    <row r="33" spans="1:5" ht="14.25" customHeight="1">
      <c r="A33" s="4" t="s">
        <v>14</v>
      </c>
      <c r="E33" s="5" t="s">
        <v>3</v>
      </c>
    </row>
    <row r="34" spans="1:5" ht="14.25" customHeight="1"/>
    <row r="35" spans="1:5" ht="14.25" customHeight="1">
      <c r="B35" s="6" t="s">
        <v>4</v>
      </c>
      <c r="C35" s="6" t="s">
        <v>5</v>
      </c>
      <c r="D35" s="9" t="s">
        <v>6</v>
      </c>
      <c r="E35" s="9" t="s">
        <v>7</v>
      </c>
    </row>
    <row r="36" spans="1:5" ht="14.25" customHeight="1">
      <c r="B36" s="6" t="s">
        <v>8</v>
      </c>
      <c r="C36" s="6" t="s">
        <v>29</v>
      </c>
      <c r="D36" s="9" t="s">
        <v>30</v>
      </c>
      <c r="E36" s="9" t="s">
        <v>29</v>
      </c>
    </row>
    <row r="37" spans="1:5" ht="14.25" customHeight="1">
      <c r="B37" s="6">
        <v>0</v>
      </c>
      <c r="C37" s="6">
        <v>0</v>
      </c>
      <c r="D37" s="9">
        <v>0</v>
      </c>
      <c r="E37" s="9">
        <v>0</v>
      </c>
    </row>
    <row r="38" spans="1:5" ht="14.25" customHeight="1">
      <c r="B38" s="6">
        <v>48.6</v>
      </c>
      <c r="C38" s="6">
        <v>130</v>
      </c>
      <c r="D38" s="9">
        <f t="shared" ref="D38:D43" si="4">C38/(B38-B37)</f>
        <v>2.6748971193415638</v>
      </c>
      <c r="E38" s="9">
        <f t="shared" ref="E38:E43" si="5">E37+C38</f>
        <v>130</v>
      </c>
    </row>
    <row r="39" spans="1:5" ht="14.25" customHeight="1">
      <c r="B39" s="6">
        <v>52.8</v>
      </c>
      <c r="C39" s="6">
        <v>19.399999999999999</v>
      </c>
      <c r="D39" s="9">
        <f t="shared" si="4"/>
        <v>4.6190476190476231</v>
      </c>
      <c r="E39" s="9">
        <f t="shared" si="5"/>
        <v>149.4</v>
      </c>
    </row>
    <row r="40" spans="1:5" ht="14.25" customHeight="1">
      <c r="B40" s="6">
        <v>57.6</v>
      </c>
      <c r="C40" s="6">
        <v>21.8</v>
      </c>
      <c r="D40" s="9">
        <f t="shared" si="4"/>
        <v>4.5416666666666625</v>
      </c>
      <c r="E40" s="9">
        <f t="shared" si="5"/>
        <v>171.20000000000002</v>
      </c>
    </row>
    <row r="41" spans="1:5" ht="14.25" customHeight="1">
      <c r="B41" s="6">
        <v>64</v>
      </c>
      <c r="C41" s="6">
        <v>22.6</v>
      </c>
      <c r="D41" s="9">
        <f t="shared" si="4"/>
        <v>3.5312500000000009</v>
      </c>
      <c r="E41" s="9">
        <f t="shared" si="5"/>
        <v>193.8</v>
      </c>
    </row>
    <row r="42" spans="1:5" ht="14.25" customHeight="1">
      <c r="B42" s="6">
        <v>70.900000000000006</v>
      </c>
      <c r="C42" s="6">
        <v>20.6</v>
      </c>
      <c r="D42" s="9">
        <f t="shared" si="4"/>
        <v>2.9855072463768093</v>
      </c>
      <c r="E42" s="9">
        <f t="shared" si="5"/>
        <v>214.4</v>
      </c>
    </row>
    <row r="43" spans="1:5" ht="14.25" customHeight="1">
      <c r="B43" s="6">
        <v>100</v>
      </c>
      <c r="C43" s="6">
        <v>29.8</v>
      </c>
      <c r="D43" s="9">
        <f t="shared" si="4"/>
        <v>1.0240549828178696</v>
      </c>
      <c r="E43" s="9">
        <f t="shared" si="5"/>
        <v>244.20000000000002</v>
      </c>
    </row>
    <row r="44" spans="1:5" ht="14.25" customHeight="1">
      <c r="B44" s="6"/>
      <c r="C44" s="6"/>
      <c r="D44" s="9"/>
      <c r="E44" s="9"/>
    </row>
    <row r="45" spans="1:5" ht="14.25" customHeight="1">
      <c r="C45" s="4">
        <f>SUM(C37:C43)</f>
        <v>244.20000000000002</v>
      </c>
    </row>
    <row r="46" spans="1:5" ht="14.25" customHeight="1">
      <c r="C46" s="14"/>
    </row>
    <row r="47" spans="1:5" ht="14.25" customHeight="1">
      <c r="A47" s="4" t="s">
        <v>15</v>
      </c>
      <c r="B47" s="4">
        <f>C45+C31+C17</f>
        <v>608.40000000000009</v>
      </c>
      <c r="C47" s="4">
        <f t="shared" ref="C47:C48" si="6">B47/100</f>
        <v>6.0840000000000005</v>
      </c>
    </row>
    <row r="48" spans="1:5" ht="14.25" customHeight="1">
      <c r="A48" s="4" t="s">
        <v>16</v>
      </c>
      <c r="B48" s="4">
        <f>C17-C10</f>
        <v>115.6</v>
      </c>
      <c r="C48" s="4">
        <f t="shared" si="6"/>
        <v>1.1559999999999999</v>
      </c>
    </row>
    <row r="49" spans="1:3" ht="14.25" customHeight="1"/>
    <row r="50" spans="1:3" ht="14.25" customHeight="1">
      <c r="A50" s="4" t="s">
        <v>32</v>
      </c>
      <c r="B50" s="4">
        <f>B47-C45-B48</f>
        <v>248.60000000000005</v>
      </c>
      <c r="C50" s="4">
        <f>B50/100</f>
        <v>2.4860000000000007</v>
      </c>
    </row>
    <row r="51" spans="1:3" ht="14.25" customHeight="1"/>
    <row r="52" spans="1:3" ht="14.25" customHeight="1"/>
    <row r="53" spans="1:3" ht="14.25" customHeight="1"/>
    <row r="54" spans="1:3" ht="14.25" customHeight="1"/>
    <row r="55" spans="1:3" ht="14.25" customHeight="1"/>
    <row r="56" spans="1:3" ht="14.25" customHeight="1"/>
    <row r="57" spans="1:3" ht="14.25" customHeight="1"/>
    <row r="58" spans="1:3" ht="14.25" customHeight="1"/>
    <row r="59" spans="1:3" ht="14.25" customHeight="1"/>
    <row r="60" spans="1:3" ht="14.25" customHeight="1"/>
    <row r="61" spans="1:3" ht="14.25" customHeight="1"/>
    <row r="62" spans="1:3" ht="14.25" customHeight="1"/>
    <row r="63" spans="1:3" ht="14.25" customHeight="1"/>
    <row r="64" spans="1: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5" defaultRowHeight="15" customHeight="1"/>
  <cols>
    <col min="1" max="1" width="10.1640625" customWidth="1"/>
    <col min="2" max="2" width="18.5" customWidth="1"/>
    <col min="3" max="4" width="13.6640625" customWidth="1"/>
    <col min="5" max="5" width="21.6640625" customWidth="1"/>
    <col min="6" max="6" width="13" customWidth="1"/>
    <col min="7" max="26" width="8.6640625" customWidth="1"/>
  </cols>
  <sheetData>
    <row r="1" spans="1:26" ht="16">
      <c r="A1" s="19"/>
      <c r="B1" s="19"/>
      <c r="C1" s="19"/>
      <c r="D1" s="19"/>
      <c r="E1" s="20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8">
      <c r="A2" s="19"/>
      <c r="B2" s="21" t="s">
        <v>33</v>
      </c>
      <c r="C2" s="21"/>
      <c r="D2" s="21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6">
      <c r="A3" s="19"/>
      <c r="B3" s="19" t="s">
        <v>34</v>
      </c>
      <c r="C3" s="19"/>
      <c r="D3" s="19"/>
      <c r="E3" s="20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6">
      <c r="A4" s="19"/>
      <c r="B4" s="19"/>
      <c r="C4" s="19"/>
      <c r="D4" s="19"/>
      <c r="E4" s="20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6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25.5" customHeight="1">
      <c r="A6" s="19"/>
      <c r="B6" s="49" t="s">
        <v>35</v>
      </c>
      <c r="C6" s="50"/>
      <c r="D6" s="50"/>
      <c r="E6" s="5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6">
      <c r="A7" s="19"/>
      <c r="B7" s="22" t="s">
        <v>36</v>
      </c>
      <c r="C7" s="22" t="s">
        <v>37</v>
      </c>
      <c r="D7" s="23" t="s">
        <v>6</v>
      </c>
      <c r="E7" s="22" t="s">
        <v>7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6">
      <c r="A8" s="19"/>
      <c r="B8" s="24" t="s">
        <v>8</v>
      </c>
      <c r="C8" s="24" t="s">
        <v>9</v>
      </c>
      <c r="D8" s="25" t="s">
        <v>10</v>
      </c>
      <c r="E8" s="24" t="s">
        <v>11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6">
      <c r="A9" s="19"/>
      <c r="B9" s="26">
        <v>0</v>
      </c>
      <c r="C9" s="26">
        <v>0</v>
      </c>
      <c r="D9" s="27">
        <v>0</v>
      </c>
      <c r="E9" s="28">
        <v>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6">
      <c r="A10" s="19" t="s">
        <v>25</v>
      </c>
      <c r="B10" s="26">
        <v>14.7</v>
      </c>
      <c r="C10" s="29">
        <v>22</v>
      </c>
      <c r="D10" s="27">
        <f t="shared" ref="D10:D17" si="0">C10/(B10-B9)</f>
        <v>1.4965986394557824</v>
      </c>
      <c r="E10" s="28">
        <f t="shared" ref="E10:E17" si="1">E9+C10</f>
        <v>22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6">
      <c r="A11" s="19"/>
      <c r="B11" s="26">
        <v>24.5</v>
      </c>
      <c r="C11" s="26">
        <v>20.77</v>
      </c>
      <c r="D11" s="27">
        <f t="shared" si="0"/>
        <v>2.1193877551020406</v>
      </c>
      <c r="E11" s="28">
        <f t="shared" si="1"/>
        <v>42.769999999999996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6">
      <c r="A12" s="19"/>
      <c r="B12" s="26">
        <v>33.4</v>
      </c>
      <c r="C12" s="26">
        <v>20.5</v>
      </c>
      <c r="D12" s="27">
        <f t="shared" si="0"/>
        <v>2.3033707865168545</v>
      </c>
      <c r="E12" s="28">
        <f t="shared" si="1"/>
        <v>63.269999999999996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6">
      <c r="A13" s="19"/>
      <c r="B13" s="26">
        <v>42.5</v>
      </c>
      <c r="C13" s="39">
        <v>20.5</v>
      </c>
      <c r="D13" s="27">
        <f t="shared" si="0"/>
        <v>2.2527472527472523</v>
      </c>
      <c r="E13" s="28">
        <f t="shared" si="1"/>
        <v>83.77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6">
      <c r="A14" s="19"/>
      <c r="B14" s="26">
        <v>51.3</v>
      </c>
      <c r="C14" s="26">
        <v>23</v>
      </c>
      <c r="D14" s="27">
        <f t="shared" si="0"/>
        <v>2.6136363636363646</v>
      </c>
      <c r="E14" s="28">
        <f t="shared" si="1"/>
        <v>106.77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6">
      <c r="A15" s="19"/>
      <c r="B15" s="26">
        <v>62</v>
      </c>
      <c r="C15" s="26">
        <v>23.3</v>
      </c>
      <c r="D15" s="27">
        <f t="shared" si="0"/>
        <v>2.1775700934579434</v>
      </c>
      <c r="E15" s="28">
        <f t="shared" si="1"/>
        <v>130.07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6">
      <c r="A16" s="19"/>
      <c r="B16" s="26">
        <v>76</v>
      </c>
      <c r="C16" s="26">
        <v>17.7</v>
      </c>
      <c r="D16" s="27">
        <f t="shared" si="0"/>
        <v>1.2642857142857142</v>
      </c>
      <c r="E16" s="28">
        <f t="shared" si="1"/>
        <v>147.76999999999998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6">
      <c r="A17" s="19"/>
      <c r="B17" s="26">
        <v>100</v>
      </c>
      <c r="C17" s="26">
        <v>4.2699999999999996</v>
      </c>
      <c r="D17" s="27">
        <f t="shared" si="0"/>
        <v>0.17791666666666664</v>
      </c>
      <c r="E17" s="28">
        <f t="shared" si="1"/>
        <v>152.04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6">
      <c r="A18" s="19"/>
      <c r="B18" s="19"/>
      <c r="C18" s="31">
        <f>SUM(C9:C17)</f>
        <v>152.04</v>
      </c>
      <c r="D18" s="32" t="s">
        <v>9</v>
      </c>
      <c r="E18" s="33">
        <f>C18-C10</f>
        <v>130.04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6">
      <c r="A19" s="19"/>
      <c r="B19" s="19"/>
      <c r="C19" s="31">
        <f>C18/100</f>
        <v>1.5204</v>
      </c>
      <c r="D19" s="32" t="s">
        <v>12</v>
      </c>
      <c r="E19" s="34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6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>
      <c r="A22" s="19"/>
      <c r="B22" s="19"/>
      <c r="C22" s="19"/>
      <c r="D22" s="19"/>
      <c r="E22" s="20"/>
      <c r="F22" s="19"/>
      <c r="G22" s="19"/>
      <c r="H22" s="19" t="s">
        <v>38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22.5" customHeight="1">
      <c r="A24" s="19"/>
      <c r="B24" s="49" t="s">
        <v>39</v>
      </c>
      <c r="C24" s="50"/>
      <c r="D24" s="50"/>
      <c r="E24" s="51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>
      <c r="A25" s="19"/>
      <c r="B25" s="22" t="s">
        <v>36</v>
      </c>
      <c r="C25" s="22" t="s">
        <v>37</v>
      </c>
      <c r="D25" s="23" t="s">
        <v>6</v>
      </c>
      <c r="E25" s="22" t="s">
        <v>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>
      <c r="A26" s="19"/>
      <c r="B26" s="24" t="s">
        <v>8</v>
      </c>
      <c r="C26" s="24" t="s">
        <v>9</v>
      </c>
      <c r="D26" s="25" t="s">
        <v>10</v>
      </c>
      <c r="E26" s="24" t="s">
        <v>11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>
      <c r="A27" s="19"/>
      <c r="B27" s="26">
        <v>0</v>
      </c>
      <c r="C27" s="26">
        <v>0</v>
      </c>
      <c r="D27" s="27">
        <v>0</v>
      </c>
      <c r="E27" s="28">
        <v>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>
      <c r="A28" s="19" t="s">
        <v>25</v>
      </c>
      <c r="B28" s="26">
        <v>43.1</v>
      </c>
      <c r="C28" s="29">
        <f>1.837*100</f>
        <v>183.7</v>
      </c>
      <c r="D28" s="27">
        <f t="shared" ref="D28:D35" si="2">C28/(B28-B27)</f>
        <v>4.2621809744779577</v>
      </c>
      <c r="E28" s="28">
        <f t="shared" ref="E28:E35" si="3">E27+C28</f>
        <v>183.7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>
      <c r="A29" s="19"/>
      <c r="B29" s="26">
        <v>46.7</v>
      </c>
      <c r="C29" s="26">
        <v>19.87</v>
      </c>
      <c r="D29" s="27">
        <f t="shared" si="2"/>
        <v>5.5194444444444422</v>
      </c>
      <c r="E29" s="28">
        <f t="shared" si="3"/>
        <v>203.57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>
      <c r="A30" s="19"/>
      <c r="B30" s="26">
        <v>50.6</v>
      </c>
      <c r="C30" s="26">
        <v>19.2</v>
      </c>
      <c r="D30" s="27">
        <f t="shared" si="2"/>
        <v>4.9230769230769251</v>
      </c>
      <c r="E30" s="28">
        <f t="shared" si="3"/>
        <v>222.76999999999998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9"/>
      <c r="B31" s="26">
        <v>56.3</v>
      </c>
      <c r="C31" s="26">
        <v>23.37</v>
      </c>
      <c r="D31" s="27">
        <f t="shared" si="2"/>
        <v>4.1000000000000032</v>
      </c>
      <c r="E31" s="28">
        <f t="shared" si="3"/>
        <v>246.14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A32" s="19"/>
      <c r="B32" s="26">
        <v>61.7</v>
      </c>
      <c r="C32" s="26">
        <v>21.37</v>
      </c>
      <c r="D32" s="27">
        <f t="shared" si="2"/>
        <v>3.9574074074074033</v>
      </c>
      <c r="E32" s="28">
        <f t="shared" si="3"/>
        <v>267.51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>
      <c r="A33" s="19"/>
      <c r="B33" s="26">
        <v>67.900000000000006</v>
      </c>
      <c r="C33" s="26">
        <v>21.47</v>
      </c>
      <c r="D33" s="27">
        <f t="shared" si="2"/>
        <v>3.4629032258064498</v>
      </c>
      <c r="E33" s="28">
        <f t="shared" si="3"/>
        <v>288.98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>
      <c r="A34" s="19"/>
      <c r="B34" s="26">
        <v>76.3</v>
      </c>
      <c r="C34" s="26">
        <v>22.87</v>
      </c>
      <c r="D34" s="27">
        <f t="shared" si="2"/>
        <v>2.7226190476190504</v>
      </c>
      <c r="E34" s="28">
        <f t="shared" si="3"/>
        <v>311.85000000000002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9"/>
      <c r="B35" s="26">
        <v>100</v>
      </c>
      <c r="C35" s="26">
        <v>21.07</v>
      </c>
      <c r="D35" s="27">
        <f t="shared" si="2"/>
        <v>0.88902953586497879</v>
      </c>
      <c r="E35" s="28">
        <f t="shared" si="3"/>
        <v>332.92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>
      <c r="A36" s="19"/>
      <c r="B36" s="19"/>
      <c r="C36" s="35">
        <f>SUM(C28:C35)</f>
        <v>332.92</v>
      </c>
      <c r="D36" s="32" t="s">
        <v>9</v>
      </c>
      <c r="E36" s="35">
        <f>C36-C28</f>
        <v>149.22000000000003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>
      <c r="A37" s="19"/>
      <c r="B37" s="19"/>
      <c r="C37" s="33">
        <f>C36/100</f>
        <v>3.3292000000000002</v>
      </c>
      <c r="D37" s="32" t="s">
        <v>12</v>
      </c>
      <c r="E37" s="34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>
      <c r="A38" s="19"/>
      <c r="B38" s="19"/>
      <c r="C38" s="19"/>
      <c r="D38" s="20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22.5" customHeight="1">
      <c r="A45" s="19"/>
      <c r="B45" s="49" t="s">
        <v>40</v>
      </c>
      <c r="C45" s="50"/>
      <c r="D45" s="50"/>
      <c r="E45" s="51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>
      <c r="A46" s="19"/>
      <c r="B46" s="22" t="s">
        <v>36</v>
      </c>
      <c r="C46" s="22" t="s">
        <v>37</v>
      </c>
      <c r="D46" s="23" t="s">
        <v>6</v>
      </c>
      <c r="E46" s="22" t="s">
        <v>7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>
      <c r="A47" s="19"/>
      <c r="B47" s="24" t="s">
        <v>8</v>
      </c>
      <c r="C47" s="24" t="s">
        <v>9</v>
      </c>
      <c r="D47" s="25" t="s">
        <v>10</v>
      </c>
      <c r="E47" s="24" t="s">
        <v>11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>
      <c r="A48" s="19"/>
      <c r="B48" s="26">
        <v>0</v>
      </c>
      <c r="C48" s="26">
        <v>0</v>
      </c>
      <c r="D48" s="27">
        <v>0</v>
      </c>
      <c r="E48" s="28">
        <v>0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>
      <c r="A49" s="19" t="s">
        <v>25</v>
      </c>
      <c r="B49" s="26">
        <v>40.1</v>
      </c>
      <c r="C49" s="29">
        <f>1.613*100</f>
        <v>161.30000000000001</v>
      </c>
      <c r="D49" s="27">
        <f t="shared" ref="D49:D56" si="4">C49/(B49-B48)</f>
        <v>4.0224438902743147</v>
      </c>
      <c r="E49" s="28">
        <f t="shared" ref="E49:E56" si="5">E48+C49</f>
        <v>161.30000000000001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>
      <c r="A50" s="19"/>
      <c r="B50" s="26">
        <v>43.5</v>
      </c>
      <c r="C50" s="26">
        <v>17.47</v>
      </c>
      <c r="D50" s="27">
        <f t="shared" si="4"/>
        <v>5.1382352941176492</v>
      </c>
      <c r="E50" s="28">
        <f t="shared" si="5"/>
        <v>178.77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>
      <c r="A51" s="19"/>
      <c r="B51" s="26">
        <v>48.7</v>
      </c>
      <c r="C51" s="26">
        <v>20.9</v>
      </c>
      <c r="D51" s="27">
        <f t="shared" si="4"/>
        <v>4.0192307692307665</v>
      </c>
      <c r="E51" s="28">
        <f t="shared" si="5"/>
        <v>199.67000000000002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>
      <c r="A52" s="19"/>
      <c r="B52" s="26">
        <v>53.9</v>
      </c>
      <c r="C52" s="26">
        <v>22.77</v>
      </c>
      <c r="D52" s="27">
        <f t="shared" si="4"/>
        <v>4.3788461538461574</v>
      </c>
      <c r="E52" s="28">
        <f t="shared" si="5"/>
        <v>222.44000000000003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>
      <c r="A53" s="19"/>
      <c r="B53" s="26">
        <v>60.1</v>
      </c>
      <c r="C53" s="26">
        <v>18.670000000000002</v>
      </c>
      <c r="D53" s="27">
        <f t="shared" si="4"/>
        <v>3.0112903225806442</v>
      </c>
      <c r="E53" s="28">
        <f t="shared" si="5"/>
        <v>241.11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>
      <c r="A54" s="19"/>
      <c r="B54" s="26">
        <v>67</v>
      </c>
      <c r="C54" s="26">
        <v>20.77</v>
      </c>
      <c r="D54" s="27">
        <f t="shared" si="4"/>
        <v>3.0101449275362326</v>
      </c>
      <c r="E54" s="28">
        <f t="shared" si="5"/>
        <v>261.88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>
      <c r="A55" s="19"/>
      <c r="B55" s="26">
        <v>77.2</v>
      </c>
      <c r="C55" s="26">
        <v>20.87</v>
      </c>
      <c r="D55" s="27">
        <f t="shared" si="4"/>
        <v>2.0460784313725484</v>
      </c>
      <c r="E55" s="28">
        <f t="shared" si="5"/>
        <v>282.75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>
      <c r="A56" s="19"/>
      <c r="B56" s="26">
        <v>100</v>
      </c>
      <c r="C56" s="26">
        <v>12.37</v>
      </c>
      <c r="D56" s="27">
        <f t="shared" si="4"/>
        <v>0.54254385964912288</v>
      </c>
      <c r="E56" s="28">
        <f t="shared" si="5"/>
        <v>295.12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>
      <c r="A57" s="19"/>
      <c r="B57" s="19"/>
      <c r="C57" s="33">
        <f>SUM(C48:C56)</f>
        <v>295.12</v>
      </c>
      <c r="D57" s="32" t="s">
        <v>9</v>
      </c>
      <c r="E57" s="33">
        <f>C57-C49</f>
        <v>133.82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>
      <c r="A58" s="19"/>
      <c r="B58" s="19"/>
      <c r="C58" s="33">
        <f>C57/100</f>
        <v>2.9512</v>
      </c>
      <c r="D58" s="32" t="s">
        <v>12</v>
      </c>
      <c r="E58" s="34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A59" s="19"/>
      <c r="B59" s="19"/>
      <c r="C59" s="34"/>
      <c r="D59" s="37"/>
      <c r="E59" s="32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>
      <c r="A62" s="19"/>
      <c r="B62" s="19"/>
      <c r="C62" s="31" t="s">
        <v>26</v>
      </c>
      <c r="D62" s="31" t="s">
        <v>27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>
      <c r="A63" s="19"/>
      <c r="B63" s="33" t="s">
        <v>15</v>
      </c>
      <c r="C63" s="38">
        <f>C57+C36+C18</f>
        <v>780.07999999999993</v>
      </c>
      <c r="D63" s="28">
        <f t="shared" ref="D63:D68" si="6">C63/100</f>
        <v>7.8007999999999988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>
      <c r="A64" s="19"/>
      <c r="B64" s="52" t="s">
        <v>16</v>
      </c>
      <c r="C64" s="38">
        <f>C18-C10</f>
        <v>130.04</v>
      </c>
      <c r="D64" s="28">
        <f t="shared" si="6"/>
        <v>1.3004</v>
      </c>
      <c r="E64" s="27" t="s">
        <v>41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>
      <c r="A65" s="19"/>
      <c r="B65" s="53"/>
      <c r="C65" s="38">
        <f>C36-C28</f>
        <v>149.22000000000003</v>
      </c>
      <c r="D65" s="28">
        <f t="shared" si="6"/>
        <v>1.4922000000000002</v>
      </c>
      <c r="E65" s="27" t="s">
        <v>42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>
      <c r="A66" s="19"/>
      <c r="B66" s="54"/>
      <c r="C66" s="38">
        <f>C57-C49</f>
        <v>133.82</v>
      </c>
      <c r="D66" s="28">
        <f t="shared" si="6"/>
        <v>1.3381999999999998</v>
      </c>
      <c r="E66" s="27" t="s">
        <v>43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>
      <c r="A67" s="19"/>
      <c r="B67" s="33" t="s">
        <v>20</v>
      </c>
      <c r="C67" s="38">
        <f>C63-C68-AVERAGE(C64:C66)</f>
        <v>309.46666666666658</v>
      </c>
      <c r="D67" s="28">
        <f t="shared" si="6"/>
        <v>3.094666666666666</v>
      </c>
      <c r="E67" s="20"/>
      <c r="F67" s="19" t="s">
        <v>44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>
      <c r="A68" s="19"/>
      <c r="B68" s="33" t="s">
        <v>21</v>
      </c>
      <c r="C68" s="38">
        <f>C36</f>
        <v>332.92</v>
      </c>
      <c r="D68" s="28">
        <f t="shared" si="6"/>
        <v>3.3292000000000002</v>
      </c>
      <c r="E68" s="20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>
      <c r="A546" s="19"/>
      <c r="B546" s="19"/>
      <c r="C546" s="19"/>
      <c r="D546" s="19"/>
      <c r="E546" s="20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>
      <c r="A547" s="19"/>
      <c r="B547" s="19"/>
      <c r="C547" s="19"/>
      <c r="D547" s="19"/>
      <c r="E547" s="20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>
      <c r="A548" s="19"/>
      <c r="B548" s="19"/>
      <c r="C548" s="19"/>
      <c r="D548" s="19"/>
      <c r="E548" s="20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>
      <c r="A549" s="19"/>
      <c r="B549" s="19"/>
      <c r="C549" s="19"/>
      <c r="D549" s="19"/>
      <c r="E549" s="20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>
      <c r="A550" s="19"/>
      <c r="B550" s="19"/>
      <c r="C550" s="19"/>
      <c r="D550" s="19"/>
      <c r="E550" s="20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>
      <c r="A551" s="19"/>
      <c r="B551" s="19"/>
      <c r="C551" s="19"/>
      <c r="D551" s="19"/>
      <c r="E551" s="20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>
      <c r="A552" s="19"/>
      <c r="B552" s="19"/>
      <c r="C552" s="19"/>
      <c r="D552" s="19"/>
      <c r="E552" s="20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>
      <c r="A553" s="19"/>
      <c r="B553" s="19"/>
      <c r="C553" s="19"/>
      <c r="D553" s="19"/>
      <c r="E553" s="20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>
      <c r="A554" s="19"/>
      <c r="B554" s="19"/>
      <c r="C554" s="19"/>
      <c r="D554" s="19"/>
      <c r="E554" s="20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>
      <c r="A555" s="19"/>
      <c r="B555" s="19"/>
      <c r="C555" s="19"/>
      <c r="D555" s="19"/>
      <c r="E555" s="20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>
      <c r="A556" s="19"/>
      <c r="B556" s="19"/>
      <c r="C556" s="19"/>
      <c r="D556" s="19"/>
      <c r="E556" s="20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>
      <c r="A557" s="19"/>
      <c r="B557" s="19"/>
      <c r="C557" s="19"/>
      <c r="D557" s="19"/>
      <c r="E557" s="20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>
      <c r="A558" s="19"/>
      <c r="B558" s="19"/>
      <c r="C558" s="19"/>
      <c r="D558" s="19"/>
      <c r="E558" s="20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>
      <c r="A559" s="19"/>
      <c r="B559" s="19"/>
      <c r="C559" s="19"/>
      <c r="D559" s="19"/>
      <c r="E559" s="20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>
      <c r="A560" s="19"/>
      <c r="B560" s="19"/>
      <c r="C560" s="19"/>
      <c r="D560" s="19"/>
      <c r="E560" s="20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>
      <c r="A561" s="19"/>
      <c r="B561" s="19"/>
      <c r="C561" s="19"/>
      <c r="D561" s="19"/>
      <c r="E561" s="20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>
      <c r="A562" s="19"/>
      <c r="B562" s="19"/>
      <c r="C562" s="19"/>
      <c r="D562" s="19"/>
      <c r="E562" s="20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>
      <c r="A563" s="19"/>
      <c r="B563" s="19"/>
      <c r="C563" s="19"/>
      <c r="D563" s="19"/>
      <c r="E563" s="20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>
      <c r="A564" s="19"/>
      <c r="B564" s="19"/>
      <c r="C564" s="19"/>
      <c r="D564" s="19"/>
      <c r="E564" s="20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>
      <c r="A565" s="19"/>
      <c r="B565" s="19"/>
      <c r="C565" s="19"/>
      <c r="D565" s="19"/>
      <c r="E565" s="20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>
      <c r="A566" s="19"/>
      <c r="B566" s="19"/>
      <c r="C566" s="19"/>
      <c r="D566" s="19"/>
      <c r="E566" s="20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>
      <c r="A567" s="19"/>
      <c r="B567" s="19"/>
      <c r="C567" s="19"/>
      <c r="D567" s="19"/>
      <c r="E567" s="20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>
      <c r="A568" s="19"/>
      <c r="B568" s="19"/>
      <c r="C568" s="19"/>
      <c r="D568" s="19"/>
      <c r="E568" s="20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>
      <c r="A569" s="19"/>
      <c r="B569" s="19"/>
      <c r="C569" s="19"/>
      <c r="D569" s="19"/>
      <c r="E569" s="20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>
      <c r="A570" s="19"/>
      <c r="B570" s="19"/>
      <c r="C570" s="19"/>
      <c r="D570" s="19"/>
      <c r="E570" s="20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>
      <c r="A571" s="19"/>
      <c r="B571" s="19"/>
      <c r="C571" s="19"/>
      <c r="D571" s="19"/>
      <c r="E571" s="20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>
      <c r="A572" s="19"/>
      <c r="B572" s="19"/>
      <c r="C572" s="19"/>
      <c r="D572" s="19"/>
      <c r="E572" s="20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>
      <c r="A573" s="19"/>
      <c r="B573" s="19"/>
      <c r="C573" s="19"/>
      <c r="D573" s="19"/>
      <c r="E573" s="20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>
      <c r="A574" s="19"/>
      <c r="B574" s="19"/>
      <c r="C574" s="19"/>
      <c r="D574" s="19"/>
      <c r="E574" s="20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>
      <c r="A575" s="19"/>
      <c r="B575" s="19"/>
      <c r="C575" s="19"/>
      <c r="D575" s="19"/>
      <c r="E575" s="20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>
      <c r="A576" s="19"/>
      <c r="B576" s="19"/>
      <c r="C576" s="19"/>
      <c r="D576" s="19"/>
      <c r="E576" s="20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>
      <c r="A577" s="19"/>
      <c r="B577" s="19"/>
      <c r="C577" s="19"/>
      <c r="D577" s="19"/>
      <c r="E577" s="20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>
      <c r="A578" s="19"/>
      <c r="B578" s="19"/>
      <c r="C578" s="19"/>
      <c r="D578" s="19"/>
      <c r="E578" s="20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>
      <c r="A579" s="19"/>
      <c r="B579" s="19"/>
      <c r="C579" s="19"/>
      <c r="D579" s="19"/>
      <c r="E579" s="20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>
      <c r="A580" s="19"/>
      <c r="B580" s="19"/>
      <c r="C580" s="19"/>
      <c r="D580" s="19"/>
      <c r="E580" s="20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>
      <c r="A581" s="19"/>
      <c r="B581" s="19"/>
      <c r="C581" s="19"/>
      <c r="D581" s="19"/>
      <c r="E581" s="20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>
      <c r="A582" s="19"/>
      <c r="B582" s="19"/>
      <c r="C582" s="19"/>
      <c r="D582" s="19"/>
      <c r="E582" s="20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>
      <c r="A583" s="19"/>
      <c r="B583" s="19"/>
      <c r="C583" s="19"/>
      <c r="D583" s="19"/>
      <c r="E583" s="20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>
      <c r="A584" s="19"/>
      <c r="B584" s="19"/>
      <c r="C584" s="19"/>
      <c r="D584" s="19"/>
      <c r="E584" s="20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>
      <c r="A585" s="19"/>
      <c r="B585" s="19"/>
      <c r="C585" s="19"/>
      <c r="D585" s="19"/>
      <c r="E585" s="20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>
      <c r="A586" s="19"/>
      <c r="B586" s="19"/>
      <c r="C586" s="19"/>
      <c r="D586" s="19"/>
      <c r="E586" s="20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>
      <c r="A587" s="19"/>
      <c r="B587" s="19"/>
      <c r="C587" s="19"/>
      <c r="D587" s="19"/>
      <c r="E587" s="20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>
      <c r="A588" s="19"/>
      <c r="B588" s="19"/>
      <c r="C588" s="19"/>
      <c r="D588" s="19"/>
      <c r="E588" s="20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>
      <c r="A589" s="19"/>
      <c r="B589" s="19"/>
      <c r="C589" s="19"/>
      <c r="D589" s="19"/>
      <c r="E589" s="20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>
      <c r="A590" s="19"/>
      <c r="B590" s="19"/>
      <c r="C590" s="19"/>
      <c r="D590" s="19"/>
      <c r="E590" s="20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>
      <c r="A591" s="19"/>
      <c r="B591" s="19"/>
      <c r="C591" s="19"/>
      <c r="D591" s="19"/>
      <c r="E591" s="20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>
      <c r="A592" s="19"/>
      <c r="B592" s="19"/>
      <c r="C592" s="19"/>
      <c r="D592" s="19"/>
      <c r="E592" s="20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>
      <c r="A593" s="19"/>
      <c r="B593" s="19"/>
      <c r="C593" s="19"/>
      <c r="D593" s="19"/>
      <c r="E593" s="20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>
      <c r="A594" s="19"/>
      <c r="B594" s="19"/>
      <c r="C594" s="19"/>
      <c r="D594" s="19"/>
      <c r="E594" s="20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>
      <c r="A595" s="19"/>
      <c r="B595" s="19"/>
      <c r="C595" s="19"/>
      <c r="D595" s="19"/>
      <c r="E595" s="20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>
      <c r="A596" s="19"/>
      <c r="B596" s="19"/>
      <c r="C596" s="19"/>
      <c r="D596" s="19"/>
      <c r="E596" s="20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>
      <c r="A597" s="19"/>
      <c r="B597" s="19"/>
      <c r="C597" s="19"/>
      <c r="D597" s="19"/>
      <c r="E597" s="20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>
      <c r="A598" s="19"/>
      <c r="B598" s="19"/>
      <c r="C598" s="19"/>
      <c r="D598" s="19"/>
      <c r="E598" s="20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>
      <c r="A599" s="19"/>
      <c r="B599" s="19"/>
      <c r="C599" s="19"/>
      <c r="D599" s="19"/>
      <c r="E599" s="20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>
      <c r="A600" s="19"/>
      <c r="B600" s="19"/>
      <c r="C600" s="19"/>
      <c r="D600" s="19"/>
      <c r="E600" s="20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>
      <c r="A601" s="19"/>
      <c r="B601" s="19"/>
      <c r="C601" s="19"/>
      <c r="D601" s="19"/>
      <c r="E601" s="20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>
      <c r="A602" s="19"/>
      <c r="B602" s="19"/>
      <c r="C602" s="19"/>
      <c r="D602" s="19"/>
      <c r="E602" s="20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>
      <c r="A603" s="19"/>
      <c r="B603" s="19"/>
      <c r="C603" s="19"/>
      <c r="D603" s="19"/>
      <c r="E603" s="20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>
      <c r="A604" s="19"/>
      <c r="B604" s="19"/>
      <c r="C604" s="19"/>
      <c r="D604" s="19"/>
      <c r="E604" s="20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>
      <c r="A605" s="19"/>
      <c r="B605" s="19"/>
      <c r="C605" s="19"/>
      <c r="D605" s="19"/>
      <c r="E605" s="20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>
      <c r="A606" s="19"/>
      <c r="B606" s="19"/>
      <c r="C606" s="19"/>
      <c r="D606" s="19"/>
      <c r="E606" s="20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>
      <c r="A607" s="19"/>
      <c r="B607" s="19"/>
      <c r="C607" s="19"/>
      <c r="D607" s="19"/>
      <c r="E607" s="20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>
      <c r="A608" s="19"/>
      <c r="B608" s="19"/>
      <c r="C608" s="19"/>
      <c r="D608" s="19"/>
      <c r="E608" s="20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>
      <c r="A609" s="19"/>
      <c r="B609" s="19"/>
      <c r="C609" s="19"/>
      <c r="D609" s="19"/>
      <c r="E609" s="20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>
      <c r="A610" s="19"/>
      <c r="B610" s="19"/>
      <c r="C610" s="19"/>
      <c r="D610" s="19"/>
      <c r="E610" s="20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>
      <c r="A611" s="19"/>
      <c r="B611" s="19"/>
      <c r="C611" s="19"/>
      <c r="D611" s="19"/>
      <c r="E611" s="20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>
      <c r="A612" s="19"/>
      <c r="B612" s="19"/>
      <c r="C612" s="19"/>
      <c r="D612" s="19"/>
      <c r="E612" s="20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>
      <c r="A613" s="19"/>
      <c r="B613" s="19"/>
      <c r="C613" s="19"/>
      <c r="D613" s="19"/>
      <c r="E613" s="20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>
      <c r="A614" s="19"/>
      <c r="B614" s="19"/>
      <c r="C614" s="19"/>
      <c r="D614" s="19"/>
      <c r="E614" s="20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>
      <c r="A615" s="19"/>
      <c r="B615" s="19"/>
      <c r="C615" s="19"/>
      <c r="D615" s="19"/>
      <c r="E615" s="20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>
      <c r="A616" s="19"/>
      <c r="B616" s="19"/>
      <c r="C616" s="19"/>
      <c r="D616" s="19"/>
      <c r="E616" s="20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>
      <c r="A617" s="19"/>
      <c r="B617" s="19"/>
      <c r="C617" s="19"/>
      <c r="D617" s="19"/>
      <c r="E617" s="20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>
      <c r="A618" s="19"/>
      <c r="B618" s="19"/>
      <c r="C618" s="19"/>
      <c r="D618" s="19"/>
      <c r="E618" s="20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>
      <c r="A619" s="19"/>
      <c r="B619" s="19"/>
      <c r="C619" s="19"/>
      <c r="D619" s="19"/>
      <c r="E619" s="20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>
      <c r="A620" s="19"/>
      <c r="B620" s="19"/>
      <c r="C620" s="19"/>
      <c r="D620" s="19"/>
      <c r="E620" s="20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>
      <c r="A621" s="19"/>
      <c r="B621" s="19"/>
      <c r="C621" s="19"/>
      <c r="D621" s="19"/>
      <c r="E621" s="20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>
      <c r="A622" s="19"/>
      <c r="B622" s="19"/>
      <c r="C622" s="19"/>
      <c r="D622" s="19"/>
      <c r="E622" s="20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>
      <c r="A623" s="19"/>
      <c r="B623" s="19"/>
      <c r="C623" s="19"/>
      <c r="D623" s="19"/>
      <c r="E623" s="20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>
      <c r="A624" s="19"/>
      <c r="B624" s="19"/>
      <c r="C624" s="19"/>
      <c r="D624" s="19"/>
      <c r="E624" s="20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>
      <c r="A625" s="19"/>
      <c r="B625" s="19"/>
      <c r="C625" s="19"/>
      <c r="D625" s="19"/>
      <c r="E625" s="20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>
      <c r="A626" s="19"/>
      <c r="B626" s="19"/>
      <c r="C626" s="19"/>
      <c r="D626" s="19"/>
      <c r="E626" s="20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>
      <c r="A627" s="19"/>
      <c r="B627" s="19"/>
      <c r="C627" s="19"/>
      <c r="D627" s="19"/>
      <c r="E627" s="20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>
      <c r="A628" s="19"/>
      <c r="B628" s="19"/>
      <c r="C628" s="19"/>
      <c r="D628" s="19"/>
      <c r="E628" s="20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>
      <c r="A629" s="19"/>
      <c r="B629" s="19"/>
      <c r="C629" s="19"/>
      <c r="D629" s="19"/>
      <c r="E629" s="20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>
      <c r="A630" s="19"/>
      <c r="B630" s="19"/>
      <c r="C630" s="19"/>
      <c r="D630" s="19"/>
      <c r="E630" s="20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>
      <c r="A631" s="19"/>
      <c r="B631" s="19"/>
      <c r="C631" s="19"/>
      <c r="D631" s="19"/>
      <c r="E631" s="20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>
      <c r="A632" s="19"/>
      <c r="B632" s="19"/>
      <c r="C632" s="19"/>
      <c r="D632" s="19"/>
      <c r="E632" s="20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>
      <c r="A633" s="19"/>
      <c r="B633" s="19"/>
      <c r="C633" s="19"/>
      <c r="D633" s="19"/>
      <c r="E633" s="20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>
      <c r="A634" s="19"/>
      <c r="B634" s="19"/>
      <c r="C634" s="19"/>
      <c r="D634" s="19"/>
      <c r="E634" s="20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>
      <c r="A635" s="19"/>
      <c r="B635" s="19"/>
      <c r="C635" s="19"/>
      <c r="D635" s="19"/>
      <c r="E635" s="20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>
      <c r="A636" s="19"/>
      <c r="B636" s="19"/>
      <c r="C636" s="19"/>
      <c r="D636" s="19"/>
      <c r="E636" s="20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>
      <c r="A637" s="19"/>
      <c r="B637" s="19"/>
      <c r="C637" s="19"/>
      <c r="D637" s="19"/>
      <c r="E637" s="20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>
      <c r="A638" s="19"/>
      <c r="B638" s="19"/>
      <c r="C638" s="19"/>
      <c r="D638" s="19"/>
      <c r="E638" s="20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>
      <c r="A639" s="19"/>
      <c r="B639" s="19"/>
      <c r="C639" s="19"/>
      <c r="D639" s="19"/>
      <c r="E639" s="20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>
      <c r="A640" s="19"/>
      <c r="B640" s="19"/>
      <c r="C640" s="19"/>
      <c r="D640" s="19"/>
      <c r="E640" s="20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>
      <c r="A641" s="19"/>
      <c r="B641" s="19"/>
      <c r="C641" s="19"/>
      <c r="D641" s="19"/>
      <c r="E641" s="20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>
      <c r="A642" s="19"/>
      <c r="B642" s="19"/>
      <c r="C642" s="19"/>
      <c r="D642" s="19"/>
      <c r="E642" s="20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>
      <c r="A643" s="19"/>
      <c r="B643" s="19"/>
      <c r="C643" s="19"/>
      <c r="D643" s="19"/>
      <c r="E643" s="20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>
      <c r="A644" s="19"/>
      <c r="B644" s="19"/>
      <c r="C644" s="19"/>
      <c r="D644" s="19"/>
      <c r="E644" s="20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>
      <c r="A645" s="19"/>
      <c r="B645" s="19"/>
      <c r="C645" s="19"/>
      <c r="D645" s="19"/>
      <c r="E645" s="20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>
      <c r="A646" s="19"/>
      <c r="B646" s="19"/>
      <c r="C646" s="19"/>
      <c r="D646" s="19"/>
      <c r="E646" s="20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>
      <c r="A647" s="19"/>
      <c r="B647" s="19"/>
      <c r="C647" s="19"/>
      <c r="D647" s="19"/>
      <c r="E647" s="20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>
      <c r="A648" s="19"/>
      <c r="B648" s="19"/>
      <c r="C648" s="19"/>
      <c r="D648" s="19"/>
      <c r="E648" s="20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>
      <c r="A649" s="19"/>
      <c r="B649" s="19"/>
      <c r="C649" s="19"/>
      <c r="D649" s="19"/>
      <c r="E649" s="20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>
      <c r="A650" s="19"/>
      <c r="B650" s="19"/>
      <c r="C650" s="19"/>
      <c r="D650" s="19"/>
      <c r="E650" s="20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>
      <c r="A651" s="19"/>
      <c r="B651" s="19"/>
      <c r="C651" s="19"/>
      <c r="D651" s="19"/>
      <c r="E651" s="20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>
      <c r="A652" s="19"/>
      <c r="B652" s="19"/>
      <c r="C652" s="19"/>
      <c r="D652" s="19"/>
      <c r="E652" s="20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>
      <c r="A653" s="19"/>
      <c r="B653" s="19"/>
      <c r="C653" s="19"/>
      <c r="D653" s="19"/>
      <c r="E653" s="20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>
      <c r="A654" s="19"/>
      <c r="B654" s="19"/>
      <c r="C654" s="19"/>
      <c r="D654" s="19"/>
      <c r="E654" s="20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>
      <c r="A655" s="19"/>
      <c r="B655" s="19"/>
      <c r="C655" s="19"/>
      <c r="D655" s="19"/>
      <c r="E655" s="20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>
      <c r="A656" s="19"/>
      <c r="B656" s="19"/>
      <c r="C656" s="19"/>
      <c r="D656" s="19"/>
      <c r="E656" s="20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>
      <c r="A657" s="19"/>
      <c r="B657" s="19"/>
      <c r="C657" s="19"/>
      <c r="D657" s="19"/>
      <c r="E657" s="20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>
      <c r="A658" s="19"/>
      <c r="B658" s="19"/>
      <c r="C658" s="19"/>
      <c r="D658" s="19"/>
      <c r="E658" s="20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>
      <c r="A659" s="19"/>
      <c r="B659" s="19"/>
      <c r="C659" s="19"/>
      <c r="D659" s="19"/>
      <c r="E659" s="20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>
      <c r="A660" s="19"/>
      <c r="B660" s="19"/>
      <c r="C660" s="19"/>
      <c r="D660" s="19"/>
      <c r="E660" s="20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>
      <c r="A661" s="19"/>
      <c r="B661" s="19"/>
      <c r="C661" s="19"/>
      <c r="D661" s="19"/>
      <c r="E661" s="20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>
      <c r="A662" s="19"/>
      <c r="B662" s="19"/>
      <c r="C662" s="19"/>
      <c r="D662" s="19"/>
      <c r="E662" s="20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>
      <c r="A663" s="19"/>
      <c r="B663" s="19"/>
      <c r="C663" s="19"/>
      <c r="D663" s="19"/>
      <c r="E663" s="20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>
      <c r="A664" s="19"/>
      <c r="B664" s="19"/>
      <c r="C664" s="19"/>
      <c r="D664" s="19"/>
      <c r="E664" s="20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>
      <c r="A665" s="19"/>
      <c r="B665" s="19"/>
      <c r="C665" s="19"/>
      <c r="D665" s="19"/>
      <c r="E665" s="20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>
      <c r="A666" s="19"/>
      <c r="B666" s="19"/>
      <c r="C666" s="19"/>
      <c r="D666" s="19"/>
      <c r="E666" s="20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>
      <c r="A667" s="19"/>
      <c r="B667" s="19"/>
      <c r="C667" s="19"/>
      <c r="D667" s="19"/>
      <c r="E667" s="20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>
      <c r="A668" s="19"/>
      <c r="B668" s="19"/>
      <c r="C668" s="19"/>
      <c r="D668" s="19"/>
      <c r="E668" s="20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>
      <c r="A669" s="19"/>
      <c r="B669" s="19"/>
      <c r="C669" s="19"/>
      <c r="D669" s="19"/>
      <c r="E669" s="20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>
      <c r="A670" s="19"/>
      <c r="B670" s="19"/>
      <c r="C670" s="19"/>
      <c r="D670" s="19"/>
      <c r="E670" s="20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>
      <c r="A671" s="19"/>
      <c r="B671" s="19"/>
      <c r="C671" s="19"/>
      <c r="D671" s="19"/>
      <c r="E671" s="20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>
      <c r="A672" s="19"/>
      <c r="B672" s="19"/>
      <c r="C672" s="19"/>
      <c r="D672" s="19"/>
      <c r="E672" s="20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>
      <c r="A673" s="19"/>
      <c r="B673" s="19"/>
      <c r="C673" s="19"/>
      <c r="D673" s="19"/>
      <c r="E673" s="20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>
      <c r="A674" s="19"/>
      <c r="B674" s="19"/>
      <c r="C674" s="19"/>
      <c r="D674" s="19"/>
      <c r="E674" s="20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>
      <c r="A675" s="19"/>
      <c r="B675" s="19"/>
      <c r="C675" s="19"/>
      <c r="D675" s="19"/>
      <c r="E675" s="20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>
      <c r="A676" s="19"/>
      <c r="B676" s="19"/>
      <c r="C676" s="19"/>
      <c r="D676" s="19"/>
      <c r="E676" s="20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>
      <c r="A677" s="19"/>
      <c r="B677" s="19"/>
      <c r="C677" s="19"/>
      <c r="D677" s="19"/>
      <c r="E677" s="20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>
      <c r="A678" s="19"/>
      <c r="B678" s="19"/>
      <c r="C678" s="19"/>
      <c r="D678" s="19"/>
      <c r="E678" s="20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>
      <c r="A679" s="19"/>
      <c r="B679" s="19"/>
      <c r="C679" s="19"/>
      <c r="D679" s="19"/>
      <c r="E679" s="20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>
      <c r="A680" s="19"/>
      <c r="B680" s="19"/>
      <c r="C680" s="19"/>
      <c r="D680" s="19"/>
      <c r="E680" s="20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>
      <c r="A681" s="19"/>
      <c r="B681" s="19"/>
      <c r="C681" s="19"/>
      <c r="D681" s="19"/>
      <c r="E681" s="20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>
      <c r="A682" s="19"/>
      <c r="B682" s="19"/>
      <c r="C682" s="19"/>
      <c r="D682" s="19"/>
      <c r="E682" s="20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>
      <c r="A683" s="19"/>
      <c r="B683" s="19"/>
      <c r="C683" s="19"/>
      <c r="D683" s="19"/>
      <c r="E683" s="20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>
      <c r="A684" s="19"/>
      <c r="B684" s="19"/>
      <c r="C684" s="19"/>
      <c r="D684" s="19"/>
      <c r="E684" s="20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>
      <c r="A685" s="19"/>
      <c r="B685" s="19"/>
      <c r="C685" s="19"/>
      <c r="D685" s="19"/>
      <c r="E685" s="20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>
      <c r="A686" s="19"/>
      <c r="B686" s="19"/>
      <c r="C686" s="19"/>
      <c r="D686" s="19"/>
      <c r="E686" s="20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>
      <c r="A687" s="19"/>
      <c r="B687" s="19"/>
      <c r="C687" s="19"/>
      <c r="D687" s="19"/>
      <c r="E687" s="20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>
      <c r="A688" s="19"/>
      <c r="B688" s="19"/>
      <c r="C688" s="19"/>
      <c r="D688" s="19"/>
      <c r="E688" s="20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>
      <c r="A689" s="19"/>
      <c r="B689" s="19"/>
      <c r="C689" s="19"/>
      <c r="D689" s="19"/>
      <c r="E689" s="20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>
      <c r="A690" s="19"/>
      <c r="B690" s="19"/>
      <c r="C690" s="19"/>
      <c r="D690" s="19"/>
      <c r="E690" s="20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>
      <c r="A691" s="19"/>
      <c r="B691" s="19"/>
      <c r="C691" s="19"/>
      <c r="D691" s="19"/>
      <c r="E691" s="20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>
      <c r="A692" s="19"/>
      <c r="B692" s="19"/>
      <c r="C692" s="19"/>
      <c r="D692" s="19"/>
      <c r="E692" s="20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>
      <c r="A693" s="19"/>
      <c r="B693" s="19"/>
      <c r="C693" s="19"/>
      <c r="D693" s="19"/>
      <c r="E693" s="20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>
      <c r="A694" s="19"/>
      <c r="B694" s="19"/>
      <c r="C694" s="19"/>
      <c r="D694" s="19"/>
      <c r="E694" s="20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>
      <c r="A695" s="19"/>
      <c r="B695" s="19"/>
      <c r="C695" s="19"/>
      <c r="D695" s="19"/>
      <c r="E695" s="20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>
      <c r="A696" s="19"/>
      <c r="B696" s="19"/>
      <c r="C696" s="19"/>
      <c r="D696" s="19"/>
      <c r="E696" s="20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>
      <c r="A697" s="19"/>
      <c r="B697" s="19"/>
      <c r="C697" s="19"/>
      <c r="D697" s="19"/>
      <c r="E697" s="20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>
      <c r="A698" s="19"/>
      <c r="B698" s="19"/>
      <c r="C698" s="19"/>
      <c r="D698" s="19"/>
      <c r="E698" s="20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>
      <c r="A699" s="19"/>
      <c r="B699" s="19"/>
      <c r="C699" s="19"/>
      <c r="D699" s="19"/>
      <c r="E699" s="20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>
      <c r="A700" s="19"/>
      <c r="B700" s="19"/>
      <c r="C700" s="19"/>
      <c r="D700" s="19"/>
      <c r="E700" s="20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>
      <c r="A701" s="19"/>
      <c r="B701" s="19"/>
      <c r="C701" s="19"/>
      <c r="D701" s="19"/>
      <c r="E701" s="20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>
      <c r="A702" s="19"/>
      <c r="B702" s="19"/>
      <c r="C702" s="19"/>
      <c r="D702" s="19"/>
      <c r="E702" s="20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>
      <c r="A703" s="19"/>
      <c r="B703" s="19"/>
      <c r="C703" s="19"/>
      <c r="D703" s="19"/>
      <c r="E703" s="20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>
      <c r="A704" s="19"/>
      <c r="B704" s="19"/>
      <c r="C704" s="19"/>
      <c r="D704" s="19"/>
      <c r="E704" s="20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>
      <c r="A705" s="19"/>
      <c r="B705" s="19"/>
      <c r="C705" s="19"/>
      <c r="D705" s="19"/>
      <c r="E705" s="20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>
      <c r="A706" s="19"/>
      <c r="B706" s="19"/>
      <c r="C706" s="19"/>
      <c r="D706" s="19"/>
      <c r="E706" s="20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>
      <c r="A707" s="19"/>
      <c r="B707" s="19"/>
      <c r="C707" s="19"/>
      <c r="D707" s="19"/>
      <c r="E707" s="20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>
      <c r="A708" s="19"/>
      <c r="B708" s="19"/>
      <c r="C708" s="19"/>
      <c r="D708" s="19"/>
      <c r="E708" s="20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>
      <c r="A709" s="19"/>
      <c r="B709" s="19"/>
      <c r="C709" s="19"/>
      <c r="D709" s="19"/>
      <c r="E709" s="20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>
      <c r="A710" s="19"/>
      <c r="B710" s="19"/>
      <c r="C710" s="19"/>
      <c r="D710" s="19"/>
      <c r="E710" s="20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>
      <c r="A711" s="19"/>
      <c r="B711" s="19"/>
      <c r="C711" s="19"/>
      <c r="D711" s="19"/>
      <c r="E711" s="20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>
      <c r="A712" s="19"/>
      <c r="B712" s="19"/>
      <c r="C712" s="19"/>
      <c r="D712" s="19"/>
      <c r="E712" s="20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>
      <c r="A713" s="19"/>
      <c r="B713" s="19"/>
      <c r="C713" s="19"/>
      <c r="D713" s="19"/>
      <c r="E713" s="20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>
      <c r="A714" s="19"/>
      <c r="B714" s="19"/>
      <c r="C714" s="19"/>
      <c r="D714" s="19"/>
      <c r="E714" s="20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>
      <c r="A715" s="19"/>
      <c r="B715" s="19"/>
      <c r="C715" s="19"/>
      <c r="D715" s="19"/>
      <c r="E715" s="20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>
      <c r="A716" s="19"/>
      <c r="B716" s="19"/>
      <c r="C716" s="19"/>
      <c r="D716" s="19"/>
      <c r="E716" s="20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>
      <c r="A717" s="19"/>
      <c r="B717" s="19"/>
      <c r="C717" s="19"/>
      <c r="D717" s="19"/>
      <c r="E717" s="20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>
      <c r="A718" s="19"/>
      <c r="B718" s="19"/>
      <c r="C718" s="19"/>
      <c r="D718" s="19"/>
      <c r="E718" s="20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>
      <c r="A719" s="19"/>
      <c r="B719" s="19"/>
      <c r="C719" s="19"/>
      <c r="D719" s="19"/>
      <c r="E719" s="20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>
      <c r="A720" s="19"/>
      <c r="B720" s="19"/>
      <c r="C720" s="19"/>
      <c r="D720" s="19"/>
      <c r="E720" s="20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>
      <c r="A721" s="19"/>
      <c r="B721" s="19"/>
      <c r="C721" s="19"/>
      <c r="D721" s="19"/>
      <c r="E721" s="20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>
      <c r="A722" s="19"/>
      <c r="B722" s="19"/>
      <c r="C722" s="19"/>
      <c r="D722" s="19"/>
      <c r="E722" s="20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>
      <c r="A723" s="19"/>
      <c r="B723" s="19"/>
      <c r="C723" s="19"/>
      <c r="D723" s="19"/>
      <c r="E723" s="20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>
      <c r="A724" s="19"/>
      <c r="B724" s="19"/>
      <c r="C724" s="19"/>
      <c r="D724" s="19"/>
      <c r="E724" s="20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>
      <c r="A725" s="19"/>
      <c r="B725" s="19"/>
      <c r="C725" s="19"/>
      <c r="D725" s="19"/>
      <c r="E725" s="20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>
      <c r="A726" s="19"/>
      <c r="B726" s="19"/>
      <c r="C726" s="19"/>
      <c r="D726" s="19"/>
      <c r="E726" s="20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>
      <c r="A727" s="19"/>
      <c r="B727" s="19"/>
      <c r="C727" s="19"/>
      <c r="D727" s="19"/>
      <c r="E727" s="20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>
      <c r="A728" s="19"/>
      <c r="B728" s="19"/>
      <c r="C728" s="19"/>
      <c r="D728" s="19"/>
      <c r="E728" s="20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>
      <c r="A729" s="19"/>
      <c r="B729" s="19"/>
      <c r="C729" s="19"/>
      <c r="D729" s="19"/>
      <c r="E729" s="20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>
      <c r="A730" s="19"/>
      <c r="B730" s="19"/>
      <c r="C730" s="19"/>
      <c r="D730" s="19"/>
      <c r="E730" s="20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>
      <c r="A731" s="19"/>
      <c r="B731" s="19"/>
      <c r="C731" s="19"/>
      <c r="D731" s="19"/>
      <c r="E731" s="20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>
      <c r="A732" s="19"/>
      <c r="B732" s="19"/>
      <c r="C732" s="19"/>
      <c r="D732" s="19"/>
      <c r="E732" s="20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>
      <c r="A733" s="19"/>
      <c r="B733" s="19"/>
      <c r="C733" s="19"/>
      <c r="D733" s="19"/>
      <c r="E733" s="20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>
      <c r="A734" s="19"/>
      <c r="B734" s="19"/>
      <c r="C734" s="19"/>
      <c r="D734" s="19"/>
      <c r="E734" s="20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>
      <c r="A735" s="19"/>
      <c r="B735" s="19"/>
      <c r="C735" s="19"/>
      <c r="D735" s="19"/>
      <c r="E735" s="20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>
      <c r="A736" s="19"/>
      <c r="B736" s="19"/>
      <c r="C736" s="19"/>
      <c r="D736" s="19"/>
      <c r="E736" s="20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>
      <c r="A737" s="19"/>
      <c r="B737" s="19"/>
      <c r="C737" s="19"/>
      <c r="D737" s="19"/>
      <c r="E737" s="20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>
      <c r="A738" s="19"/>
      <c r="B738" s="19"/>
      <c r="C738" s="19"/>
      <c r="D738" s="19"/>
      <c r="E738" s="20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>
      <c r="A739" s="19"/>
      <c r="B739" s="19"/>
      <c r="C739" s="19"/>
      <c r="D739" s="19"/>
      <c r="E739" s="20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>
      <c r="A740" s="19"/>
      <c r="B740" s="19"/>
      <c r="C740" s="19"/>
      <c r="D740" s="19"/>
      <c r="E740" s="20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>
      <c r="A741" s="19"/>
      <c r="B741" s="19"/>
      <c r="C741" s="19"/>
      <c r="D741" s="19"/>
      <c r="E741" s="20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>
      <c r="A742" s="19"/>
      <c r="B742" s="19"/>
      <c r="C742" s="19"/>
      <c r="D742" s="19"/>
      <c r="E742" s="20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>
      <c r="A743" s="19"/>
      <c r="B743" s="19"/>
      <c r="C743" s="19"/>
      <c r="D743" s="19"/>
      <c r="E743" s="20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>
      <c r="A744" s="19"/>
      <c r="B744" s="19"/>
      <c r="C744" s="19"/>
      <c r="D744" s="19"/>
      <c r="E744" s="20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>
      <c r="A745" s="19"/>
      <c r="B745" s="19"/>
      <c r="C745" s="19"/>
      <c r="D745" s="19"/>
      <c r="E745" s="20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>
      <c r="A746" s="19"/>
      <c r="B746" s="19"/>
      <c r="C746" s="19"/>
      <c r="D746" s="19"/>
      <c r="E746" s="20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>
      <c r="A747" s="19"/>
      <c r="B747" s="19"/>
      <c r="C747" s="19"/>
      <c r="D747" s="19"/>
      <c r="E747" s="20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>
      <c r="A748" s="19"/>
      <c r="B748" s="19"/>
      <c r="C748" s="19"/>
      <c r="D748" s="19"/>
      <c r="E748" s="20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>
      <c r="A749" s="19"/>
      <c r="B749" s="19"/>
      <c r="C749" s="19"/>
      <c r="D749" s="19"/>
      <c r="E749" s="20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>
      <c r="A750" s="19"/>
      <c r="B750" s="19"/>
      <c r="C750" s="19"/>
      <c r="D750" s="19"/>
      <c r="E750" s="20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>
      <c r="A751" s="19"/>
      <c r="B751" s="19"/>
      <c r="C751" s="19"/>
      <c r="D751" s="19"/>
      <c r="E751" s="20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>
      <c r="A752" s="19"/>
      <c r="B752" s="19"/>
      <c r="C752" s="19"/>
      <c r="D752" s="19"/>
      <c r="E752" s="20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>
      <c r="A753" s="19"/>
      <c r="B753" s="19"/>
      <c r="C753" s="19"/>
      <c r="D753" s="19"/>
      <c r="E753" s="20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>
      <c r="A754" s="19"/>
      <c r="B754" s="19"/>
      <c r="C754" s="19"/>
      <c r="D754" s="19"/>
      <c r="E754" s="20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>
      <c r="A755" s="19"/>
      <c r="B755" s="19"/>
      <c r="C755" s="19"/>
      <c r="D755" s="19"/>
      <c r="E755" s="20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>
      <c r="A756" s="19"/>
      <c r="B756" s="19"/>
      <c r="C756" s="19"/>
      <c r="D756" s="19"/>
      <c r="E756" s="20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>
      <c r="A757" s="19"/>
      <c r="B757" s="19"/>
      <c r="C757" s="19"/>
      <c r="D757" s="19"/>
      <c r="E757" s="20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>
      <c r="A758" s="19"/>
      <c r="B758" s="19"/>
      <c r="C758" s="19"/>
      <c r="D758" s="19"/>
      <c r="E758" s="20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>
      <c r="A759" s="19"/>
      <c r="B759" s="19"/>
      <c r="C759" s="19"/>
      <c r="D759" s="19"/>
      <c r="E759" s="20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>
      <c r="A760" s="19"/>
      <c r="B760" s="19"/>
      <c r="C760" s="19"/>
      <c r="D760" s="19"/>
      <c r="E760" s="20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>
      <c r="A761" s="19"/>
      <c r="B761" s="19"/>
      <c r="C761" s="19"/>
      <c r="D761" s="19"/>
      <c r="E761" s="20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>
      <c r="A762" s="19"/>
      <c r="B762" s="19"/>
      <c r="C762" s="19"/>
      <c r="D762" s="19"/>
      <c r="E762" s="20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>
      <c r="A763" s="19"/>
      <c r="B763" s="19"/>
      <c r="C763" s="19"/>
      <c r="D763" s="19"/>
      <c r="E763" s="20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>
      <c r="A764" s="19"/>
      <c r="B764" s="19"/>
      <c r="C764" s="19"/>
      <c r="D764" s="19"/>
      <c r="E764" s="20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>
      <c r="A765" s="19"/>
      <c r="B765" s="19"/>
      <c r="C765" s="19"/>
      <c r="D765" s="19"/>
      <c r="E765" s="20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>
      <c r="A766" s="19"/>
      <c r="B766" s="19"/>
      <c r="C766" s="19"/>
      <c r="D766" s="19"/>
      <c r="E766" s="20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>
      <c r="A767" s="19"/>
      <c r="B767" s="19"/>
      <c r="C767" s="19"/>
      <c r="D767" s="19"/>
      <c r="E767" s="20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>
      <c r="A768" s="19"/>
      <c r="B768" s="19"/>
      <c r="C768" s="19"/>
      <c r="D768" s="19"/>
      <c r="E768" s="20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>
      <c r="A769" s="19"/>
      <c r="B769" s="19"/>
      <c r="C769" s="19"/>
      <c r="D769" s="19"/>
      <c r="E769" s="20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>
      <c r="A770" s="19"/>
      <c r="B770" s="19"/>
      <c r="C770" s="19"/>
      <c r="D770" s="19"/>
      <c r="E770" s="20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>
      <c r="A771" s="19"/>
      <c r="B771" s="19"/>
      <c r="C771" s="19"/>
      <c r="D771" s="19"/>
      <c r="E771" s="20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>
      <c r="A772" s="19"/>
      <c r="B772" s="19"/>
      <c r="C772" s="19"/>
      <c r="D772" s="19"/>
      <c r="E772" s="20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>
      <c r="A773" s="19"/>
      <c r="B773" s="19"/>
      <c r="C773" s="19"/>
      <c r="D773" s="19"/>
      <c r="E773" s="20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>
      <c r="A774" s="19"/>
      <c r="B774" s="19"/>
      <c r="C774" s="19"/>
      <c r="D774" s="19"/>
      <c r="E774" s="20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>
      <c r="A775" s="19"/>
      <c r="B775" s="19"/>
      <c r="C775" s="19"/>
      <c r="D775" s="19"/>
      <c r="E775" s="20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>
      <c r="A776" s="19"/>
      <c r="B776" s="19"/>
      <c r="C776" s="19"/>
      <c r="D776" s="19"/>
      <c r="E776" s="20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>
      <c r="A777" s="19"/>
      <c r="B777" s="19"/>
      <c r="C777" s="19"/>
      <c r="D777" s="19"/>
      <c r="E777" s="20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>
      <c r="A778" s="19"/>
      <c r="B778" s="19"/>
      <c r="C778" s="19"/>
      <c r="D778" s="19"/>
      <c r="E778" s="20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>
      <c r="A779" s="19"/>
      <c r="B779" s="19"/>
      <c r="C779" s="19"/>
      <c r="D779" s="19"/>
      <c r="E779" s="20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>
      <c r="A780" s="19"/>
      <c r="B780" s="19"/>
      <c r="C780" s="19"/>
      <c r="D780" s="19"/>
      <c r="E780" s="20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>
      <c r="A781" s="19"/>
      <c r="B781" s="19"/>
      <c r="C781" s="19"/>
      <c r="D781" s="19"/>
      <c r="E781" s="20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>
      <c r="A782" s="19"/>
      <c r="B782" s="19"/>
      <c r="C782" s="19"/>
      <c r="D782" s="19"/>
      <c r="E782" s="20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>
      <c r="A783" s="19"/>
      <c r="B783" s="19"/>
      <c r="C783" s="19"/>
      <c r="D783" s="19"/>
      <c r="E783" s="20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>
      <c r="A784" s="19"/>
      <c r="B784" s="19"/>
      <c r="C784" s="19"/>
      <c r="D784" s="19"/>
      <c r="E784" s="20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>
      <c r="A785" s="19"/>
      <c r="B785" s="19"/>
      <c r="C785" s="19"/>
      <c r="D785" s="19"/>
      <c r="E785" s="20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>
      <c r="A786" s="19"/>
      <c r="B786" s="19"/>
      <c r="C786" s="19"/>
      <c r="D786" s="19"/>
      <c r="E786" s="20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>
      <c r="A787" s="19"/>
      <c r="B787" s="19"/>
      <c r="C787" s="19"/>
      <c r="D787" s="19"/>
      <c r="E787" s="20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>
      <c r="A788" s="19"/>
      <c r="B788" s="19"/>
      <c r="C788" s="19"/>
      <c r="D788" s="19"/>
      <c r="E788" s="20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>
      <c r="A789" s="19"/>
      <c r="B789" s="19"/>
      <c r="C789" s="19"/>
      <c r="D789" s="19"/>
      <c r="E789" s="20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>
      <c r="A790" s="19"/>
      <c r="B790" s="19"/>
      <c r="C790" s="19"/>
      <c r="D790" s="19"/>
      <c r="E790" s="20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>
      <c r="A791" s="19"/>
      <c r="B791" s="19"/>
      <c r="C791" s="19"/>
      <c r="D791" s="19"/>
      <c r="E791" s="20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>
      <c r="A792" s="19"/>
      <c r="B792" s="19"/>
      <c r="C792" s="19"/>
      <c r="D792" s="19"/>
      <c r="E792" s="20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>
      <c r="A793" s="19"/>
      <c r="B793" s="19"/>
      <c r="C793" s="19"/>
      <c r="D793" s="19"/>
      <c r="E793" s="20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>
      <c r="A794" s="19"/>
      <c r="B794" s="19"/>
      <c r="C794" s="19"/>
      <c r="D794" s="19"/>
      <c r="E794" s="20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>
      <c r="A795" s="19"/>
      <c r="B795" s="19"/>
      <c r="C795" s="19"/>
      <c r="D795" s="19"/>
      <c r="E795" s="20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>
      <c r="A796" s="19"/>
      <c r="B796" s="19"/>
      <c r="C796" s="19"/>
      <c r="D796" s="19"/>
      <c r="E796" s="20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>
      <c r="A797" s="19"/>
      <c r="B797" s="19"/>
      <c r="C797" s="19"/>
      <c r="D797" s="19"/>
      <c r="E797" s="20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>
      <c r="A798" s="19"/>
      <c r="B798" s="19"/>
      <c r="C798" s="19"/>
      <c r="D798" s="19"/>
      <c r="E798" s="20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>
      <c r="A799" s="19"/>
      <c r="B799" s="19"/>
      <c r="C799" s="19"/>
      <c r="D799" s="19"/>
      <c r="E799" s="20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>
      <c r="A800" s="19"/>
      <c r="B800" s="19"/>
      <c r="C800" s="19"/>
      <c r="D800" s="19"/>
      <c r="E800" s="20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>
      <c r="A801" s="19"/>
      <c r="B801" s="19"/>
      <c r="C801" s="19"/>
      <c r="D801" s="19"/>
      <c r="E801" s="20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>
      <c r="A802" s="19"/>
      <c r="B802" s="19"/>
      <c r="C802" s="19"/>
      <c r="D802" s="19"/>
      <c r="E802" s="20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>
      <c r="A803" s="19"/>
      <c r="B803" s="19"/>
      <c r="C803" s="19"/>
      <c r="D803" s="19"/>
      <c r="E803" s="20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>
      <c r="A804" s="19"/>
      <c r="B804" s="19"/>
      <c r="C804" s="19"/>
      <c r="D804" s="19"/>
      <c r="E804" s="20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>
      <c r="A805" s="19"/>
      <c r="B805" s="19"/>
      <c r="C805" s="19"/>
      <c r="D805" s="19"/>
      <c r="E805" s="20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>
      <c r="A806" s="19"/>
      <c r="B806" s="19"/>
      <c r="C806" s="19"/>
      <c r="D806" s="19"/>
      <c r="E806" s="20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>
      <c r="A807" s="19"/>
      <c r="B807" s="19"/>
      <c r="C807" s="19"/>
      <c r="D807" s="19"/>
      <c r="E807" s="20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>
      <c r="A808" s="19"/>
      <c r="B808" s="19"/>
      <c r="C808" s="19"/>
      <c r="D808" s="19"/>
      <c r="E808" s="20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>
      <c r="A809" s="19"/>
      <c r="B809" s="19"/>
      <c r="C809" s="19"/>
      <c r="D809" s="19"/>
      <c r="E809" s="20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>
      <c r="A810" s="19"/>
      <c r="B810" s="19"/>
      <c r="C810" s="19"/>
      <c r="D810" s="19"/>
      <c r="E810" s="20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>
      <c r="A811" s="19"/>
      <c r="B811" s="19"/>
      <c r="C811" s="19"/>
      <c r="D811" s="19"/>
      <c r="E811" s="20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>
      <c r="A812" s="19"/>
      <c r="B812" s="19"/>
      <c r="C812" s="19"/>
      <c r="D812" s="19"/>
      <c r="E812" s="20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>
      <c r="A813" s="19"/>
      <c r="B813" s="19"/>
      <c r="C813" s="19"/>
      <c r="D813" s="19"/>
      <c r="E813" s="20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>
      <c r="A814" s="19"/>
      <c r="B814" s="19"/>
      <c r="C814" s="19"/>
      <c r="D814" s="19"/>
      <c r="E814" s="20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>
      <c r="A815" s="19"/>
      <c r="B815" s="19"/>
      <c r="C815" s="19"/>
      <c r="D815" s="19"/>
      <c r="E815" s="20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>
      <c r="A816" s="19"/>
      <c r="B816" s="19"/>
      <c r="C816" s="19"/>
      <c r="D816" s="19"/>
      <c r="E816" s="20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>
      <c r="A817" s="19"/>
      <c r="B817" s="19"/>
      <c r="C817" s="19"/>
      <c r="D817" s="19"/>
      <c r="E817" s="20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>
      <c r="A818" s="19"/>
      <c r="B818" s="19"/>
      <c r="C818" s="19"/>
      <c r="D818" s="19"/>
      <c r="E818" s="20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>
      <c r="A819" s="19"/>
      <c r="B819" s="19"/>
      <c r="C819" s="19"/>
      <c r="D819" s="19"/>
      <c r="E819" s="20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>
      <c r="A820" s="19"/>
      <c r="B820" s="19"/>
      <c r="C820" s="19"/>
      <c r="D820" s="19"/>
      <c r="E820" s="20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>
      <c r="A821" s="19"/>
      <c r="B821" s="19"/>
      <c r="C821" s="19"/>
      <c r="D821" s="19"/>
      <c r="E821" s="20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>
      <c r="A822" s="19"/>
      <c r="B822" s="19"/>
      <c r="C822" s="19"/>
      <c r="D822" s="19"/>
      <c r="E822" s="20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>
      <c r="A823" s="19"/>
      <c r="B823" s="19"/>
      <c r="C823" s="19"/>
      <c r="D823" s="19"/>
      <c r="E823" s="20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>
      <c r="A824" s="19"/>
      <c r="B824" s="19"/>
      <c r="C824" s="19"/>
      <c r="D824" s="19"/>
      <c r="E824" s="20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>
      <c r="A825" s="19"/>
      <c r="B825" s="19"/>
      <c r="C825" s="19"/>
      <c r="D825" s="19"/>
      <c r="E825" s="20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>
      <c r="A826" s="19"/>
      <c r="B826" s="19"/>
      <c r="C826" s="19"/>
      <c r="D826" s="19"/>
      <c r="E826" s="20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>
      <c r="A827" s="19"/>
      <c r="B827" s="19"/>
      <c r="C827" s="19"/>
      <c r="D827" s="19"/>
      <c r="E827" s="20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>
      <c r="A828" s="19"/>
      <c r="B828" s="19"/>
      <c r="C828" s="19"/>
      <c r="D828" s="19"/>
      <c r="E828" s="20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>
      <c r="A829" s="19"/>
      <c r="B829" s="19"/>
      <c r="C829" s="19"/>
      <c r="D829" s="19"/>
      <c r="E829" s="20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>
      <c r="A830" s="19"/>
      <c r="B830" s="19"/>
      <c r="C830" s="19"/>
      <c r="D830" s="19"/>
      <c r="E830" s="20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>
      <c r="A831" s="19"/>
      <c r="B831" s="19"/>
      <c r="C831" s="19"/>
      <c r="D831" s="19"/>
      <c r="E831" s="20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>
      <c r="A832" s="19"/>
      <c r="B832" s="19"/>
      <c r="C832" s="19"/>
      <c r="D832" s="19"/>
      <c r="E832" s="20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>
      <c r="A833" s="19"/>
      <c r="B833" s="19"/>
      <c r="C833" s="19"/>
      <c r="D833" s="19"/>
      <c r="E833" s="20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>
      <c r="A834" s="19"/>
      <c r="B834" s="19"/>
      <c r="C834" s="19"/>
      <c r="D834" s="19"/>
      <c r="E834" s="20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>
      <c r="A835" s="19"/>
      <c r="B835" s="19"/>
      <c r="C835" s="19"/>
      <c r="D835" s="19"/>
      <c r="E835" s="20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>
      <c r="A836" s="19"/>
      <c r="B836" s="19"/>
      <c r="C836" s="19"/>
      <c r="D836" s="19"/>
      <c r="E836" s="20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>
      <c r="A837" s="19"/>
      <c r="B837" s="19"/>
      <c r="C837" s="19"/>
      <c r="D837" s="19"/>
      <c r="E837" s="20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>
      <c r="A838" s="19"/>
      <c r="B838" s="19"/>
      <c r="C838" s="19"/>
      <c r="D838" s="19"/>
      <c r="E838" s="20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>
      <c r="A839" s="19"/>
      <c r="B839" s="19"/>
      <c r="C839" s="19"/>
      <c r="D839" s="19"/>
      <c r="E839" s="20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>
      <c r="A840" s="19"/>
      <c r="B840" s="19"/>
      <c r="C840" s="19"/>
      <c r="D840" s="19"/>
      <c r="E840" s="20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>
      <c r="A841" s="19"/>
      <c r="B841" s="19"/>
      <c r="C841" s="19"/>
      <c r="D841" s="19"/>
      <c r="E841" s="20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>
      <c r="A842" s="19"/>
      <c r="B842" s="19"/>
      <c r="C842" s="19"/>
      <c r="D842" s="19"/>
      <c r="E842" s="20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>
      <c r="A843" s="19"/>
      <c r="B843" s="19"/>
      <c r="C843" s="19"/>
      <c r="D843" s="19"/>
      <c r="E843" s="20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>
      <c r="A844" s="19"/>
      <c r="B844" s="19"/>
      <c r="C844" s="19"/>
      <c r="D844" s="19"/>
      <c r="E844" s="20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>
      <c r="A845" s="19"/>
      <c r="B845" s="19"/>
      <c r="C845" s="19"/>
      <c r="D845" s="19"/>
      <c r="E845" s="20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>
      <c r="A846" s="19"/>
      <c r="B846" s="19"/>
      <c r="C846" s="19"/>
      <c r="D846" s="19"/>
      <c r="E846" s="20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>
      <c r="A847" s="19"/>
      <c r="B847" s="19"/>
      <c r="C847" s="19"/>
      <c r="D847" s="19"/>
      <c r="E847" s="20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>
      <c r="A848" s="19"/>
      <c r="B848" s="19"/>
      <c r="C848" s="19"/>
      <c r="D848" s="19"/>
      <c r="E848" s="20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>
      <c r="A849" s="19"/>
      <c r="B849" s="19"/>
      <c r="C849" s="19"/>
      <c r="D849" s="19"/>
      <c r="E849" s="20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>
      <c r="A850" s="19"/>
      <c r="B850" s="19"/>
      <c r="C850" s="19"/>
      <c r="D850" s="19"/>
      <c r="E850" s="20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>
      <c r="A851" s="19"/>
      <c r="B851" s="19"/>
      <c r="C851" s="19"/>
      <c r="D851" s="19"/>
      <c r="E851" s="20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>
      <c r="A852" s="19"/>
      <c r="B852" s="19"/>
      <c r="C852" s="19"/>
      <c r="D852" s="19"/>
      <c r="E852" s="20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>
      <c r="A853" s="19"/>
      <c r="B853" s="19"/>
      <c r="C853" s="19"/>
      <c r="D853" s="19"/>
      <c r="E853" s="20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>
      <c r="A854" s="19"/>
      <c r="B854" s="19"/>
      <c r="C854" s="19"/>
      <c r="D854" s="19"/>
      <c r="E854" s="20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>
      <c r="A855" s="19"/>
      <c r="B855" s="19"/>
      <c r="C855" s="19"/>
      <c r="D855" s="19"/>
      <c r="E855" s="20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>
      <c r="A856" s="19"/>
      <c r="B856" s="19"/>
      <c r="C856" s="19"/>
      <c r="D856" s="19"/>
      <c r="E856" s="20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>
      <c r="A857" s="19"/>
      <c r="B857" s="19"/>
      <c r="C857" s="19"/>
      <c r="D857" s="19"/>
      <c r="E857" s="20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>
      <c r="A858" s="19"/>
      <c r="B858" s="19"/>
      <c r="C858" s="19"/>
      <c r="D858" s="19"/>
      <c r="E858" s="20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>
      <c r="A859" s="19"/>
      <c r="B859" s="19"/>
      <c r="C859" s="19"/>
      <c r="D859" s="19"/>
      <c r="E859" s="20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>
      <c r="A860" s="19"/>
      <c r="B860" s="19"/>
      <c r="C860" s="19"/>
      <c r="D860" s="19"/>
      <c r="E860" s="20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>
      <c r="A861" s="19"/>
      <c r="B861" s="19"/>
      <c r="C861" s="19"/>
      <c r="D861" s="19"/>
      <c r="E861" s="20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>
      <c r="A862" s="19"/>
      <c r="B862" s="19"/>
      <c r="C862" s="19"/>
      <c r="D862" s="19"/>
      <c r="E862" s="20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>
      <c r="A863" s="19"/>
      <c r="B863" s="19"/>
      <c r="C863" s="19"/>
      <c r="D863" s="19"/>
      <c r="E863" s="20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>
      <c r="A864" s="19"/>
      <c r="B864" s="19"/>
      <c r="C864" s="19"/>
      <c r="D864" s="19"/>
      <c r="E864" s="20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>
      <c r="A865" s="19"/>
      <c r="B865" s="19"/>
      <c r="C865" s="19"/>
      <c r="D865" s="19"/>
      <c r="E865" s="20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>
      <c r="A866" s="19"/>
      <c r="B866" s="19"/>
      <c r="C866" s="19"/>
      <c r="D866" s="19"/>
      <c r="E866" s="20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>
      <c r="A867" s="19"/>
      <c r="B867" s="19"/>
      <c r="C867" s="19"/>
      <c r="D867" s="19"/>
      <c r="E867" s="20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>
      <c r="A868" s="19"/>
      <c r="B868" s="19"/>
      <c r="C868" s="19"/>
      <c r="D868" s="19"/>
      <c r="E868" s="20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>
      <c r="A869" s="19"/>
      <c r="B869" s="19"/>
      <c r="C869" s="19"/>
      <c r="D869" s="19"/>
      <c r="E869" s="20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>
      <c r="A870" s="19"/>
      <c r="B870" s="19"/>
      <c r="C870" s="19"/>
      <c r="D870" s="19"/>
      <c r="E870" s="20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>
      <c r="A871" s="19"/>
      <c r="B871" s="19"/>
      <c r="C871" s="19"/>
      <c r="D871" s="19"/>
      <c r="E871" s="20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>
      <c r="A872" s="19"/>
      <c r="B872" s="19"/>
      <c r="C872" s="19"/>
      <c r="D872" s="19"/>
      <c r="E872" s="20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>
      <c r="A873" s="19"/>
      <c r="B873" s="19"/>
      <c r="C873" s="19"/>
      <c r="D873" s="19"/>
      <c r="E873" s="20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>
      <c r="A874" s="19"/>
      <c r="B874" s="19"/>
      <c r="C874" s="19"/>
      <c r="D874" s="19"/>
      <c r="E874" s="20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>
      <c r="A875" s="19"/>
      <c r="B875" s="19"/>
      <c r="C875" s="19"/>
      <c r="D875" s="19"/>
      <c r="E875" s="20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>
      <c r="A876" s="19"/>
      <c r="B876" s="19"/>
      <c r="C876" s="19"/>
      <c r="D876" s="19"/>
      <c r="E876" s="20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>
      <c r="A877" s="19"/>
      <c r="B877" s="19"/>
      <c r="C877" s="19"/>
      <c r="D877" s="19"/>
      <c r="E877" s="20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>
      <c r="A878" s="19"/>
      <c r="B878" s="19"/>
      <c r="C878" s="19"/>
      <c r="D878" s="19"/>
      <c r="E878" s="20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>
      <c r="A879" s="19"/>
      <c r="B879" s="19"/>
      <c r="C879" s="19"/>
      <c r="D879" s="19"/>
      <c r="E879" s="20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>
      <c r="A880" s="19"/>
      <c r="B880" s="19"/>
      <c r="C880" s="19"/>
      <c r="D880" s="19"/>
      <c r="E880" s="20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>
      <c r="A881" s="19"/>
      <c r="B881" s="19"/>
      <c r="C881" s="19"/>
      <c r="D881" s="19"/>
      <c r="E881" s="20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>
      <c r="A882" s="19"/>
      <c r="B882" s="19"/>
      <c r="C882" s="19"/>
      <c r="D882" s="19"/>
      <c r="E882" s="20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>
      <c r="A883" s="19"/>
      <c r="B883" s="19"/>
      <c r="C883" s="19"/>
      <c r="D883" s="19"/>
      <c r="E883" s="20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>
      <c r="A884" s="19"/>
      <c r="B884" s="19"/>
      <c r="C884" s="19"/>
      <c r="D884" s="19"/>
      <c r="E884" s="20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>
      <c r="A885" s="19"/>
      <c r="B885" s="19"/>
      <c r="C885" s="19"/>
      <c r="D885" s="19"/>
      <c r="E885" s="20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>
      <c r="A886" s="19"/>
      <c r="B886" s="19"/>
      <c r="C886" s="19"/>
      <c r="D886" s="19"/>
      <c r="E886" s="20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>
      <c r="A887" s="19"/>
      <c r="B887" s="19"/>
      <c r="C887" s="19"/>
      <c r="D887" s="19"/>
      <c r="E887" s="20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>
      <c r="A888" s="19"/>
      <c r="B888" s="19"/>
      <c r="C888" s="19"/>
      <c r="D888" s="19"/>
      <c r="E888" s="20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>
      <c r="A889" s="19"/>
      <c r="B889" s="19"/>
      <c r="C889" s="19"/>
      <c r="D889" s="19"/>
      <c r="E889" s="20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>
      <c r="A890" s="19"/>
      <c r="B890" s="19"/>
      <c r="C890" s="19"/>
      <c r="D890" s="19"/>
      <c r="E890" s="20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>
      <c r="A891" s="19"/>
      <c r="B891" s="19"/>
      <c r="C891" s="19"/>
      <c r="D891" s="19"/>
      <c r="E891" s="20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>
      <c r="A892" s="19"/>
      <c r="B892" s="19"/>
      <c r="C892" s="19"/>
      <c r="D892" s="19"/>
      <c r="E892" s="20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>
      <c r="A893" s="19"/>
      <c r="B893" s="19"/>
      <c r="C893" s="19"/>
      <c r="D893" s="19"/>
      <c r="E893" s="20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>
      <c r="A894" s="19"/>
      <c r="B894" s="19"/>
      <c r="C894" s="19"/>
      <c r="D894" s="19"/>
      <c r="E894" s="20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>
      <c r="A895" s="19"/>
      <c r="B895" s="19"/>
      <c r="C895" s="19"/>
      <c r="D895" s="19"/>
      <c r="E895" s="20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>
      <c r="A896" s="19"/>
      <c r="B896" s="19"/>
      <c r="C896" s="19"/>
      <c r="D896" s="19"/>
      <c r="E896" s="20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>
      <c r="A897" s="19"/>
      <c r="B897" s="19"/>
      <c r="C897" s="19"/>
      <c r="D897" s="19"/>
      <c r="E897" s="20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>
      <c r="A898" s="19"/>
      <c r="B898" s="19"/>
      <c r="C898" s="19"/>
      <c r="D898" s="19"/>
      <c r="E898" s="20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>
      <c r="A899" s="19"/>
      <c r="B899" s="19"/>
      <c r="C899" s="19"/>
      <c r="D899" s="19"/>
      <c r="E899" s="20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>
      <c r="A900" s="19"/>
      <c r="B900" s="19"/>
      <c r="C900" s="19"/>
      <c r="D900" s="19"/>
      <c r="E900" s="20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>
      <c r="A901" s="19"/>
      <c r="B901" s="19"/>
      <c r="C901" s="19"/>
      <c r="D901" s="19"/>
      <c r="E901" s="20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>
      <c r="A902" s="19"/>
      <c r="B902" s="19"/>
      <c r="C902" s="19"/>
      <c r="D902" s="19"/>
      <c r="E902" s="20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>
      <c r="A903" s="19"/>
      <c r="B903" s="19"/>
      <c r="C903" s="19"/>
      <c r="D903" s="19"/>
      <c r="E903" s="20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>
      <c r="A904" s="19"/>
      <c r="B904" s="19"/>
      <c r="C904" s="19"/>
      <c r="D904" s="19"/>
      <c r="E904" s="20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>
      <c r="A905" s="19"/>
      <c r="B905" s="19"/>
      <c r="C905" s="19"/>
      <c r="D905" s="19"/>
      <c r="E905" s="20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>
      <c r="A906" s="19"/>
      <c r="B906" s="19"/>
      <c r="C906" s="19"/>
      <c r="D906" s="19"/>
      <c r="E906" s="20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>
      <c r="A907" s="19"/>
      <c r="B907" s="19"/>
      <c r="C907" s="19"/>
      <c r="D907" s="19"/>
      <c r="E907" s="20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>
      <c r="A908" s="19"/>
      <c r="B908" s="19"/>
      <c r="C908" s="19"/>
      <c r="D908" s="19"/>
      <c r="E908" s="20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>
      <c r="A909" s="19"/>
      <c r="B909" s="19"/>
      <c r="C909" s="19"/>
      <c r="D909" s="19"/>
      <c r="E909" s="20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>
      <c r="A910" s="19"/>
      <c r="B910" s="19"/>
      <c r="C910" s="19"/>
      <c r="D910" s="19"/>
      <c r="E910" s="20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>
      <c r="A911" s="19"/>
      <c r="B911" s="19"/>
      <c r="C911" s="19"/>
      <c r="D911" s="19"/>
      <c r="E911" s="20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>
      <c r="A912" s="19"/>
      <c r="B912" s="19"/>
      <c r="C912" s="19"/>
      <c r="D912" s="19"/>
      <c r="E912" s="20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>
      <c r="A913" s="19"/>
      <c r="B913" s="19"/>
      <c r="C913" s="19"/>
      <c r="D913" s="19"/>
      <c r="E913" s="20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>
      <c r="A914" s="19"/>
      <c r="B914" s="19"/>
      <c r="C914" s="19"/>
      <c r="D914" s="19"/>
      <c r="E914" s="20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>
      <c r="A915" s="19"/>
      <c r="B915" s="19"/>
      <c r="C915" s="19"/>
      <c r="D915" s="19"/>
      <c r="E915" s="20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>
      <c r="A916" s="19"/>
      <c r="B916" s="19"/>
      <c r="C916" s="19"/>
      <c r="D916" s="19"/>
      <c r="E916" s="20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>
      <c r="A917" s="19"/>
      <c r="B917" s="19"/>
      <c r="C917" s="19"/>
      <c r="D917" s="19"/>
      <c r="E917" s="20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>
      <c r="A918" s="19"/>
      <c r="B918" s="19"/>
      <c r="C918" s="19"/>
      <c r="D918" s="19"/>
      <c r="E918" s="20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>
      <c r="A919" s="19"/>
      <c r="B919" s="19"/>
      <c r="C919" s="19"/>
      <c r="D919" s="19"/>
      <c r="E919" s="20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>
      <c r="A920" s="19"/>
      <c r="B920" s="19"/>
      <c r="C920" s="19"/>
      <c r="D920" s="19"/>
      <c r="E920" s="20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>
      <c r="A921" s="19"/>
      <c r="B921" s="19"/>
      <c r="C921" s="19"/>
      <c r="D921" s="19"/>
      <c r="E921" s="20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>
      <c r="A922" s="19"/>
      <c r="B922" s="19"/>
      <c r="C922" s="19"/>
      <c r="D922" s="19"/>
      <c r="E922" s="20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>
      <c r="A923" s="19"/>
      <c r="B923" s="19"/>
      <c r="C923" s="19"/>
      <c r="D923" s="19"/>
      <c r="E923" s="20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>
      <c r="A924" s="19"/>
      <c r="B924" s="19"/>
      <c r="C924" s="19"/>
      <c r="D924" s="19"/>
      <c r="E924" s="20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>
      <c r="A925" s="19"/>
      <c r="B925" s="19"/>
      <c r="C925" s="19"/>
      <c r="D925" s="19"/>
      <c r="E925" s="20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>
      <c r="A926" s="19"/>
      <c r="B926" s="19"/>
      <c r="C926" s="19"/>
      <c r="D926" s="19"/>
      <c r="E926" s="20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>
      <c r="A927" s="19"/>
      <c r="B927" s="19"/>
      <c r="C927" s="19"/>
      <c r="D927" s="19"/>
      <c r="E927" s="20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>
      <c r="A928" s="19"/>
      <c r="B928" s="19"/>
      <c r="C928" s="19"/>
      <c r="D928" s="19"/>
      <c r="E928" s="20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>
      <c r="A929" s="19"/>
      <c r="B929" s="19"/>
      <c r="C929" s="19"/>
      <c r="D929" s="19"/>
      <c r="E929" s="20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>
      <c r="A930" s="19"/>
      <c r="B930" s="19"/>
      <c r="C930" s="19"/>
      <c r="D930" s="19"/>
      <c r="E930" s="20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>
      <c r="A931" s="19"/>
      <c r="B931" s="19"/>
      <c r="C931" s="19"/>
      <c r="D931" s="19"/>
      <c r="E931" s="20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>
      <c r="A932" s="19"/>
      <c r="B932" s="19"/>
      <c r="C932" s="19"/>
      <c r="D932" s="19"/>
      <c r="E932" s="20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>
      <c r="A933" s="19"/>
      <c r="B933" s="19"/>
      <c r="C933" s="19"/>
      <c r="D933" s="19"/>
      <c r="E933" s="20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>
      <c r="A934" s="19"/>
      <c r="B934" s="19"/>
      <c r="C934" s="19"/>
      <c r="D934" s="19"/>
      <c r="E934" s="20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>
      <c r="A935" s="19"/>
      <c r="B935" s="19"/>
      <c r="C935" s="19"/>
      <c r="D935" s="19"/>
      <c r="E935" s="20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>
      <c r="A936" s="19"/>
      <c r="B936" s="19"/>
      <c r="C936" s="19"/>
      <c r="D936" s="19"/>
      <c r="E936" s="20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>
      <c r="A937" s="19"/>
      <c r="B937" s="19"/>
      <c r="C937" s="19"/>
      <c r="D937" s="19"/>
      <c r="E937" s="20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>
      <c r="A938" s="19"/>
      <c r="B938" s="19"/>
      <c r="C938" s="19"/>
      <c r="D938" s="19"/>
      <c r="E938" s="20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>
      <c r="A939" s="19"/>
      <c r="B939" s="19"/>
      <c r="C939" s="19"/>
      <c r="D939" s="19"/>
      <c r="E939" s="20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>
      <c r="A940" s="19"/>
      <c r="B940" s="19"/>
      <c r="C940" s="19"/>
      <c r="D940" s="19"/>
      <c r="E940" s="20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>
      <c r="A941" s="19"/>
      <c r="B941" s="19"/>
      <c r="C941" s="19"/>
      <c r="D941" s="19"/>
      <c r="E941" s="20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>
      <c r="A942" s="19"/>
      <c r="B942" s="19"/>
      <c r="C942" s="19"/>
      <c r="D942" s="19"/>
      <c r="E942" s="20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>
      <c r="A943" s="19"/>
      <c r="B943" s="19"/>
      <c r="C943" s="19"/>
      <c r="D943" s="19"/>
      <c r="E943" s="20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>
      <c r="A944" s="19"/>
      <c r="B944" s="19"/>
      <c r="C944" s="19"/>
      <c r="D944" s="19"/>
      <c r="E944" s="20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>
      <c r="A945" s="19"/>
      <c r="B945" s="19"/>
      <c r="C945" s="19"/>
      <c r="D945" s="19"/>
      <c r="E945" s="20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>
      <c r="A946" s="19"/>
      <c r="B946" s="19"/>
      <c r="C946" s="19"/>
      <c r="D946" s="19"/>
      <c r="E946" s="20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>
      <c r="A947" s="19"/>
      <c r="B947" s="19"/>
      <c r="C947" s="19"/>
      <c r="D947" s="19"/>
      <c r="E947" s="20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>
      <c r="A948" s="19"/>
      <c r="B948" s="19"/>
      <c r="C948" s="19"/>
      <c r="D948" s="19"/>
      <c r="E948" s="20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>
      <c r="A949" s="19"/>
      <c r="B949" s="19"/>
      <c r="C949" s="19"/>
      <c r="D949" s="19"/>
      <c r="E949" s="20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>
      <c r="A950" s="19"/>
      <c r="B950" s="19"/>
      <c r="C950" s="19"/>
      <c r="D950" s="19"/>
      <c r="E950" s="20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>
      <c r="A951" s="19"/>
      <c r="B951" s="19"/>
      <c r="C951" s="19"/>
      <c r="D951" s="19"/>
      <c r="E951" s="20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>
      <c r="A952" s="19"/>
      <c r="B952" s="19"/>
      <c r="C952" s="19"/>
      <c r="D952" s="19"/>
      <c r="E952" s="20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>
      <c r="A953" s="19"/>
      <c r="B953" s="19"/>
      <c r="C953" s="19"/>
      <c r="D953" s="19"/>
      <c r="E953" s="20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>
      <c r="A954" s="19"/>
      <c r="B954" s="19"/>
      <c r="C954" s="19"/>
      <c r="D954" s="19"/>
      <c r="E954" s="20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>
      <c r="A955" s="19"/>
      <c r="B955" s="19"/>
      <c r="C955" s="19"/>
      <c r="D955" s="19"/>
      <c r="E955" s="20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>
      <c r="A956" s="19"/>
      <c r="B956" s="19"/>
      <c r="C956" s="19"/>
      <c r="D956" s="19"/>
      <c r="E956" s="20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>
      <c r="A957" s="19"/>
      <c r="B957" s="19"/>
      <c r="C957" s="19"/>
      <c r="D957" s="19"/>
      <c r="E957" s="20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>
      <c r="A958" s="19"/>
      <c r="B958" s="19"/>
      <c r="C958" s="19"/>
      <c r="D958" s="19"/>
      <c r="E958" s="20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>
      <c r="A959" s="19"/>
      <c r="B959" s="19"/>
      <c r="C959" s="19"/>
      <c r="D959" s="19"/>
      <c r="E959" s="20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>
      <c r="A960" s="19"/>
      <c r="B960" s="19"/>
      <c r="C960" s="19"/>
      <c r="D960" s="19"/>
      <c r="E960" s="20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>
      <c r="A961" s="19"/>
      <c r="B961" s="19"/>
      <c r="C961" s="19"/>
      <c r="D961" s="19"/>
      <c r="E961" s="20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>
      <c r="A962" s="19"/>
      <c r="B962" s="19"/>
      <c r="C962" s="19"/>
      <c r="D962" s="19"/>
      <c r="E962" s="20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>
      <c r="A963" s="19"/>
      <c r="B963" s="19"/>
      <c r="C963" s="19"/>
      <c r="D963" s="19"/>
      <c r="E963" s="20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>
      <c r="A964" s="19"/>
      <c r="B964" s="19"/>
      <c r="C964" s="19"/>
      <c r="D964" s="19"/>
      <c r="E964" s="20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>
      <c r="A965" s="19"/>
      <c r="B965" s="19"/>
      <c r="C965" s="19"/>
      <c r="D965" s="19"/>
      <c r="E965" s="20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>
      <c r="A966" s="19"/>
      <c r="B966" s="19"/>
      <c r="C966" s="19"/>
      <c r="D966" s="19"/>
      <c r="E966" s="20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>
      <c r="A967" s="19"/>
      <c r="B967" s="19"/>
      <c r="C967" s="19"/>
      <c r="D967" s="19"/>
      <c r="E967" s="20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>
      <c r="A968" s="19"/>
      <c r="B968" s="19"/>
      <c r="C968" s="19"/>
      <c r="D968" s="19"/>
      <c r="E968" s="20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>
      <c r="A969" s="19"/>
      <c r="B969" s="19"/>
      <c r="C969" s="19"/>
      <c r="D969" s="19"/>
      <c r="E969" s="20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>
      <c r="A970" s="19"/>
      <c r="B970" s="19"/>
      <c r="C970" s="19"/>
      <c r="D970" s="19"/>
      <c r="E970" s="20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>
      <c r="A971" s="19"/>
      <c r="B971" s="19"/>
      <c r="C971" s="19"/>
      <c r="D971" s="19"/>
      <c r="E971" s="20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>
      <c r="A972" s="19"/>
      <c r="B972" s="19"/>
      <c r="C972" s="19"/>
      <c r="D972" s="19"/>
      <c r="E972" s="20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>
      <c r="A973" s="19"/>
      <c r="B973" s="19"/>
      <c r="C973" s="19"/>
      <c r="D973" s="19"/>
      <c r="E973" s="20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>
      <c r="A974" s="19"/>
      <c r="B974" s="19"/>
      <c r="C974" s="19"/>
      <c r="D974" s="19"/>
      <c r="E974" s="20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>
      <c r="A975" s="19"/>
      <c r="B975" s="19"/>
      <c r="C975" s="19"/>
      <c r="D975" s="19"/>
      <c r="E975" s="20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>
      <c r="A976" s="19"/>
      <c r="B976" s="19"/>
      <c r="C976" s="19"/>
      <c r="D976" s="19"/>
      <c r="E976" s="20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>
      <c r="A977" s="19"/>
      <c r="B977" s="19"/>
      <c r="C977" s="19"/>
      <c r="D977" s="19"/>
      <c r="E977" s="20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>
      <c r="A978" s="19"/>
      <c r="B978" s="19"/>
      <c r="C978" s="19"/>
      <c r="D978" s="19"/>
      <c r="E978" s="20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>
      <c r="A979" s="19"/>
      <c r="B979" s="19"/>
      <c r="C979" s="19"/>
      <c r="D979" s="19"/>
      <c r="E979" s="20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>
      <c r="A980" s="19"/>
      <c r="B980" s="19"/>
      <c r="C980" s="19"/>
      <c r="D980" s="19"/>
      <c r="E980" s="20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>
      <c r="A981" s="19"/>
      <c r="B981" s="19"/>
      <c r="C981" s="19"/>
      <c r="D981" s="19"/>
      <c r="E981" s="20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>
      <c r="A982" s="19"/>
      <c r="B982" s="19"/>
      <c r="C982" s="19"/>
      <c r="D982" s="19"/>
      <c r="E982" s="20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>
      <c r="A983" s="19"/>
      <c r="B983" s="19"/>
      <c r="C983" s="19"/>
      <c r="D983" s="19"/>
      <c r="E983" s="20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>
      <c r="A984" s="19"/>
      <c r="B984" s="19"/>
      <c r="C984" s="19"/>
      <c r="D984" s="19"/>
      <c r="E984" s="20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>
      <c r="A985" s="19"/>
      <c r="B985" s="19"/>
      <c r="C985" s="19"/>
      <c r="D985" s="19"/>
      <c r="E985" s="20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>
      <c r="A986" s="19"/>
      <c r="B986" s="19"/>
      <c r="C986" s="19"/>
      <c r="D986" s="19"/>
      <c r="E986" s="20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>
      <c r="A987" s="19"/>
      <c r="B987" s="19"/>
      <c r="C987" s="19"/>
      <c r="D987" s="19"/>
      <c r="E987" s="20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>
      <c r="A988" s="19"/>
      <c r="B988" s="19"/>
      <c r="C988" s="19"/>
      <c r="D988" s="19"/>
      <c r="E988" s="20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>
      <c r="A989" s="19"/>
      <c r="B989" s="19"/>
      <c r="C989" s="19"/>
      <c r="D989" s="19"/>
      <c r="E989" s="20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>
      <c r="A990" s="19"/>
      <c r="B990" s="19"/>
      <c r="C990" s="19"/>
      <c r="D990" s="19"/>
      <c r="E990" s="20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>
      <c r="A991" s="19"/>
      <c r="B991" s="19"/>
      <c r="C991" s="19"/>
      <c r="D991" s="19"/>
      <c r="E991" s="20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>
      <c r="A992" s="19"/>
      <c r="B992" s="19"/>
      <c r="C992" s="19"/>
      <c r="D992" s="19"/>
      <c r="E992" s="20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>
      <c r="A993" s="19"/>
      <c r="B993" s="19"/>
      <c r="C993" s="19"/>
      <c r="D993" s="19"/>
      <c r="E993" s="20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>
      <c r="A994" s="19"/>
      <c r="B994" s="19"/>
      <c r="C994" s="19"/>
      <c r="D994" s="19"/>
      <c r="E994" s="20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>
      <c r="A995" s="19"/>
      <c r="B995" s="19"/>
      <c r="C995" s="19"/>
      <c r="D995" s="19"/>
      <c r="E995" s="20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>
      <c r="A996" s="19"/>
      <c r="B996" s="19"/>
      <c r="C996" s="19"/>
      <c r="D996" s="19"/>
      <c r="E996" s="20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>
      <c r="A997" s="19"/>
      <c r="B997" s="19"/>
      <c r="C997" s="19"/>
      <c r="D997" s="19"/>
      <c r="E997" s="20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>
      <c r="A998" s="19"/>
      <c r="B998" s="19"/>
      <c r="C998" s="19"/>
      <c r="D998" s="19"/>
      <c r="E998" s="20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75" customHeight="1">
      <c r="A999" s="19"/>
      <c r="B999" s="19"/>
      <c r="C999" s="19"/>
      <c r="D999" s="19"/>
      <c r="E999" s="20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75" customHeight="1">
      <c r="A1000" s="19"/>
      <c r="B1000" s="19"/>
      <c r="C1000" s="19"/>
      <c r="D1000" s="19"/>
      <c r="E1000" s="20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4">
    <mergeCell ref="B6:E6"/>
    <mergeCell ref="B24:E24"/>
    <mergeCell ref="B45:E45"/>
    <mergeCell ref="B64:B66"/>
  </mergeCell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4.5" defaultRowHeight="15" customHeight="1"/>
  <cols>
    <col min="1" max="1" width="10.1640625" customWidth="1"/>
    <col min="2" max="2" width="18.5" customWidth="1"/>
    <col min="3" max="4" width="13.6640625" customWidth="1"/>
    <col min="5" max="5" width="21.6640625" customWidth="1"/>
    <col min="6" max="6" width="13" customWidth="1"/>
    <col min="7" max="26" width="8.6640625" customWidth="1"/>
  </cols>
  <sheetData>
    <row r="1" spans="1:26" ht="16">
      <c r="A1" s="19"/>
      <c r="B1" s="19"/>
      <c r="C1" s="19"/>
      <c r="D1" s="19"/>
      <c r="E1" s="20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8">
      <c r="A2" s="19"/>
      <c r="B2" s="21" t="s">
        <v>33</v>
      </c>
      <c r="C2" s="21"/>
      <c r="D2" s="21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6">
      <c r="A3" s="19"/>
      <c r="B3" s="19" t="s">
        <v>45</v>
      </c>
      <c r="C3" s="19"/>
      <c r="D3" s="19"/>
      <c r="E3" s="20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6">
      <c r="A4" s="19"/>
      <c r="B4" s="19"/>
      <c r="C4" s="19"/>
      <c r="D4" s="19"/>
      <c r="E4" s="20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6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25.5" customHeight="1">
      <c r="A6" s="19"/>
      <c r="B6" s="49" t="s">
        <v>35</v>
      </c>
      <c r="C6" s="50"/>
      <c r="D6" s="50"/>
      <c r="E6" s="5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6">
      <c r="A7" s="19"/>
      <c r="B7" s="22" t="s">
        <v>36</v>
      </c>
      <c r="C7" s="22" t="s">
        <v>37</v>
      </c>
      <c r="D7" s="23" t="s">
        <v>6</v>
      </c>
      <c r="E7" s="22" t="s">
        <v>7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6">
      <c r="A8" s="19"/>
      <c r="B8" s="24" t="s">
        <v>8</v>
      </c>
      <c r="C8" s="24" t="s">
        <v>9</v>
      </c>
      <c r="D8" s="25" t="s">
        <v>10</v>
      </c>
      <c r="E8" s="24" t="s">
        <v>11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6">
      <c r="A9" s="19"/>
      <c r="B9" s="26">
        <v>0</v>
      </c>
      <c r="C9" s="26">
        <v>0</v>
      </c>
      <c r="D9" s="27">
        <v>0</v>
      </c>
      <c r="E9" s="28">
        <v>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6">
      <c r="A10" s="19" t="s">
        <v>25</v>
      </c>
      <c r="B10" s="26">
        <v>16</v>
      </c>
      <c r="C10" s="29">
        <v>22</v>
      </c>
      <c r="D10" s="27">
        <f t="shared" ref="D10:D17" si="0">C10/(B10-B9)</f>
        <v>1.375</v>
      </c>
      <c r="E10" s="28">
        <f t="shared" ref="E10:E17" si="1">E9+C10</f>
        <v>22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6">
      <c r="A11" s="19"/>
      <c r="B11" s="26">
        <v>25.9</v>
      </c>
      <c r="C11" s="26">
        <v>23.5</v>
      </c>
      <c r="D11" s="27">
        <f t="shared" si="0"/>
        <v>2.3737373737373741</v>
      </c>
      <c r="E11" s="28">
        <f t="shared" si="1"/>
        <v>45.5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6">
      <c r="A12" s="19"/>
      <c r="B12" s="26">
        <v>34.700000000000003</v>
      </c>
      <c r="C12" s="26">
        <v>22.87</v>
      </c>
      <c r="D12" s="27">
        <f t="shared" si="0"/>
        <v>2.5988636363636353</v>
      </c>
      <c r="E12" s="28">
        <f t="shared" si="1"/>
        <v>68.37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6">
      <c r="A13" s="19"/>
      <c r="B13" s="26">
        <v>43.8</v>
      </c>
      <c r="C13" s="26">
        <v>24.07</v>
      </c>
      <c r="D13" s="27">
        <f t="shared" si="0"/>
        <v>2.6450549450549468</v>
      </c>
      <c r="E13" s="28">
        <f t="shared" si="1"/>
        <v>92.44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6">
      <c r="A14" s="19"/>
      <c r="B14" s="26">
        <v>53.2</v>
      </c>
      <c r="C14" s="26">
        <v>23.77</v>
      </c>
      <c r="D14" s="27">
        <f t="shared" si="0"/>
        <v>2.5287234042553175</v>
      </c>
      <c r="E14" s="28">
        <f t="shared" si="1"/>
        <v>116.21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6">
      <c r="A15" s="19"/>
      <c r="B15" s="26">
        <v>66</v>
      </c>
      <c r="C15" s="26">
        <v>26.17</v>
      </c>
      <c r="D15" s="27">
        <f t="shared" si="0"/>
        <v>2.0445312500000008</v>
      </c>
      <c r="E15" s="28">
        <f t="shared" si="1"/>
        <v>142.38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6">
      <c r="A16" s="19"/>
      <c r="B16" s="26">
        <v>86.7</v>
      </c>
      <c r="C16" s="26">
        <v>21.67</v>
      </c>
      <c r="D16" s="27">
        <f t="shared" si="0"/>
        <v>1.0468599033816424</v>
      </c>
      <c r="E16" s="28">
        <f t="shared" si="1"/>
        <v>164.05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6">
      <c r="A17" s="19"/>
      <c r="B17" s="26">
        <v>100</v>
      </c>
      <c r="C17" s="26">
        <v>4.57</v>
      </c>
      <c r="D17" s="27">
        <f t="shared" si="0"/>
        <v>0.34360902255639109</v>
      </c>
      <c r="E17" s="28">
        <f t="shared" si="1"/>
        <v>168.62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6">
      <c r="A18" s="19"/>
      <c r="B18" s="19"/>
      <c r="C18" s="31">
        <f>SUM(C9:C17)</f>
        <v>168.62</v>
      </c>
      <c r="D18" s="32" t="s">
        <v>9</v>
      </c>
      <c r="E18" s="33">
        <f>C18-C10</f>
        <v>146.62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6">
      <c r="A19" s="19"/>
      <c r="B19" s="19"/>
      <c r="C19" s="31">
        <f>C18/100</f>
        <v>1.6862000000000001</v>
      </c>
      <c r="D19" s="32" t="s">
        <v>12</v>
      </c>
      <c r="E19" s="34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6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22.5" customHeight="1">
      <c r="A24" s="19"/>
      <c r="B24" s="49" t="s">
        <v>39</v>
      </c>
      <c r="C24" s="50"/>
      <c r="D24" s="50"/>
      <c r="E24" s="51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>
      <c r="A25" s="19"/>
      <c r="B25" s="22" t="s">
        <v>36</v>
      </c>
      <c r="C25" s="22" t="s">
        <v>37</v>
      </c>
      <c r="D25" s="23" t="s">
        <v>6</v>
      </c>
      <c r="E25" s="22" t="s">
        <v>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>
      <c r="A26" s="19"/>
      <c r="B26" s="24" t="s">
        <v>8</v>
      </c>
      <c r="C26" s="24" t="s">
        <v>9</v>
      </c>
      <c r="D26" s="25" t="s">
        <v>10</v>
      </c>
      <c r="E26" s="24" t="s">
        <v>11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>
      <c r="A27" s="19"/>
      <c r="B27" s="26">
        <v>0</v>
      </c>
      <c r="C27" s="26">
        <v>0</v>
      </c>
      <c r="D27" s="27">
        <v>0</v>
      </c>
      <c r="E27" s="28">
        <v>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>
      <c r="A28" s="19" t="s">
        <v>25</v>
      </c>
      <c r="B28" s="26">
        <v>43</v>
      </c>
      <c r="C28" s="29">
        <v>184</v>
      </c>
      <c r="D28" s="27">
        <f t="shared" ref="D28:D35" si="2">C28/(B28-B27)</f>
        <v>4.2790697674418601</v>
      </c>
      <c r="E28" s="28">
        <f t="shared" ref="E28:E35" si="3">E27+C28</f>
        <v>184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>
      <c r="A29" s="19"/>
      <c r="B29" s="26">
        <v>47.2</v>
      </c>
      <c r="C29" s="26">
        <v>21.37</v>
      </c>
      <c r="D29" s="27">
        <f t="shared" si="2"/>
        <v>5.0880952380952351</v>
      </c>
      <c r="E29" s="28">
        <f t="shared" si="3"/>
        <v>205.37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>
      <c r="A30" s="19"/>
      <c r="B30" s="26">
        <v>51.7</v>
      </c>
      <c r="C30" s="26">
        <v>20.97</v>
      </c>
      <c r="D30" s="27">
        <f t="shared" si="2"/>
        <v>4.66</v>
      </c>
      <c r="E30" s="28">
        <f t="shared" si="3"/>
        <v>226.34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9"/>
      <c r="B31" s="26">
        <v>56.7</v>
      </c>
      <c r="C31" s="26">
        <v>21.37</v>
      </c>
      <c r="D31" s="27">
        <f t="shared" si="2"/>
        <v>4.274</v>
      </c>
      <c r="E31" s="28">
        <f t="shared" si="3"/>
        <v>247.71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A32" s="19"/>
      <c r="B32" s="26">
        <v>61.9</v>
      </c>
      <c r="C32" s="26">
        <v>20.77</v>
      </c>
      <c r="D32" s="27">
        <f t="shared" si="2"/>
        <v>3.9942307692307724</v>
      </c>
      <c r="E32" s="28">
        <f t="shared" si="3"/>
        <v>268.48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>
      <c r="A33" s="19"/>
      <c r="B33" s="26">
        <v>68.900000000000006</v>
      </c>
      <c r="C33" s="26">
        <v>21.97</v>
      </c>
      <c r="D33" s="27">
        <f t="shared" si="2"/>
        <v>3.1385714285714252</v>
      </c>
      <c r="E33" s="28">
        <f t="shared" si="3"/>
        <v>290.45000000000005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>
      <c r="A34" s="19"/>
      <c r="B34" s="26">
        <v>78.3</v>
      </c>
      <c r="C34" s="26">
        <v>21.07</v>
      </c>
      <c r="D34" s="27">
        <f t="shared" si="2"/>
        <v>2.2414893617021296</v>
      </c>
      <c r="E34" s="28">
        <f t="shared" si="3"/>
        <v>311.52000000000004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9"/>
      <c r="B35" s="26">
        <v>100</v>
      </c>
      <c r="C35" s="26">
        <v>17.77</v>
      </c>
      <c r="D35" s="27">
        <f t="shared" si="2"/>
        <v>0.81889400921658972</v>
      </c>
      <c r="E35" s="28">
        <f t="shared" si="3"/>
        <v>329.29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>
      <c r="A36" s="19"/>
      <c r="B36" s="19"/>
      <c r="C36" s="35">
        <f>SUM(C28:C35)</f>
        <v>329.29</v>
      </c>
      <c r="D36" s="32" t="s">
        <v>9</v>
      </c>
      <c r="E36" s="35">
        <f>C36-C28</f>
        <v>145.29000000000002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>
      <c r="A37" s="19"/>
      <c r="B37" s="19"/>
      <c r="C37" s="33">
        <f>C36/100</f>
        <v>3.2929000000000004</v>
      </c>
      <c r="D37" s="32" t="s">
        <v>12</v>
      </c>
      <c r="E37" s="34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>
      <c r="A38" s="19"/>
      <c r="B38" s="19"/>
      <c r="C38" s="19"/>
      <c r="D38" s="20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22.5" customHeight="1">
      <c r="A45" s="19"/>
      <c r="B45" s="49" t="s">
        <v>40</v>
      </c>
      <c r="C45" s="50"/>
      <c r="D45" s="50"/>
      <c r="E45" s="51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>
      <c r="A46" s="19"/>
      <c r="B46" s="22" t="s">
        <v>36</v>
      </c>
      <c r="C46" s="22" t="s">
        <v>37</v>
      </c>
      <c r="D46" s="23" t="s">
        <v>6</v>
      </c>
      <c r="E46" s="22" t="s">
        <v>7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>
      <c r="A47" s="19"/>
      <c r="B47" s="24" t="s">
        <v>8</v>
      </c>
      <c r="C47" s="24" t="s">
        <v>9</v>
      </c>
      <c r="D47" s="25" t="s">
        <v>10</v>
      </c>
      <c r="E47" s="24" t="s">
        <v>11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>
      <c r="A48" s="19"/>
      <c r="B48" s="26">
        <v>0</v>
      </c>
      <c r="C48" s="26">
        <v>0</v>
      </c>
      <c r="D48" s="27">
        <v>0</v>
      </c>
      <c r="E48" s="28">
        <v>0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>
      <c r="A49" s="19" t="s">
        <v>25</v>
      </c>
      <c r="B49" s="26">
        <v>40.4</v>
      </c>
      <c r="C49" s="29">
        <f>1.613*100</f>
        <v>161.30000000000001</v>
      </c>
      <c r="D49" s="27">
        <f t="shared" ref="D49:D56" si="4">C49/(B49-B48)</f>
        <v>3.9925742574257428</v>
      </c>
      <c r="E49" s="28">
        <f t="shared" ref="E49:E56" si="5">E48+C49</f>
        <v>161.30000000000001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>
      <c r="A50" s="19"/>
      <c r="B50" s="26">
        <v>44.4</v>
      </c>
      <c r="C50" s="26">
        <v>18.97</v>
      </c>
      <c r="D50" s="27">
        <f t="shared" si="4"/>
        <v>4.7424999999999997</v>
      </c>
      <c r="E50" s="28">
        <f t="shared" si="5"/>
        <v>180.27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>
      <c r="A51" s="19"/>
      <c r="B51" s="26">
        <v>49</v>
      </c>
      <c r="C51" s="26">
        <v>20.07</v>
      </c>
      <c r="D51" s="27">
        <f t="shared" si="4"/>
        <v>4.3630434782608685</v>
      </c>
      <c r="E51" s="28">
        <f t="shared" si="5"/>
        <v>200.34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>
      <c r="A52" s="19"/>
      <c r="B52" s="26">
        <v>54.5</v>
      </c>
      <c r="C52" s="26">
        <v>23.77</v>
      </c>
      <c r="D52" s="27">
        <f t="shared" si="4"/>
        <v>4.3218181818181813</v>
      </c>
      <c r="E52" s="28">
        <f t="shared" si="5"/>
        <v>224.11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>
      <c r="A53" s="19"/>
      <c r="B53" s="26">
        <v>60.1</v>
      </c>
      <c r="C53" s="26">
        <v>21.67</v>
      </c>
      <c r="D53" s="27">
        <f t="shared" si="4"/>
        <v>3.8696428571428565</v>
      </c>
      <c r="E53" s="28">
        <f t="shared" si="5"/>
        <v>245.78000000000003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>
      <c r="A54" s="19"/>
      <c r="B54" s="26">
        <v>66</v>
      </c>
      <c r="C54" s="26">
        <v>19.27</v>
      </c>
      <c r="D54" s="27">
        <f t="shared" si="4"/>
        <v>3.266101694915255</v>
      </c>
      <c r="E54" s="28">
        <f t="shared" si="5"/>
        <v>265.05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>
      <c r="A55" s="19"/>
      <c r="B55" s="26">
        <v>75</v>
      </c>
      <c r="C55" s="26">
        <v>21.07</v>
      </c>
      <c r="D55" s="27">
        <f t="shared" si="4"/>
        <v>2.3411111111111111</v>
      </c>
      <c r="E55" s="28">
        <f t="shared" si="5"/>
        <v>286.12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>
      <c r="A56" s="19"/>
      <c r="B56" s="26">
        <v>100</v>
      </c>
      <c r="C56" s="26">
        <v>18.97</v>
      </c>
      <c r="D56" s="27">
        <f t="shared" si="4"/>
        <v>0.75879999999999992</v>
      </c>
      <c r="E56" s="28">
        <f t="shared" si="5"/>
        <v>305.09000000000003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>
      <c r="A57" s="19"/>
      <c r="B57" s="19"/>
      <c r="C57" s="33">
        <f>SUM(C48:C56)</f>
        <v>305.09000000000003</v>
      </c>
      <c r="D57" s="32" t="s">
        <v>9</v>
      </c>
      <c r="E57" s="33">
        <f>C57-C49</f>
        <v>143.79000000000002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>
      <c r="A58" s="19"/>
      <c r="B58" s="19"/>
      <c r="C58" s="33">
        <f>C57/100</f>
        <v>3.0509000000000004</v>
      </c>
      <c r="D58" s="32" t="s">
        <v>12</v>
      </c>
      <c r="E58" s="34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A59" s="19"/>
      <c r="B59" s="19"/>
      <c r="C59" s="34"/>
      <c r="D59" s="37"/>
      <c r="E59" s="32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>
      <c r="A62" s="19"/>
      <c r="B62" s="19"/>
      <c r="C62" s="31" t="s">
        <v>26</v>
      </c>
      <c r="D62" s="31" t="s">
        <v>27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>
      <c r="A63" s="19"/>
      <c r="B63" s="33" t="s">
        <v>15</v>
      </c>
      <c r="C63" s="38">
        <f>C57+C36+C18</f>
        <v>803.00000000000011</v>
      </c>
      <c r="D63" s="28">
        <f t="shared" ref="D63:D68" si="6">C63/100</f>
        <v>8.0300000000000011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>
      <c r="A64" s="19"/>
      <c r="B64" s="52" t="s">
        <v>16</v>
      </c>
      <c r="C64" s="38">
        <f>C18-C10</f>
        <v>146.62</v>
      </c>
      <c r="D64" s="28">
        <f t="shared" si="6"/>
        <v>1.4661999999999999</v>
      </c>
      <c r="E64" s="27" t="s">
        <v>41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>
      <c r="A65" s="19"/>
      <c r="B65" s="53"/>
      <c r="C65" s="38">
        <f>C36-C28</f>
        <v>145.29000000000002</v>
      </c>
      <c r="D65" s="28">
        <f t="shared" si="6"/>
        <v>1.4529000000000003</v>
      </c>
      <c r="E65" s="27" t="s">
        <v>42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>
      <c r="A66" s="19"/>
      <c r="B66" s="54"/>
      <c r="C66" s="38">
        <f>C57-C49</f>
        <v>143.79000000000002</v>
      </c>
      <c r="D66" s="28">
        <f t="shared" si="6"/>
        <v>1.4379000000000002</v>
      </c>
      <c r="E66" s="27" t="s">
        <v>43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>
      <c r="A67" s="19"/>
      <c r="B67" s="33" t="s">
        <v>20</v>
      </c>
      <c r="C67" s="38">
        <f>C63-C68-AVERAGE(C64:C66)</f>
        <v>328.47666666666674</v>
      </c>
      <c r="D67" s="28">
        <f t="shared" si="6"/>
        <v>3.2847666666666675</v>
      </c>
      <c r="E67" s="20"/>
      <c r="F67" s="19" t="s">
        <v>44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>
      <c r="A68" s="19"/>
      <c r="B68" s="33" t="s">
        <v>21</v>
      </c>
      <c r="C68" s="38">
        <f>C36</f>
        <v>329.29</v>
      </c>
      <c r="D68" s="28">
        <f t="shared" si="6"/>
        <v>3.2929000000000004</v>
      </c>
      <c r="E68" s="20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>
      <c r="A546" s="19"/>
      <c r="B546" s="19"/>
      <c r="C546" s="19"/>
      <c r="D546" s="19"/>
      <c r="E546" s="20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>
      <c r="A547" s="19"/>
      <c r="B547" s="19"/>
      <c r="C547" s="19"/>
      <c r="D547" s="19"/>
      <c r="E547" s="20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>
      <c r="A548" s="19"/>
      <c r="B548" s="19"/>
      <c r="C548" s="19"/>
      <c r="D548" s="19"/>
      <c r="E548" s="20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>
      <c r="A549" s="19"/>
      <c r="B549" s="19"/>
      <c r="C549" s="19"/>
      <c r="D549" s="19"/>
      <c r="E549" s="20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>
      <c r="A550" s="19"/>
      <c r="B550" s="19"/>
      <c r="C550" s="19"/>
      <c r="D550" s="19"/>
      <c r="E550" s="20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>
      <c r="A551" s="19"/>
      <c r="B551" s="19"/>
      <c r="C551" s="19"/>
      <c r="D551" s="19"/>
      <c r="E551" s="20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>
      <c r="A552" s="19"/>
      <c r="B552" s="19"/>
      <c r="C552" s="19"/>
      <c r="D552" s="19"/>
      <c r="E552" s="20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>
      <c r="A553" s="19"/>
      <c r="B553" s="19"/>
      <c r="C553" s="19"/>
      <c r="D553" s="19"/>
      <c r="E553" s="20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>
      <c r="A554" s="19"/>
      <c r="B554" s="19"/>
      <c r="C554" s="19"/>
      <c r="D554" s="19"/>
      <c r="E554" s="20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>
      <c r="A555" s="19"/>
      <c r="B555" s="19"/>
      <c r="C555" s="19"/>
      <c r="D555" s="19"/>
      <c r="E555" s="20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>
      <c r="A556" s="19"/>
      <c r="B556" s="19"/>
      <c r="C556" s="19"/>
      <c r="D556" s="19"/>
      <c r="E556" s="20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>
      <c r="A557" s="19"/>
      <c r="B557" s="19"/>
      <c r="C557" s="19"/>
      <c r="D557" s="19"/>
      <c r="E557" s="20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>
      <c r="A558" s="19"/>
      <c r="B558" s="19"/>
      <c r="C558" s="19"/>
      <c r="D558" s="19"/>
      <c r="E558" s="20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>
      <c r="A559" s="19"/>
      <c r="B559" s="19"/>
      <c r="C559" s="19"/>
      <c r="D559" s="19"/>
      <c r="E559" s="20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>
      <c r="A560" s="19"/>
      <c r="B560" s="19"/>
      <c r="C560" s="19"/>
      <c r="D560" s="19"/>
      <c r="E560" s="20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>
      <c r="A561" s="19"/>
      <c r="B561" s="19"/>
      <c r="C561" s="19"/>
      <c r="D561" s="19"/>
      <c r="E561" s="20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>
      <c r="A562" s="19"/>
      <c r="B562" s="19"/>
      <c r="C562" s="19"/>
      <c r="D562" s="19"/>
      <c r="E562" s="20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>
      <c r="A563" s="19"/>
      <c r="B563" s="19"/>
      <c r="C563" s="19"/>
      <c r="D563" s="19"/>
      <c r="E563" s="20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>
      <c r="A564" s="19"/>
      <c r="B564" s="19"/>
      <c r="C564" s="19"/>
      <c r="D564" s="19"/>
      <c r="E564" s="20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>
      <c r="A565" s="19"/>
      <c r="B565" s="19"/>
      <c r="C565" s="19"/>
      <c r="D565" s="19"/>
      <c r="E565" s="20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>
      <c r="A566" s="19"/>
      <c r="B566" s="19"/>
      <c r="C566" s="19"/>
      <c r="D566" s="19"/>
      <c r="E566" s="20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>
      <c r="A567" s="19"/>
      <c r="B567" s="19"/>
      <c r="C567" s="19"/>
      <c r="D567" s="19"/>
      <c r="E567" s="20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>
      <c r="A568" s="19"/>
      <c r="B568" s="19"/>
      <c r="C568" s="19"/>
      <c r="D568" s="19"/>
      <c r="E568" s="20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>
      <c r="A569" s="19"/>
      <c r="B569" s="19"/>
      <c r="C569" s="19"/>
      <c r="D569" s="19"/>
      <c r="E569" s="20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>
      <c r="A570" s="19"/>
      <c r="B570" s="19"/>
      <c r="C570" s="19"/>
      <c r="D570" s="19"/>
      <c r="E570" s="20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>
      <c r="A571" s="19"/>
      <c r="B571" s="19"/>
      <c r="C571" s="19"/>
      <c r="D571" s="19"/>
      <c r="E571" s="20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>
      <c r="A572" s="19"/>
      <c r="B572" s="19"/>
      <c r="C572" s="19"/>
      <c r="D572" s="19"/>
      <c r="E572" s="20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>
      <c r="A573" s="19"/>
      <c r="B573" s="19"/>
      <c r="C573" s="19"/>
      <c r="D573" s="19"/>
      <c r="E573" s="20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>
      <c r="A574" s="19"/>
      <c r="B574" s="19"/>
      <c r="C574" s="19"/>
      <c r="D574" s="19"/>
      <c r="E574" s="20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>
      <c r="A575" s="19"/>
      <c r="B575" s="19"/>
      <c r="C575" s="19"/>
      <c r="D575" s="19"/>
      <c r="E575" s="20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>
      <c r="A576" s="19"/>
      <c r="B576" s="19"/>
      <c r="C576" s="19"/>
      <c r="D576" s="19"/>
      <c r="E576" s="20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>
      <c r="A577" s="19"/>
      <c r="B577" s="19"/>
      <c r="C577" s="19"/>
      <c r="D577" s="19"/>
      <c r="E577" s="20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>
      <c r="A578" s="19"/>
      <c r="B578" s="19"/>
      <c r="C578" s="19"/>
      <c r="D578" s="19"/>
      <c r="E578" s="20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>
      <c r="A579" s="19"/>
      <c r="B579" s="19"/>
      <c r="C579" s="19"/>
      <c r="D579" s="19"/>
      <c r="E579" s="20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>
      <c r="A580" s="19"/>
      <c r="B580" s="19"/>
      <c r="C580" s="19"/>
      <c r="D580" s="19"/>
      <c r="E580" s="20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>
      <c r="A581" s="19"/>
      <c r="B581" s="19"/>
      <c r="C581" s="19"/>
      <c r="D581" s="19"/>
      <c r="E581" s="20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>
      <c r="A582" s="19"/>
      <c r="B582" s="19"/>
      <c r="C582" s="19"/>
      <c r="D582" s="19"/>
      <c r="E582" s="20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>
      <c r="A583" s="19"/>
      <c r="B583" s="19"/>
      <c r="C583" s="19"/>
      <c r="D583" s="19"/>
      <c r="E583" s="20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>
      <c r="A584" s="19"/>
      <c r="B584" s="19"/>
      <c r="C584" s="19"/>
      <c r="D584" s="19"/>
      <c r="E584" s="20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>
      <c r="A585" s="19"/>
      <c r="B585" s="19"/>
      <c r="C585" s="19"/>
      <c r="D585" s="19"/>
      <c r="E585" s="20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>
      <c r="A586" s="19"/>
      <c r="B586" s="19"/>
      <c r="C586" s="19"/>
      <c r="D586" s="19"/>
      <c r="E586" s="20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>
      <c r="A587" s="19"/>
      <c r="B587" s="19"/>
      <c r="C587" s="19"/>
      <c r="D587" s="19"/>
      <c r="E587" s="20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>
      <c r="A588" s="19"/>
      <c r="B588" s="19"/>
      <c r="C588" s="19"/>
      <c r="D588" s="19"/>
      <c r="E588" s="20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>
      <c r="A589" s="19"/>
      <c r="B589" s="19"/>
      <c r="C589" s="19"/>
      <c r="D589" s="19"/>
      <c r="E589" s="20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>
      <c r="A590" s="19"/>
      <c r="B590" s="19"/>
      <c r="C590" s="19"/>
      <c r="D590" s="19"/>
      <c r="E590" s="20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>
      <c r="A591" s="19"/>
      <c r="B591" s="19"/>
      <c r="C591" s="19"/>
      <c r="D591" s="19"/>
      <c r="E591" s="20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>
      <c r="A592" s="19"/>
      <c r="B592" s="19"/>
      <c r="C592" s="19"/>
      <c r="D592" s="19"/>
      <c r="E592" s="20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>
      <c r="A593" s="19"/>
      <c r="B593" s="19"/>
      <c r="C593" s="19"/>
      <c r="D593" s="19"/>
      <c r="E593" s="20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>
      <c r="A594" s="19"/>
      <c r="B594" s="19"/>
      <c r="C594" s="19"/>
      <c r="D594" s="19"/>
      <c r="E594" s="20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>
      <c r="A595" s="19"/>
      <c r="B595" s="19"/>
      <c r="C595" s="19"/>
      <c r="D595" s="19"/>
      <c r="E595" s="20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>
      <c r="A596" s="19"/>
      <c r="B596" s="19"/>
      <c r="C596" s="19"/>
      <c r="D596" s="19"/>
      <c r="E596" s="20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>
      <c r="A597" s="19"/>
      <c r="B597" s="19"/>
      <c r="C597" s="19"/>
      <c r="D597" s="19"/>
      <c r="E597" s="20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>
      <c r="A598" s="19"/>
      <c r="B598" s="19"/>
      <c r="C598" s="19"/>
      <c r="D598" s="19"/>
      <c r="E598" s="20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>
      <c r="A599" s="19"/>
      <c r="B599" s="19"/>
      <c r="C599" s="19"/>
      <c r="D599" s="19"/>
      <c r="E599" s="20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>
      <c r="A600" s="19"/>
      <c r="B600" s="19"/>
      <c r="C600" s="19"/>
      <c r="D600" s="19"/>
      <c r="E600" s="20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>
      <c r="A601" s="19"/>
      <c r="B601" s="19"/>
      <c r="C601" s="19"/>
      <c r="D601" s="19"/>
      <c r="E601" s="20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>
      <c r="A602" s="19"/>
      <c r="B602" s="19"/>
      <c r="C602" s="19"/>
      <c r="D602" s="19"/>
      <c r="E602" s="20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>
      <c r="A603" s="19"/>
      <c r="B603" s="19"/>
      <c r="C603" s="19"/>
      <c r="D603" s="19"/>
      <c r="E603" s="20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>
      <c r="A604" s="19"/>
      <c r="B604" s="19"/>
      <c r="C604" s="19"/>
      <c r="D604" s="19"/>
      <c r="E604" s="20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>
      <c r="A605" s="19"/>
      <c r="B605" s="19"/>
      <c r="C605" s="19"/>
      <c r="D605" s="19"/>
      <c r="E605" s="20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>
      <c r="A606" s="19"/>
      <c r="B606" s="19"/>
      <c r="C606" s="19"/>
      <c r="D606" s="19"/>
      <c r="E606" s="20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>
      <c r="A607" s="19"/>
      <c r="B607" s="19"/>
      <c r="C607" s="19"/>
      <c r="D607" s="19"/>
      <c r="E607" s="20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>
      <c r="A608" s="19"/>
      <c r="B608" s="19"/>
      <c r="C608" s="19"/>
      <c r="D608" s="19"/>
      <c r="E608" s="20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>
      <c r="A609" s="19"/>
      <c r="B609" s="19"/>
      <c r="C609" s="19"/>
      <c r="D609" s="19"/>
      <c r="E609" s="20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>
      <c r="A610" s="19"/>
      <c r="B610" s="19"/>
      <c r="C610" s="19"/>
      <c r="D610" s="19"/>
      <c r="E610" s="20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>
      <c r="A611" s="19"/>
      <c r="B611" s="19"/>
      <c r="C611" s="19"/>
      <c r="D611" s="19"/>
      <c r="E611" s="20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>
      <c r="A612" s="19"/>
      <c r="B612" s="19"/>
      <c r="C612" s="19"/>
      <c r="D612" s="19"/>
      <c r="E612" s="20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>
      <c r="A613" s="19"/>
      <c r="B613" s="19"/>
      <c r="C613" s="19"/>
      <c r="D613" s="19"/>
      <c r="E613" s="20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>
      <c r="A614" s="19"/>
      <c r="B614" s="19"/>
      <c r="C614" s="19"/>
      <c r="D614" s="19"/>
      <c r="E614" s="20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>
      <c r="A615" s="19"/>
      <c r="B615" s="19"/>
      <c r="C615" s="19"/>
      <c r="D615" s="19"/>
      <c r="E615" s="20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>
      <c r="A616" s="19"/>
      <c r="B616" s="19"/>
      <c r="C616" s="19"/>
      <c r="D616" s="19"/>
      <c r="E616" s="20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>
      <c r="A617" s="19"/>
      <c r="B617" s="19"/>
      <c r="C617" s="19"/>
      <c r="D617" s="19"/>
      <c r="E617" s="20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>
      <c r="A618" s="19"/>
      <c r="B618" s="19"/>
      <c r="C618" s="19"/>
      <c r="D618" s="19"/>
      <c r="E618" s="20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>
      <c r="A619" s="19"/>
      <c r="B619" s="19"/>
      <c r="C619" s="19"/>
      <c r="D619" s="19"/>
      <c r="E619" s="20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>
      <c r="A620" s="19"/>
      <c r="B620" s="19"/>
      <c r="C620" s="19"/>
      <c r="D620" s="19"/>
      <c r="E620" s="20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>
      <c r="A621" s="19"/>
      <c r="B621" s="19"/>
      <c r="C621" s="19"/>
      <c r="D621" s="19"/>
      <c r="E621" s="20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>
      <c r="A622" s="19"/>
      <c r="B622" s="19"/>
      <c r="C622" s="19"/>
      <c r="D622" s="19"/>
      <c r="E622" s="20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>
      <c r="A623" s="19"/>
      <c r="B623" s="19"/>
      <c r="C623" s="19"/>
      <c r="D623" s="19"/>
      <c r="E623" s="20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>
      <c r="A624" s="19"/>
      <c r="B624" s="19"/>
      <c r="C624" s="19"/>
      <c r="D624" s="19"/>
      <c r="E624" s="20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>
      <c r="A625" s="19"/>
      <c r="B625" s="19"/>
      <c r="C625" s="19"/>
      <c r="D625" s="19"/>
      <c r="E625" s="20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>
      <c r="A626" s="19"/>
      <c r="B626" s="19"/>
      <c r="C626" s="19"/>
      <c r="D626" s="19"/>
      <c r="E626" s="20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>
      <c r="A627" s="19"/>
      <c r="B627" s="19"/>
      <c r="C627" s="19"/>
      <c r="D627" s="19"/>
      <c r="E627" s="20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>
      <c r="A628" s="19"/>
      <c r="B628" s="19"/>
      <c r="C628" s="19"/>
      <c r="D628" s="19"/>
      <c r="E628" s="20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>
      <c r="A629" s="19"/>
      <c r="B629" s="19"/>
      <c r="C629" s="19"/>
      <c r="D629" s="19"/>
      <c r="E629" s="20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>
      <c r="A630" s="19"/>
      <c r="B630" s="19"/>
      <c r="C630" s="19"/>
      <c r="D630" s="19"/>
      <c r="E630" s="20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>
      <c r="A631" s="19"/>
      <c r="B631" s="19"/>
      <c r="C631" s="19"/>
      <c r="D631" s="19"/>
      <c r="E631" s="20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>
      <c r="A632" s="19"/>
      <c r="B632" s="19"/>
      <c r="C632" s="19"/>
      <c r="D632" s="19"/>
      <c r="E632" s="20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>
      <c r="A633" s="19"/>
      <c r="B633" s="19"/>
      <c r="C633" s="19"/>
      <c r="D633" s="19"/>
      <c r="E633" s="20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>
      <c r="A634" s="19"/>
      <c r="B634" s="19"/>
      <c r="C634" s="19"/>
      <c r="D634" s="19"/>
      <c r="E634" s="20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>
      <c r="A635" s="19"/>
      <c r="B635" s="19"/>
      <c r="C635" s="19"/>
      <c r="D635" s="19"/>
      <c r="E635" s="20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>
      <c r="A636" s="19"/>
      <c r="B636" s="19"/>
      <c r="C636" s="19"/>
      <c r="D636" s="19"/>
      <c r="E636" s="20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>
      <c r="A637" s="19"/>
      <c r="B637" s="19"/>
      <c r="C637" s="19"/>
      <c r="D637" s="19"/>
      <c r="E637" s="20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>
      <c r="A638" s="19"/>
      <c r="B638" s="19"/>
      <c r="C638" s="19"/>
      <c r="D638" s="19"/>
      <c r="E638" s="20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>
      <c r="A639" s="19"/>
      <c r="B639" s="19"/>
      <c r="C639" s="19"/>
      <c r="D639" s="19"/>
      <c r="E639" s="20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>
      <c r="A640" s="19"/>
      <c r="B640" s="19"/>
      <c r="C640" s="19"/>
      <c r="D640" s="19"/>
      <c r="E640" s="20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>
      <c r="A641" s="19"/>
      <c r="B641" s="19"/>
      <c r="C641" s="19"/>
      <c r="D641" s="19"/>
      <c r="E641" s="20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>
      <c r="A642" s="19"/>
      <c r="B642" s="19"/>
      <c r="C642" s="19"/>
      <c r="D642" s="19"/>
      <c r="E642" s="20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>
      <c r="A643" s="19"/>
      <c r="B643" s="19"/>
      <c r="C643" s="19"/>
      <c r="D643" s="19"/>
      <c r="E643" s="20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>
      <c r="A644" s="19"/>
      <c r="B644" s="19"/>
      <c r="C644" s="19"/>
      <c r="D644" s="19"/>
      <c r="E644" s="20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>
      <c r="A645" s="19"/>
      <c r="B645" s="19"/>
      <c r="C645" s="19"/>
      <c r="D645" s="19"/>
      <c r="E645" s="20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>
      <c r="A646" s="19"/>
      <c r="B646" s="19"/>
      <c r="C646" s="19"/>
      <c r="D646" s="19"/>
      <c r="E646" s="20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>
      <c r="A647" s="19"/>
      <c r="B647" s="19"/>
      <c r="C647" s="19"/>
      <c r="D647" s="19"/>
      <c r="E647" s="20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>
      <c r="A648" s="19"/>
      <c r="B648" s="19"/>
      <c r="C648" s="19"/>
      <c r="D648" s="19"/>
      <c r="E648" s="20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>
      <c r="A649" s="19"/>
      <c r="B649" s="19"/>
      <c r="C649" s="19"/>
      <c r="D649" s="19"/>
      <c r="E649" s="20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>
      <c r="A650" s="19"/>
      <c r="B650" s="19"/>
      <c r="C650" s="19"/>
      <c r="D650" s="19"/>
      <c r="E650" s="20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>
      <c r="A651" s="19"/>
      <c r="B651" s="19"/>
      <c r="C651" s="19"/>
      <c r="D651" s="19"/>
      <c r="E651" s="20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>
      <c r="A652" s="19"/>
      <c r="B652" s="19"/>
      <c r="C652" s="19"/>
      <c r="D652" s="19"/>
      <c r="E652" s="20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>
      <c r="A653" s="19"/>
      <c r="B653" s="19"/>
      <c r="C653" s="19"/>
      <c r="D653" s="19"/>
      <c r="E653" s="20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>
      <c r="A654" s="19"/>
      <c r="B654" s="19"/>
      <c r="C654" s="19"/>
      <c r="D654" s="19"/>
      <c r="E654" s="20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>
      <c r="A655" s="19"/>
      <c r="B655" s="19"/>
      <c r="C655" s="19"/>
      <c r="D655" s="19"/>
      <c r="E655" s="20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>
      <c r="A656" s="19"/>
      <c r="B656" s="19"/>
      <c r="C656" s="19"/>
      <c r="D656" s="19"/>
      <c r="E656" s="20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>
      <c r="A657" s="19"/>
      <c r="B657" s="19"/>
      <c r="C657" s="19"/>
      <c r="D657" s="19"/>
      <c r="E657" s="20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>
      <c r="A658" s="19"/>
      <c r="B658" s="19"/>
      <c r="C658" s="19"/>
      <c r="D658" s="19"/>
      <c r="E658" s="20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>
      <c r="A659" s="19"/>
      <c r="B659" s="19"/>
      <c r="C659" s="19"/>
      <c r="D659" s="19"/>
      <c r="E659" s="20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>
      <c r="A660" s="19"/>
      <c r="B660" s="19"/>
      <c r="C660" s="19"/>
      <c r="D660" s="19"/>
      <c r="E660" s="20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>
      <c r="A661" s="19"/>
      <c r="B661" s="19"/>
      <c r="C661" s="19"/>
      <c r="D661" s="19"/>
      <c r="E661" s="20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>
      <c r="A662" s="19"/>
      <c r="B662" s="19"/>
      <c r="C662" s="19"/>
      <c r="D662" s="19"/>
      <c r="E662" s="20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>
      <c r="A663" s="19"/>
      <c r="B663" s="19"/>
      <c r="C663" s="19"/>
      <c r="D663" s="19"/>
      <c r="E663" s="20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>
      <c r="A664" s="19"/>
      <c r="B664" s="19"/>
      <c r="C664" s="19"/>
      <c r="D664" s="19"/>
      <c r="E664" s="20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>
      <c r="A665" s="19"/>
      <c r="B665" s="19"/>
      <c r="C665" s="19"/>
      <c r="D665" s="19"/>
      <c r="E665" s="20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>
      <c r="A666" s="19"/>
      <c r="B666" s="19"/>
      <c r="C666" s="19"/>
      <c r="D666" s="19"/>
      <c r="E666" s="20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>
      <c r="A667" s="19"/>
      <c r="B667" s="19"/>
      <c r="C667" s="19"/>
      <c r="D667" s="19"/>
      <c r="E667" s="20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>
      <c r="A668" s="19"/>
      <c r="B668" s="19"/>
      <c r="C668" s="19"/>
      <c r="D668" s="19"/>
      <c r="E668" s="20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>
      <c r="A669" s="19"/>
      <c r="B669" s="19"/>
      <c r="C669" s="19"/>
      <c r="D669" s="19"/>
      <c r="E669" s="20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>
      <c r="A670" s="19"/>
      <c r="B670" s="19"/>
      <c r="C670" s="19"/>
      <c r="D670" s="19"/>
      <c r="E670" s="20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>
      <c r="A671" s="19"/>
      <c r="B671" s="19"/>
      <c r="C671" s="19"/>
      <c r="D671" s="19"/>
      <c r="E671" s="20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>
      <c r="A672" s="19"/>
      <c r="B672" s="19"/>
      <c r="C672" s="19"/>
      <c r="D672" s="19"/>
      <c r="E672" s="20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>
      <c r="A673" s="19"/>
      <c r="B673" s="19"/>
      <c r="C673" s="19"/>
      <c r="D673" s="19"/>
      <c r="E673" s="20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>
      <c r="A674" s="19"/>
      <c r="B674" s="19"/>
      <c r="C674" s="19"/>
      <c r="D674" s="19"/>
      <c r="E674" s="20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>
      <c r="A675" s="19"/>
      <c r="B675" s="19"/>
      <c r="C675" s="19"/>
      <c r="D675" s="19"/>
      <c r="E675" s="20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>
      <c r="A676" s="19"/>
      <c r="B676" s="19"/>
      <c r="C676" s="19"/>
      <c r="D676" s="19"/>
      <c r="E676" s="20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>
      <c r="A677" s="19"/>
      <c r="B677" s="19"/>
      <c r="C677" s="19"/>
      <c r="D677" s="19"/>
      <c r="E677" s="20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>
      <c r="A678" s="19"/>
      <c r="B678" s="19"/>
      <c r="C678" s="19"/>
      <c r="D678" s="19"/>
      <c r="E678" s="20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>
      <c r="A679" s="19"/>
      <c r="B679" s="19"/>
      <c r="C679" s="19"/>
      <c r="D679" s="19"/>
      <c r="E679" s="20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>
      <c r="A680" s="19"/>
      <c r="B680" s="19"/>
      <c r="C680" s="19"/>
      <c r="D680" s="19"/>
      <c r="E680" s="20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>
      <c r="A681" s="19"/>
      <c r="B681" s="19"/>
      <c r="C681" s="19"/>
      <c r="D681" s="19"/>
      <c r="E681" s="20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>
      <c r="A682" s="19"/>
      <c r="B682" s="19"/>
      <c r="C682" s="19"/>
      <c r="D682" s="19"/>
      <c r="E682" s="20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>
      <c r="A683" s="19"/>
      <c r="B683" s="19"/>
      <c r="C683" s="19"/>
      <c r="D683" s="19"/>
      <c r="E683" s="20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>
      <c r="A684" s="19"/>
      <c r="B684" s="19"/>
      <c r="C684" s="19"/>
      <c r="D684" s="19"/>
      <c r="E684" s="20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>
      <c r="A685" s="19"/>
      <c r="B685" s="19"/>
      <c r="C685" s="19"/>
      <c r="D685" s="19"/>
      <c r="E685" s="20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>
      <c r="A686" s="19"/>
      <c r="B686" s="19"/>
      <c r="C686" s="19"/>
      <c r="D686" s="19"/>
      <c r="E686" s="20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>
      <c r="A687" s="19"/>
      <c r="B687" s="19"/>
      <c r="C687" s="19"/>
      <c r="D687" s="19"/>
      <c r="E687" s="20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>
      <c r="A688" s="19"/>
      <c r="B688" s="19"/>
      <c r="C688" s="19"/>
      <c r="D688" s="19"/>
      <c r="E688" s="20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>
      <c r="A689" s="19"/>
      <c r="B689" s="19"/>
      <c r="C689" s="19"/>
      <c r="D689" s="19"/>
      <c r="E689" s="20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>
      <c r="A690" s="19"/>
      <c r="B690" s="19"/>
      <c r="C690" s="19"/>
      <c r="D690" s="19"/>
      <c r="E690" s="20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>
      <c r="A691" s="19"/>
      <c r="B691" s="19"/>
      <c r="C691" s="19"/>
      <c r="D691" s="19"/>
      <c r="E691" s="20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>
      <c r="A692" s="19"/>
      <c r="B692" s="19"/>
      <c r="C692" s="19"/>
      <c r="D692" s="19"/>
      <c r="E692" s="20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>
      <c r="A693" s="19"/>
      <c r="B693" s="19"/>
      <c r="C693" s="19"/>
      <c r="D693" s="19"/>
      <c r="E693" s="20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>
      <c r="A694" s="19"/>
      <c r="B694" s="19"/>
      <c r="C694" s="19"/>
      <c r="D694" s="19"/>
      <c r="E694" s="20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>
      <c r="A695" s="19"/>
      <c r="B695" s="19"/>
      <c r="C695" s="19"/>
      <c r="D695" s="19"/>
      <c r="E695" s="20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>
      <c r="A696" s="19"/>
      <c r="B696" s="19"/>
      <c r="C696" s="19"/>
      <c r="D696" s="19"/>
      <c r="E696" s="20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>
      <c r="A697" s="19"/>
      <c r="B697" s="19"/>
      <c r="C697" s="19"/>
      <c r="D697" s="19"/>
      <c r="E697" s="20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>
      <c r="A698" s="19"/>
      <c r="B698" s="19"/>
      <c r="C698" s="19"/>
      <c r="D698" s="19"/>
      <c r="E698" s="20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>
      <c r="A699" s="19"/>
      <c r="B699" s="19"/>
      <c r="C699" s="19"/>
      <c r="D699" s="19"/>
      <c r="E699" s="20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>
      <c r="A700" s="19"/>
      <c r="B700" s="19"/>
      <c r="C700" s="19"/>
      <c r="D700" s="19"/>
      <c r="E700" s="20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>
      <c r="A701" s="19"/>
      <c r="B701" s="19"/>
      <c r="C701" s="19"/>
      <c r="D701" s="19"/>
      <c r="E701" s="20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>
      <c r="A702" s="19"/>
      <c r="B702" s="19"/>
      <c r="C702" s="19"/>
      <c r="D702" s="19"/>
      <c r="E702" s="20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>
      <c r="A703" s="19"/>
      <c r="B703" s="19"/>
      <c r="C703" s="19"/>
      <c r="D703" s="19"/>
      <c r="E703" s="20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>
      <c r="A704" s="19"/>
      <c r="B704" s="19"/>
      <c r="C704" s="19"/>
      <c r="D704" s="19"/>
      <c r="E704" s="20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>
      <c r="A705" s="19"/>
      <c r="B705" s="19"/>
      <c r="C705" s="19"/>
      <c r="D705" s="19"/>
      <c r="E705" s="20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>
      <c r="A706" s="19"/>
      <c r="B706" s="19"/>
      <c r="C706" s="19"/>
      <c r="D706" s="19"/>
      <c r="E706" s="20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>
      <c r="A707" s="19"/>
      <c r="B707" s="19"/>
      <c r="C707" s="19"/>
      <c r="D707" s="19"/>
      <c r="E707" s="20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>
      <c r="A708" s="19"/>
      <c r="B708" s="19"/>
      <c r="C708" s="19"/>
      <c r="D708" s="19"/>
      <c r="E708" s="20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>
      <c r="A709" s="19"/>
      <c r="B709" s="19"/>
      <c r="C709" s="19"/>
      <c r="D709" s="19"/>
      <c r="E709" s="20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>
      <c r="A710" s="19"/>
      <c r="B710" s="19"/>
      <c r="C710" s="19"/>
      <c r="D710" s="19"/>
      <c r="E710" s="20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>
      <c r="A711" s="19"/>
      <c r="B711" s="19"/>
      <c r="C711" s="19"/>
      <c r="D711" s="19"/>
      <c r="E711" s="20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>
      <c r="A712" s="19"/>
      <c r="B712" s="19"/>
      <c r="C712" s="19"/>
      <c r="D712" s="19"/>
      <c r="E712" s="20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>
      <c r="A713" s="19"/>
      <c r="B713" s="19"/>
      <c r="C713" s="19"/>
      <c r="D713" s="19"/>
      <c r="E713" s="20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>
      <c r="A714" s="19"/>
      <c r="B714" s="19"/>
      <c r="C714" s="19"/>
      <c r="D714" s="19"/>
      <c r="E714" s="20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>
      <c r="A715" s="19"/>
      <c r="B715" s="19"/>
      <c r="C715" s="19"/>
      <c r="D715" s="19"/>
      <c r="E715" s="20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>
      <c r="A716" s="19"/>
      <c r="B716" s="19"/>
      <c r="C716" s="19"/>
      <c r="D716" s="19"/>
      <c r="E716" s="20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>
      <c r="A717" s="19"/>
      <c r="B717" s="19"/>
      <c r="C717" s="19"/>
      <c r="D717" s="19"/>
      <c r="E717" s="20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>
      <c r="A718" s="19"/>
      <c r="B718" s="19"/>
      <c r="C718" s="19"/>
      <c r="D718" s="19"/>
      <c r="E718" s="20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>
      <c r="A719" s="19"/>
      <c r="B719" s="19"/>
      <c r="C719" s="19"/>
      <c r="D719" s="19"/>
      <c r="E719" s="20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>
      <c r="A720" s="19"/>
      <c r="B720" s="19"/>
      <c r="C720" s="19"/>
      <c r="D720" s="19"/>
      <c r="E720" s="20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>
      <c r="A721" s="19"/>
      <c r="B721" s="19"/>
      <c r="C721" s="19"/>
      <c r="D721" s="19"/>
      <c r="E721" s="20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>
      <c r="A722" s="19"/>
      <c r="B722" s="19"/>
      <c r="C722" s="19"/>
      <c r="D722" s="19"/>
      <c r="E722" s="20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>
      <c r="A723" s="19"/>
      <c r="B723" s="19"/>
      <c r="C723" s="19"/>
      <c r="D723" s="19"/>
      <c r="E723" s="20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>
      <c r="A724" s="19"/>
      <c r="B724" s="19"/>
      <c r="C724" s="19"/>
      <c r="D724" s="19"/>
      <c r="E724" s="20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>
      <c r="A725" s="19"/>
      <c r="B725" s="19"/>
      <c r="C725" s="19"/>
      <c r="D725" s="19"/>
      <c r="E725" s="20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>
      <c r="A726" s="19"/>
      <c r="B726" s="19"/>
      <c r="C726" s="19"/>
      <c r="D726" s="19"/>
      <c r="E726" s="20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>
      <c r="A727" s="19"/>
      <c r="B727" s="19"/>
      <c r="C727" s="19"/>
      <c r="D727" s="19"/>
      <c r="E727" s="20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>
      <c r="A728" s="19"/>
      <c r="B728" s="19"/>
      <c r="C728" s="19"/>
      <c r="D728" s="19"/>
      <c r="E728" s="20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>
      <c r="A729" s="19"/>
      <c r="B729" s="19"/>
      <c r="C729" s="19"/>
      <c r="D729" s="19"/>
      <c r="E729" s="20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>
      <c r="A730" s="19"/>
      <c r="B730" s="19"/>
      <c r="C730" s="19"/>
      <c r="D730" s="19"/>
      <c r="E730" s="20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>
      <c r="A731" s="19"/>
      <c r="B731" s="19"/>
      <c r="C731" s="19"/>
      <c r="D731" s="19"/>
      <c r="E731" s="20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>
      <c r="A732" s="19"/>
      <c r="B732" s="19"/>
      <c r="C732" s="19"/>
      <c r="D732" s="19"/>
      <c r="E732" s="20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>
      <c r="A733" s="19"/>
      <c r="B733" s="19"/>
      <c r="C733" s="19"/>
      <c r="D733" s="19"/>
      <c r="E733" s="20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>
      <c r="A734" s="19"/>
      <c r="B734" s="19"/>
      <c r="C734" s="19"/>
      <c r="D734" s="19"/>
      <c r="E734" s="20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>
      <c r="A735" s="19"/>
      <c r="B735" s="19"/>
      <c r="C735" s="19"/>
      <c r="D735" s="19"/>
      <c r="E735" s="20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>
      <c r="A736" s="19"/>
      <c r="B736" s="19"/>
      <c r="C736" s="19"/>
      <c r="D736" s="19"/>
      <c r="E736" s="20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>
      <c r="A737" s="19"/>
      <c r="B737" s="19"/>
      <c r="C737" s="19"/>
      <c r="D737" s="19"/>
      <c r="E737" s="20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>
      <c r="A738" s="19"/>
      <c r="B738" s="19"/>
      <c r="C738" s="19"/>
      <c r="D738" s="19"/>
      <c r="E738" s="20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>
      <c r="A739" s="19"/>
      <c r="B739" s="19"/>
      <c r="C739" s="19"/>
      <c r="D739" s="19"/>
      <c r="E739" s="20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>
      <c r="A740" s="19"/>
      <c r="B740" s="19"/>
      <c r="C740" s="19"/>
      <c r="D740" s="19"/>
      <c r="E740" s="20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>
      <c r="A741" s="19"/>
      <c r="B741" s="19"/>
      <c r="C741" s="19"/>
      <c r="D741" s="19"/>
      <c r="E741" s="20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>
      <c r="A742" s="19"/>
      <c r="B742" s="19"/>
      <c r="C742" s="19"/>
      <c r="D742" s="19"/>
      <c r="E742" s="20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>
      <c r="A743" s="19"/>
      <c r="B743" s="19"/>
      <c r="C743" s="19"/>
      <c r="D743" s="19"/>
      <c r="E743" s="20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>
      <c r="A744" s="19"/>
      <c r="B744" s="19"/>
      <c r="C744" s="19"/>
      <c r="D744" s="19"/>
      <c r="E744" s="20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>
      <c r="A745" s="19"/>
      <c r="B745" s="19"/>
      <c r="C745" s="19"/>
      <c r="D745" s="19"/>
      <c r="E745" s="20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>
      <c r="A746" s="19"/>
      <c r="B746" s="19"/>
      <c r="C746" s="19"/>
      <c r="D746" s="19"/>
      <c r="E746" s="20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>
      <c r="A747" s="19"/>
      <c r="B747" s="19"/>
      <c r="C747" s="19"/>
      <c r="D747" s="19"/>
      <c r="E747" s="20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>
      <c r="A748" s="19"/>
      <c r="B748" s="19"/>
      <c r="C748" s="19"/>
      <c r="D748" s="19"/>
      <c r="E748" s="20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>
      <c r="A749" s="19"/>
      <c r="B749" s="19"/>
      <c r="C749" s="19"/>
      <c r="D749" s="19"/>
      <c r="E749" s="20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>
      <c r="A750" s="19"/>
      <c r="B750" s="19"/>
      <c r="C750" s="19"/>
      <c r="D750" s="19"/>
      <c r="E750" s="20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>
      <c r="A751" s="19"/>
      <c r="B751" s="19"/>
      <c r="C751" s="19"/>
      <c r="D751" s="19"/>
      <c r="E751" s="20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>
      <c r="A752" s="19"/>
      <c r="B752" s="19"/>
      <c r="C752" s="19"/>
      <c r="D752" s="19"/>
      <c r="E752" s="20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>
      <c r="A753" s="19"/>
      <c r="B753" s="19"/>
      <c r="C753" s="19"/>
      <c r="D753" s="19"/>
      <c r="E753" s="20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>
      <c r="A754" s="19"/>
      <c r="B754" s="19"/>
      <c r="C754" s="19"/>
      <c r="D754" s="19"/>
      <c r="E754" s="20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>
      <c r="A755" s="19"/>
      <c r="B755" s="19"/>
      <c r="C755" s="19"/>
      <c r="D755" s="19"/>
      <c r="E755" s="20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>
      <c r="A756" s="19"/>
      <c r="B756" s="19"/>
      <c r="C756" s="19"/>
      <c r="D756" s="19"/>
      <c r="E756" s="20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>
      <c r="A757" s="19"/>
      <c r="B757" s="19"/>
      <c r="C757" s="19"/>
      <c r="D757" s="19"/>
      <c r="E757" s="20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>
      <c r="A758" s="19"/>
      <c r="B758" s="19"/>
      <c r="C758" s="19"/>
      <c r="D758" s="19"/>
      <c r="E758" s="20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>
      <c r="A759" s="19"/>
      <c r="B759" s="19"/>
      <c r="C759" s="19"/>
      <c r="D759" s="19"/>
      <c r="E759" s="20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>
      <c r="A760" s="19"/>
      <c r="B760" s="19"/>
      <c r="C760" s="19"/>
      <c r="D760" s="19"/>
      <c r="E760" s="20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>
      <c r="A761" s="19"/>
      <c r="B761" s="19"/>
      <c r="C761" s="19"/>
      <c r="D761" s="19"/>
      <c r="E761" s="20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>
      <c r="A762" s="19"/>
      <c r="B762" s="19"/>
      <c r="C762" s="19"/>
      <c r="D762" s="19"/>
      <c r="E762" s="20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>
      <c r="A763" s="19"/>
      <c r="B763" s="19"/>
      <c r="C763" s="19"/>
      <c r="D763" s="19"/>
      <c r="E763" s="20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>
      <c r="A764" s="19"/>
      <c r="B764" s="19"/>
      <c r="C764" s="19"/>
      <c r="D764" s="19"/>
      <c r="E764" s="20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>
      <c r="A765" s="19"/>
      <c r="B765" s="19"/>
      <c r="C765" s="19"/>
      <c r="D765" s="19"/>
      <c r="E765" s="20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>
      <c r="A766" s="19"/>
      <c r="B766" s="19"/>
      <c r="C766" s="19"/>
      <c r="D766" s="19"/>
      <c r="E766" s="20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>
      <c r="A767" s="19"/>
      <c r="B767" s="19"/>
      <c r="C767" s="19"/>
      <c r="D767" s="19"/>
      <c r="E767" s="20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>
      <c r="A768" s="19"/>
      <c r="B768" s="19"/>
      <c r="C768" s="19"/>
      <c r="D768" s="19"/>
      <c r="E768" s="20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>
      <c r="A769" s="19"/>
      <c r="B769" s="19"/>
      <c r="C769" s="19"/>
      <c r="D769" s="19"/>
      <c r="E769" s="20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>
      <c r="A770" s="19"/>
      <c r="B770" s="19"/>
      <c r="C770" s="19"/>
      <c r="D770" s="19"/>
      <c r="E770" s="20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>
      <c r="A771" s="19"/>
      <c r="B771" s="19"/>
      <c r="C771" s="19"/>
      <c r="D771" s="19"/>
      <c r="E771" s="20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>
      <c r="A772" s="19"/>
      <c r="B772" s="19"/>
      <c r="C772" s="19"/>
      <c r="D772" s="19"/>
      <c r="E772" s="20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>
      <c r="A773" s="19"/>
      <c r="B773" s="19"/>
      <c r="C773" s="19"/>
      <c r="D773" s="19"/>
      <c r="E773" s="20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>
      <c r="A774" s="19"/>
      <c r="B774" s="19"/>
      <c r="C774" s="19"/>
      <c r="D774" s="19"/>
      <c r="E774" s="20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>
      <c r="A775" s="19"/>
      <c r="B775" s="19"/>
      <c r="C775" s="19"/>
      <c r="D775" s="19"/>
      <c r="E775" s="20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>
      <c r="A776" s="19"/>
      <c r="B776" s="19"/>
      <c r="C776" s="19"/>
      <c r="D776" s="19"/>
      <c r="E776" s="20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>
      <c r="A777" s="19"/>
      <c r="B777" s="19"/>
      <c r="C777" s="19"/>
      <c r="D777" s="19"/>
      <c r="E777" s="20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>
      <c r="A778" s="19"/>
      <c r="B778" s="19"/>
      <c r="C778" s="19"/>
      <c r="D778" s="19"/>
      <c r="E778" s="20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>
      <c r="A779" s="19"/>
      <c r="B779" s="19"/>
      <c r="C779" s="19"/>
      <c r="D779" s="19"/>
      <c r="E779" s="20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>
      <c r="A780" s="19"/>
      <c r="B780" s="19"/>
      <c r="C780" s="19"/>
      <c r="D780" s="19"/>
      <c r="E780" s="20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>
      <c r="A781" s="19"/>
      <c r="B781" s="19"/>
      <c r="C781" s="19"/>
      <c r="D781" s="19"/>
      <c r="E781" s="20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>
      <c r="A782" s="19"/>
      <c r="B782" s="19"/>
      <c r="C782" s="19"/>
      <c r="D782" s="19"/>
      <c r="E782" s="20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>
      <c r="A783" s="19"/>
      <c r="B783" s="19"/>
      <c r="C783" s="19"/>
      <c r="D783" s="19"/>
      <c r="E783" s="20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>
      <c r="A784" s="19"/>
      <c r="B784" s="19"/>
      <c r="C784" s="19"/>
      <c r="D784" s="19"/>
      <c r="E784" s="20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>
      <c r="A785" s="19"/>
      <c r="B785" s="19"/>
      <c r="C785" s="19"/>
      <c r="D785" s="19"/>
      <c r="E785" s="20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>
      <c r="A786" s="19"/>
      <c r="B786" s="19"/>
      <c r="C786" s="19"/>
      <c r="D786" s="19"/>
      <c r="E786" s="20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>
      <c r="A787" s="19"/>
      <c r="B787" s="19"/>
      <c r="C787" s="19"/>
      <c r="D787" s="19"/>
      <c r="E787" s="20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>
      <c r="A788" s="19"/>
      <c r="B788" s="19"/>
      <c r="C788" s="19"/>
      <c r="D788" s="19"/>
      <c r="E788" s="20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>
      <c r="A789" s="19"/>
      <c r="B789" s="19"/>
      <c r="C789" s="19"/>
      <c r="D789" s="19"/>
      <c r="E789" s="20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>
      <c r="A790" s="19"/>
      <c r="B790" s="19"/>
      <c r="C790" s="19"/>
      <c r="D790" s="19"/>
      <c r="E790" s="20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>
      <c r="A791" s="19"/>
      <c r="B791" s="19"/>
      <c r="C791" s="19"/>
      <c r="D791" s="19"/>
      <c r="E791" s="20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>
      <c r="A792" s="19"/>
      <c r="B792" s="19"/>
      <c r="C792" s="19"/>
      <c r="D792" s="19"/>
      <c r="E792" s="20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>
      <c r="A793" s="19"/>
      <c r="B793" s="19"/>
      <c r="C793" s="19"/>
      <c r="D793" s="19"/>
      <c r="E793" s="20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>
      <c r="A794" s="19"/>
      <c r="B794" s="19"/>
      <c r="C794" s="19"/>
      <c r="D794" s="19"/>
      <c r="E794" s="20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>
      <c r="A795" s="19"/>
      <c r="B795" s="19"/>
      <c r="C795" s="19"/>
      <c r="D795" s="19"/>
      <c r="E795" s="20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>
      <c r="A796" s="19"/>
      <c r="B796" s="19"/>
      <c r="C796" s="19"/>
      <c r="D796" s="19"/>
      <c r="E796" s="20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>
      <c r="A797" s="19"/>
      <c r="B797" s="19"/>
      <c r="C797" s="19"/>
      <c r="D797" s="19"/>
      <c r="E797" s="20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>
      <c r="A798" s="19"/>
      <c r="B798" s="19"/>
      <c r="C798" s="19"/>
      <c r="D798" s="19"/>
      <c r="E798" s="20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>
      <c r="A799" s="19"/>
      <c r="B799" s="19"/>
      <c r="C799" s="19"/>
      <c r="D799" s="19"/>
      <c r="E799" s="20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>
      <c r="A800" s="19"/>
      <c r="B800" s="19"/>
      <c r="C800" s="19"/>
      <c r="D800" s="19"/>
      <c r="E800" s="20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>
      <c r="A801" s="19"/>
      <c r="B801" s="19"/>
      <c r="C801" s="19"/>
      <c r="D801" s="19"/>
      <c r="E801" s="20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>
      <c r="A802" s="19"/>
      <c r="B802" s="19"/>
      <c r="C802" s="19"/>
      <c r="D802" s="19"/>
      <c r="E802" s="20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>
      <c r="A803" s="19"/>
      <c r="B803" s="19"/>
      <c r="C803" s="19"/>
      <c r="D803" s="19"/>
      <c r="E803" s="20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>
      <c r="A804" s="19"/>
      <c r="B804" s="19"/>
      <c r="C804" s="19"/>
      <c r="D804" s="19"/>
      <c r="E804" s="20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>
      <c r="A805" s="19"/>
      <c r="B805" s="19"/>
      <c r="C805" s="19"/>
      <c r="D805" s="19"/>
      <c r="E805" s="20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>
      <c r="A806" s="19"/>
      <c r="B806" s="19"/>
      <c r="C806" s="19"/>
      <c r="D806" s="19"/>
      <c r="E806" s="20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>
      <c r="A807" s="19"/>
      <c r="B807" s="19"/>
      <c r="C807" s="19"/>
      <c r="D807" s="19"/>
      <c r="E807" s="20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>
      <c r="A808" s="19"/>
      <c r="B808" s="19"/>
      <c r="C808" s="19"/>
      <c r="D808" s="19"/>
      <c r="E808" s="20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>
      <c r="A809" s="19"/>
      <c r="B809" s="19"/>
      <c r="C809" s="19"/>
      <c r="D809" s="19"/>
      <c r="E809" s="20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>
      <c r="A810" s="19"/>
      <c r="B810" s="19"/>
      <c r="C810" s="19"/>
      <c r="D810" s="19"/>
      <c r="E810" s="20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>
      <c r="A811" s="19"/>
      <c r="B811" s="19"/>
      <c r="C811" s="19"/>
      <c r="D811" s="19"/>
      <c r="E811" s="20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>
      <c r="A812" s="19"/>
      <c r="B812" s="19"/>
      <c r="C812" s="19"/>
      <c r="D812" s="19"/>
      <c r="E812" s="20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>
      <c r="A813" s="19"/>
      <c r="B813" s="19"/>
      <c r="C813" s="19"/>
      <c r="D813" s="19"/>
      <c r="E813" s="20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>
      <c r="A814" s="19"/>
      <c r="B814" s="19"/>
      <c r="C814" s="19"/>
      <c r="D814" s="19"/>
      <c r="E814" s="20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>
      <c r="A815" s="19"/>
      <c r="B815" s="19"/>
      <c r="C815" s="19"/>
      <c r="D815" s="19"/>
      <c r="E815" s="20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>
      <c r="A816" s="19"/>
      <c r="B816" s="19"/>
      <c r="C816" s="19"/>
      <c r="D816" s="19"/>
      <c r="E816" s="20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>
      <c r="A817" s="19"/>
      <c r="B817" s="19"/>
      <c r="C817" s="19"/>
      <c r="D817" s="19"/>
      <c r="E817" s="20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>
      <c r="A818" s="19"/>
      <c r="B818" s="19"/>
      <c r="C818" s="19"/>
      <c r="D818" s="19"/>
      <c r="E818" s="20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>
      <c r="A819" s="19"/>
      <c r="B819" s="19"/>
      <c r="C819" s="19"/>
      <c r="D819" s="19"/>
      <c r="E819" s="20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>
      <c r="A820" s="19"/>
      <c r="B820" s="19"/>
      <c r="C820" s="19"/>
      <c r="D820" s="19"/>
      <c r="E820" s="20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>
      <c r="A821" s="19"/>
      <c r="B821" s="19"/>
      <c r="C821" s="19"/>
      <c r="D821" s="19"/>
      <c r="E821" s="20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>
      <c r="A822" s="19"/>
      <c r="B822" s="19"/>
      <c r="C822" s="19"/>
      <c r="D822" s="19"/>
      <c r="E822" s="20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>
      <c r="A823" s="19"/>
      <c r="B823" s="19"/>
      <c r="C823" s="19"/>
      <c r="D823" s="19"/>
      <c r="E823" s="20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>
      <c r="A824" s="19"/>
      <c r="B824" s="19"/>
      <c r="C824" s="19"/>
      <c r="D824" s="19"/>
      <c r="E824" s="20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>
      <c r="A825" s="19"/>
      <c r="B825" s="19"/>
      <c r="C825" s="19"/>
      <c r="D825" s="19"/>
      <c r="E825" s="20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>
      <c r="A826" s="19"/>
      <c r="B826" s="19"/>
      <c r="C826" s="19"/>
      <c r="D826" s="19"/>
      <c r="E826" s="20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>
      <c r="A827" s="19"/>
      <c r="B827" s="19"/>
      <c r="C827" s="19"/>
      <c r="D827" s="19"/>
      <c r="E827" s="20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>
      <c r="A828" s="19"/>
      <c r="B828" s="19"/>
      <c r="C828" s="19"/>
      <c r="D828" s="19"/>
      <c r="E828" s="20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>
      <c r="A829" s="19"/>
      <c r="B829" s="19"/>
      <c r="C829" s="19"/>
      <c r="D829" s="19"/>
      <c r="E829" s="20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>
      <c r="A830" s="19"/>
      <c r="B830" s="19"/>
      <c r="C830" s="19"/>
      <c r="D830" s="19"/>
      <c r="E830" s="20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>
      <c r="A831" s="19"/>
      <c r="B831" s="19"/>
      <c r="C831" s="19"/>
      <c r="D831" s="19"/>
      <c r="E831" s="20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>
      <c r="A832" s="19"/>
      <c r="B832" s="19"/>
      <c r="C832" s="19"/>
      <c r="D832" s="19"/>
      <c r="E832" s="20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>
      <c r="A833" s="19"/>
      <c r="B833" s="19"/>
      <c r="C833" s="19"/>
      <c r="D833" s="19"/>
      <c r="E833" s="20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>
      <c r="A834" s="19"/>
      <c r="B834" s="19"/>
      <c r="C834" s="19"/>
      <c r="D834" s="19"/>
      <c r="E834" s="20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>
      <c r="A835" s="19"/>
      <c r="B835" s="19"/>
      <c r="C835" s="19"/>
      <c r="D835" s="19"/>
      <c r="E835" s="20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>
      <c r="A836" s="19"/>
      <c r="B836" s="19"/>
      <c r="C836" s="19"/>
      <c r="D836" s="19"/>
      <c r="E836" s="20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>
      <c r="A837" s="19"/>
      <c r="B837" s="19"/>
      <c r="C837" s="19"/>
      <c r="D837" s="19"/>
      <c r="E837" s="20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>
      <c r="A838" s="19"/>
      <c r="B838" s="19"/>
      <c r="C838" s="19"/>
      <c r="D838" s="19"/>
      <c r="E838" s="20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>
      <c r="A839" s="19"/>
      <c r="B839" s="19"/>
      <c r="C839" s="19"/>
      <c r="D839" s="19"/>
      <c r="E839" s="20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>
      <c r="A840" s="19"/>
      <c r="B840" s="19"/>
      <c r="C840" s="19"/>
      <c r="D840" s="19"/>
      <c r="E840" s="20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>
      <c r="A841" s="19"/>
      <c r="B841" s="19"/>
      <c r="C841" s="19"/>
      <c r="D841" s="19"/>
      <c r="E841" s="20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>
      <c r="A842" s="19"/>
      <c r="B842" s="19"/>
      <c r="C842" s="19"/>
      <c r="D842" s="19"/>
      <c r="E842" s="20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>
      <c r="A843" s="19"/>
      <c r="B843" s="19"/>
      <c r="C843" s="19"/>
      <c r="D843" s="19"/>
      <c r="E843" s="20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>
      <c r="A844" s="19"/>
      <c r="B844" s="19"/>
      <c r="C844" s="19"/>
      <c r="D844" s="19"/>
      <c r="E844" s="20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>
      <c r="A845" s="19"/>
      <c r="B845" s="19"/>
      <c r="C845" s="19"/>
      <c r="D845" s="19"/>
      <c r="E845" s="20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>
      <c r="A846" s="19"/>
      <c r="B846" s="19"/>
      <c r="C846" s="19"/>
      <c r="D846" s="19"/>
      <c r="E846" s="20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>
      <c r="A847" s="19"/>
      <c r="B847" s="19"/>
      <c r="C847" s="19"/>
      <c r="D847" s="19"/>
      <c r="E847" s="20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>
      <c r="A848" s="19"/>
      <c r="B848" s="19"/>
      <c r="C848" s="19"/>
      <c r="D848" s="19"/>
      <c r="E848" s="20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>
      <c r="A849" s="19"/>
      <c r="B849" s="19"/>
      <c r="C849" s="19"/>
      <c r="D849" s="19"/>
      <c r="E849" s="20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>
      <c r="A850" s="19"/>
      <c r="B850" s="19"/>
      <c r="C850" s="19"/>
      <c r="D850" s="19"/>
      <c r="E850" s="20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>
      <c r="A851" s="19"/>
      <c r="B851" s="19"/>
      <c r="C851" s="19"/>
      <c r="D851" s="19"/>
      <c r="E851" s="20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>
      <c r="A852" s="19"/>
      <c r="B852" s="19"/>
      <c r="C852" s="19"/>
      <c r="D852" s="19"/>
      <c r="E852" s="20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>
      <c r="A853" s="19"/>
      <c r="B853" s="19"/>
      <c r="C853" s="19"/>
      <c r="D853" s="19"/>
      <c r="E853" s="20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>
      <c r="A854" s="19"/>
      <c r="B854" s="19"/>
      <c r="C854" s="19"/>
      <c r="D854" s="19"/>
      <c r="E854" s="20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>
      <c r="A855" s="19"/>
      <c r="B855" s="19"/>
      <c r="C855" s="19"/>
      <c r="D855" s="19"/>
      <c r="E855" s="20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>
      <c r="A856" s="19"/>
      <c r="B856" s="19"/>
      <c r="C856" s="19"/>
      <c r="D856" s="19"/>
      <c r="E856" s="20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>
      <c r="A857" s="19"/>
      <c r="B857" s="19"/>
      <c r="C857" s="19"/>
      <c r="D857" s="19"/>
      <c r="E857" s="20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>
      <c r="A858" s="19"/>
      <c r="B858" s="19"/>
      <c r="C858" s="19"/>
      <c r="D858" s="19"/>
      <c r="E858" s="20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>
      <c r="A859" s="19"/>
      <c r="B859" s="19"/>
      <c r="C859" s="19"/>
      <c r="D859" s="19"/>
      <c r="E859" s="20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>
      <c r="A860" s="19"/>
      <c r="B860" s="19"/>
      <c r="C860" s="19"/>
      <c r="D860" s="19"/>
      <c r="E860" s="20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>
      <c r="A861" s="19"/>
      <c r="B861" s="19"/>
      <c r="C861" s="19"/>
      <c r="D861" s="19"/>
      <c r="E861" s="20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>
      <c r="A862" s="19"/>
      <c r="B862" s="19"/>
      <c r="C862" s="19"/>
      <c r="D862" s="19"/>
      <c r="E862" s="20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>
      <c r="A863" s="19"/>
      <c r="B863" s="19"/>
      <c r="C863" s="19"/>
      <c r="D863" s="19"/>
      <c r="E863" s="20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>
      <c r="A864" s="19"/>
      <c r="B864" s="19"/>
      <c r="C864" s="19"/>
      <c r="D864" s="19"/>
      <c r="E864" s="20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>
      <c r="A865" s="19"/>
      <c r="B865" s="19"/>
      <c r="C865" s="19"/>
      <c r="D865" s="19"/>
      <c r="E865" s="20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>
      <c r="A866" s="19"/>
      <c r="B866" s="19"/>
      <c r="C866" s="19"/>
      <c r="D866" s="19"/>
      <c r="E866" s="20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>
      <c r="A867" s="19"/>
      <c r="B867" s="19"/>
      <c r="C867" s="19"/>
      <c r="D867" s="19"/>
      <c r="E867" s="20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>
      <c r="A868" s="19"/>
      <c r="B868" s="19"/>
      <c r="C868" s="19"/>
      <c r="D868" s="19"/>
      <c r="E868" s="20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>
      <c r="A869" s="19"/>
      <c r="B869" s="19"/>
      <c r="C869" s="19"/>
      <c r="D869" s="19"/>
      <c r="E869" s="20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>
      <c r="A870" s="19"/>
      <c r="B870" s="19"/>
      <c r="C870" s="19"/>
      <c r="D870" s="19"/>
      <c r="E870" s="20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>
      <c r="A871" s="19"/>
      <c r="B871" s="19"/>
      <c r="C871" s="19"/>
      <c r="D871" s="19"/>
      <c r="E871" s="20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>
      <c r="A872" s="19"/>
      <c r="B872" s="19"/>
      <c r="C872" s="19"/>
      <c r="D872" s="19"/>
      <c r="E872" s="20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>
      <c r="A873" s="19"/>
      <c r="B873" s="19"/>
      <c r="C873" s="19"/>
      <c r="D873" s="19"/>
      <c r="E873" s="20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>
      <c r="A874" s="19"/>
      <c r="B874" s="19"/>
      <c r="C874" s="19"/>
      <c r="D874" s="19"/>
      <c r="E874" s="20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>
      <c r="A875" s="19"/>
      <c r="B875" s="19"/>
      <c r="C875" s="19"/>
      <c r="D875" s="19"/>
      <c r="E875" s="20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>
      <c r="A876" s="19"/>
      <c r="B876" s="19"/>
      <c r="C876" s="19"/>
      <c r="D876" s="19"/>
      <c r="E876" s="20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>
      <c r="A877" s="19"/>
      <c r="B877" s="19"/>
      <c r="C877" s="19"/>
      <c r="D877" s="19"/>
      <c r="E877" s="20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>
      <c r="A878" s="19"/>
      <c r="B878" s="19"/>
      <c r="C878" s="19"/>
      <c r="D878" s="19"/>
      <c r="E878" s="20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>
      <c r="A879" s="19"/>
      <c r="B879" s="19"/>
      <c r="C879" s="19"/>
      <c r="D879" s="19"/>
      <c r="E879" s="20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>
      <c r="A880" s="19"/>
      <c r="B880" s="19"/>
      <c r="C880" s="19"/>
      <c r="D880" s="19"/>
      <c r="E880" s="20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>
      <c r="A881" s="19"/>
      <c r="B881" s="19"/>
      <c r="C881" s="19"/>
      <c r="D881" s="19"/>
      <c r="E881" s="20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>
      <c r="A882" s="19"/>
      <c r="B882" s="19"/>
      <c r="C882" s="19"/>
      <c r="D882" s="19"/>
      <c r="E882" s="20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>
      <c r="A883" s="19"/>
      <c r="B883" s="19"/>
      <c r="C883" s="19"/>
      <c r="D883" s="19"/>
      <c r="E883" s="20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>
      <c r="A884" s="19"/>
      <c r="B884" s="19"/>
      <c r="C884" s="19"/>
      <c r="D884" s="19"/>
      <c r="E884" s="20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>
      <c r="A885" s="19"/>
      <c r="B885" s="19"/>
      <c r="C885" s="19"/>
      <c r="D885" s="19"/>
      <c r="E885" s="20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>
      <c r="A886" s="19"/>
      <c r="B886" s="19"/>
      <c r="C886" s="19"/>
      <c r="D886" s="19"/>
      <c r="E886" s="20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>
      <c r="A887" s="19"/>
      <c r="B887" s="19"/>
      <c r="C887" s="19"/>
      <c r="D887" s="19"/>
      <c r="E887" s="20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>
      <c r="A888" s="19"/>
      <c r="B888" s="19"/>
      <c r="C888" s="19"/>
      <c r="D888" s="19"/>
      <c r="E888" s="20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>
      <c r="A889" s="19"/>
      <c r="B889" s="19"/>
      <c r="C889" s="19"/>
      <c r="D889" s="19"/>
      <c r="E889" s="20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>
      <c r="A890" s="19"/>
      <c r="B890" s="19"/>
      <c r="C890" s="19"/>
      <c r="D890" s="19"/>
      <c r="E890" s="20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>
      <c r="A891" s="19"/>
      <c r="B891" s="19"/>
      <c r="C891" s="19"/>
      <c r="D891" s="19"/>
      <c r="E891" s="20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>
      <c r="A892" s="19"/>
      <c r="B892" s="19"/>
      <c r="C892" s="19"/>
      <c r="D892" s="19"/>
      <c r="E892" s="20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>
      <c r="A893" s="19"/>
      <c r="B893" s="19"/>
      <c r="C893" s="19"/>
      <c r="D893" s="19"/>
      <c r="E893" s="20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>
      <c r="A894" s="19"/>
      <c r="B894" s="19"/>
      <c r="C894" s="19"/>
      <c r="D894" s="19"/>
      <c r="E894" s="20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>
      <c r="A895" s="19"/>
      <c r="B895" s="19"/>
      <c r="C895" s="19"/>
      <c r="D895" s="19"/>
      <c r="E895" s="20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>
      <c r="A896" s="19"/>
      <c r="B896" s="19"/>
      <c r="C896" s="19"/>
      <c r="D896" s="19"/>
      <c r="E896" s="20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>
      <c r="A897" s="19"/>
      <c r="B897" s="19"/>
      <c r="C897" s="19"/>
      <c r="D897" s="19"/>
      <c r="E897" s="20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>
      <c r="A898" s="19"/>
      <c r="B898" s="19"/>
      <c r="C898" s="19"/>
      <c r="D898" s="19"/>
      <c r="E898" s="20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>
      <c r="A899" s="19"/>
      <c r="B899" s="19"/>
      <c r="C899" s="19"/>
      <c r="D899" s="19"/>
      <c r="E899" s="20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>
      <c r="A900" s="19"/>
      <c r="B900" s="19"/>
      <c r="C900" s="19"/>
      <c r="D900" s="19"/>
      <c r="E900" s="20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>
      <c r="A901" s="19"/>
      <c r="B901" s="19"/>
      <c r="C901" s="19"/>
      <c r="D901" s="19"/>
      <c r="E901" s="20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>
      <c r="A902" s="19"/>
      <c r="B902" s="19"/>
      <c r="C902" s="19"/>
      <c r="D902" s="19"/>
      <c r="E902" s="20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>
      <c r="A903" s="19"/>
      <c r="B903" s="19"/>
      <c r="C903" s="19"/>
      <c r="D903" s="19"/>
      <c r="E903" s="20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>
      <c r="A904" s="19"/>
      <c r="B904" s="19"/>
      <c r="C904" s="19"/>
      <c r="D904" s="19"/>
      <c r="E904" s="20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>
      <c r="A905" s="19"/>
      <c r="B905" s="19"/>
      <c r="C905" s="19"/>
      <c r="D905" s="19"/>
      <c r="E905" s="20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>
      <c r="A906" s="19"/>
      <c r="B906" s="19"/>
      <c r="C906" s="19"/>
      <c r="D906" s="19"/>
      <c r="E906" s="20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>
      <c r="A907" s="19"/>
      <c r="B907" s="19"/>
      <c r="C907" s="19"/>
      <c r="D907" s="19"/>
      <c r="E907" s="20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>
      <c r="A908" s="19"/>
      <c r="B908" s="19"/>
      <c r="C908" s="19"/>
      <c r="D908" s="19"/>
      <c r="E908" s="20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>
      <c r="A909" s="19"/>
      <c r="B909" s="19"/>
      <c r="C909" s="19"/>
      <c r="D909" s="19"/>
      <c r="E909" s="20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>
      <c r="A910" s="19"/>
      <c r="B910" s="19"/>
      <c r="C910" s="19"/>
      <c r="D910" s="19"/>
      <c r="E910" s="20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>
      <c r="A911" s="19"/>
      <c r="B911" s="19"/>
      <c r="C911" s="19"/>
      <c r="D911" s="19"/>
      <c r="E911" s="20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>
      <c r="A912" s="19"/>
      <c r="B912" s="19"/>
      <c r="C912" s="19"/>
      <c r="D912" s="19"/>
      <c r="E912" s="20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>
      <c r="A913" s="19"/>
      <c r="B913" s="19"/>
      <c r="C913" s="19"/>
      <c r="D913" s="19"/>
      <c r="E913" s="20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>
      <c r="A914" s="19"/>
      <c r="B914" s="19"/>
      <c r="C914" s="19"/>
      <c r="D914" s="19"/>
      <c r="E914" s="20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>
      <c r="A915" s="19"/>
      <c r="B915" s="19"/>
      <c r="C915" s="19"/>
      <c r="D915" s="19"/>
      <c r="E915" s="20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>
      <c r="A916" s="19"/>
      <c r="B916" s="19"/>
      <c r="C916" s="19"/>
      <c r="D916" s="19"/>
      <c r="E916" s="20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>
      <c r="A917" s="19"/>
      <c r="B917" s="19"/>
      <c r="C917" s="19"/>
      <c r="D917" s="19"/>
      <c r="E917" s="20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>
      <c r="A918" s="19"/>
      <c r="B918" s="19"/>
      <c r="C918" s="19"/>
      <c r="D918" s="19"/>
      <c r="E918" s="20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>
      <c r="A919" s="19"/>
      <c r="B919" s="19"/>
      <c r="C919" s="19"/>
      <c r="D919" s="19"/>
      <c r="E919" s="20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>
      <c r="A920" s="19"/>
      <c r="B920" s="19"/>
      <c r="C920" s="19"/>
      <c r="D920" s="19"/>
      <c r="E920" s="20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>
      <c r="A921" s="19"/>
      <c r="B921" s="19"/>
      <c r="C921" s="19"/>
      <c r="D921" s="19"/>
      <c r="E921" s="20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>
      <c r="A922" s="19"/>
      <c r="B922" s="19"/>
      <c r="C922" s="19"/>
      <c r="D922" s="19"/>
      <c r="E922" s="20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>
      <c r="A923" s="19"/>
      <c r="B923" s="19"/>
      <c r="C923" s="19"/>
      <c r="D923" s="19"/>
      <c r="E923" s="20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>
      <c r="A924" s="19"/>
      <c r="B924" s="19"/>
      <c r="C924" s="19"/>
      <c r="D924" s="19"/>
      <c r="E924" s="20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>
      <c r="A925" s="19"/>
      <c r="B925" s="19"/>
      <c r="C925" s="19"/>
      <c r="D925" s="19"/>
      <c r="E925" s="20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>
      <c r="A926" s="19"/>
      <c r="B926" s="19"/>
      <c r="C926" s="19"/>
      <c r="D926" s="19"/>
      <c r="E926" s="20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>
      <c r="A927" s="19"/>
      <c r="B927" s="19"/>
      <c r="C927" s="19"/>
      <c r="D927" s="19"/>
      <c r="E927" s="20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>
      <c r="A928" s="19"/>
      <c r="B928" s="19"/>
      <c r="C928" s="19"/>
      <c r="D928" s="19"/>
      <c r="E928" s="20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>
      <c r="A929" s="19"/>
      <c r="B929" s="19"/>
      <c r="C929" s="19"/>
      <c r="D929" s="19"/>
      <c r="E929" s="20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>
      <c r="A930" s="19"/>
      <c r="B930" s="19"/>
      <c r="C930" s="19"/>
      <c r="D930" s="19"/>
      <c r="E930" s="20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>
      <c r="A931" s="19"/>
      <c r="B931" s="19"/>
      <c r="C931" s="19"/>
      <c r="D931" s="19"/>
      <c r="E931" s="20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>
      <c r="A932" s="19"/>
      <c r="B932" s="19"/>
      <c r="C932" s="19"/>
      <c r="D932" s="19"/>
      <c r="E932" s="20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>
      <c r="A933" s="19"/>
      <c r="B933" s="19"/>
      <c r="C933" s="19"/>
      <c r="D933" s="19"/>
      <c r="E933" s="20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>
      <c r="A934" s="19"/>
      <c r="B934" s="19"/>
      <c r="C934" s="19"/>
      <c r="D934" s="19"/>
      <c r="E934" s="20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>
      <c r="A935" s="19"/>
      <c r="B935" s="19"/>
      <c r="C935" s="19"/>
      <c r="D935" s="19"/>
      <c r="E935" s="20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>
      <c r="A936" s="19"/>
      <c r="B936" s="19"/>
      <c r="C936" s="19"/>
      <c r="D936" s="19"/>
      <c r="E936" s="20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>
      <c r="A937" s="19"/>
      <c r="B937" s="19"/>
      <c r="C937" s="19"/>
      <c r="D937" s="19"/>
      <c r="E937" s="20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>
      <c r="A938" s="19"/>
      <c r="B938" s="19"/>
      <c r="C938" s="19"/>
      <c r="D938" s="19"/>
      <c r="E938" s="20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>
      <c r="A939" s="19"/>
      <c r="B939" s="19"/>
      <c r="C939" s="19"/>
      <c r="D939" s="19"/>
      <c r="E939" s="20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>
      <c r="A940" s="19"/>
      <c r="B940" s="19"/>
      <c r="C940" s="19"/>
      <c r="D940" s="19"/>
      <c r="E940" s="20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>
      <c r="A941" s="19"/>
      <c r="B941" s="19"/>
      <c r="C941" s="19"/>
      <c r="D941" s="19"/>
      <c r="E941" s="20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>
      <c r="A942" s="19"/>
      <c r="B942" s="19"/>
      <c r="C942" s="19"/>
      <c r="D942" s="19"/>
      <c r="E942" s="20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>
      <c r="A943" s="19"/>
      <c r="B943" s="19"/>
      <c r="C943" s="19"/>
      <c r="D943" s="19"/>
      <c r="E943" s="20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>
      <c r="A944" s="19"/>
      <c r="B944" s="19"/>
      <c r="C944" s="19"/>
      <c r="D944" s="19"/>
      <c r="E944" s="20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>
      <c r="A945" s="19"/>
      <c r="B945" s="19"/>
      <c r="C945" s="19"/>
      <c r="D945" s="19"/>
      <c r="E945" s="20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>
      <c r="A946" s="19"/>
      <c r="B946" s="19"/>
      <c r="C946" s="19"/>
      <c r="D946" s="19"/>
      <c r="E946" s="20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>
      <c r="A947" s="19"/>
      <c r="B947" s="19"/>
      <c r="C947" s="19"/>
      <c r="D947" s="19"/>
      <c r="E947" s="20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>
      <c r="A948" s="19"/>
      <c r="B948" s="19"/>
      <c r="C948" s="19"/>
      <c r="D948" s="19"/>
      <c r="E948" s="20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>
      <c r="A949" s="19"/>
      <c r="B949" s="19"/>
      <c r="C949" s="19"/>
      <c r="D949" s="19"/>
      <c r="E949" s="20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>
      <c r="A950" s="19"/>
      <c r="B950" s="19"/>
      <c r="C950" s="19"/>
      <c r="D950" s="19"/>
      <c r="E950" s="20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>
      <c r="A951" s="19"/>
      <c r="B951" s="19"/>
      <c r="C951" s="19"/>
      <c r="D951" s="19"/>
      <c r="E951" s="20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>
      <c r="A952" s="19"/>
      <c r="B952" s="19"/>
      <c r="C952" s="19"/>
      <c r="D952" s="19"/>
      <c r="E952" s="20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>
      <c r="A953" s="19"/>
      <c r="B953" s="19"/>
      <c r="C953" s="19"/>
      <c r="D953" s="19"/>
      <c r="E953" s="20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>
      <c r="A954" s="19"/>
      <c r="B954" s="19"/>
      <c r="C954" s="19"/>
      <c r="D954" s="19"/>
      <c r="E954" s="20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>
      <c r="A955" s="19"/>
      <c r="B955" s="19"/>
      <c r="C955" s="19"/>
      <c r="D955" s="19"/>
      <c r="E955" s="20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>
      <c r="A956" s="19"/>
      <c r="B956" s="19"/>
      <c r="C956" s="19"/>
      <c r="D956" s="19"/>
      <c r="E956" s="20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>
      <c r="A957" s="19"/>
      <c r="B957" s="19"/>
      <c r="C957" s="19"/>
      <c r="D957" s="19"/>
      <c r="E957" s="20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>
      <c r="A958" s="19"/>
      <c r="B958" s="19"/>
      <c r="C958" s="19"/>
      <c r="D958" s="19"/>
      <c r="E958" s="20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>
      <c r="A959" s="19"/>
      <c r="B959" s="19"/>
      <c r="C959" s="19"/>
      <c r="D959" s="19"/>
      <c r="E959" s="20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>
      <c r="A960" s="19"/>
      <c r="B960" s="19"/>
      <c r="C960" s="19"/>
      <c r="D960" s="19"/>
      <c r="E960" s="20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>
      <c r="A961" s="19"/>
      <c r="B961" s="19"/>
      <c r="C961" s="19"/>
      <c r="D961" s="19"/>
      <c r="E961" s="20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>
      <c r="A962" s="19"/>
      <c r="B962" s="19"/>
      <c r="C962" s="19"/>
      <c r="D962" s="19"/>
      <c r="E962" s="20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>
      <c r="A963" s="19"/>
      <c r="B963" s="19"/>
      <c r="C963" s="19"/>
      <c r="D963" s="19"/>
      <c r="E963" s="20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>
      <c r="A964" s="19"/>
      <c r="B964" s="19"/>
      <c r="C964" s="19"/>
      <c r="D964" s="19"/>
      <c r="E964" s="20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>
      <c r="A965" s="19"/>
      <c r="B965" s="19"/>
      <c r="C965" s="19"/>
      <c r="D965" s="19"/>
      <c r="E965" s="20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>
      <c r="A966" s="19"/>
      <c r="B966" s="19"/>
      <c r="C966" s="19"/>
      <c r="D966" s="19"/>
      <c r="E966" s="20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>
      <c r="A967" s="19"/>
      <c r="B967" s="19"/>
      <c r="C967" s="19"/>
      <c r="D967" s="19"/>
      <c r="E967" s="20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>
      <c r="A968" s="19"/>
      <c r="B968" s="19"/>
      <c r="C968" s="19"/>
      <c r="D968" s="19"/>
      <c r="E968" s="20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>
      <c r="A969" s="19"/>
      <c r="B969" s="19"/>
      <c r="C969" s="19"/>
      <c r="D969" s="19"/>
      <c r="E969" s="20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>
      <c r="A970" s="19"/>
      <c r="B970" s="19"/>
      <c r="C970" s="19"/>
      <c r="D970" s="19"/>
      <c r="E970" s="20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>
      <c r="A971" s="19"/>
      <c r="B971" s="19"/>
      <c r="C971" s="19"/>
      <c r="D971" s="19"/>
      <c r="E971" s="20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>
      <c r="A972" s="19"/>
      <c r="B972" s="19"/>
      <c r="C972" s="19"/>
      <c r="D972" s="19"/>
      <c r="E972" s="20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>
      <c r="A973" s="19"/>
      <c r="B973" s="19"/>
      <c r="C973" s="19"/>
      <c r="D973" s="19"/>
      <c r="E973" s="20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>
      <c r="A974" s="19"/>
      <c r="B974" s="19"/>
      <c r="C974" s="19"/>
      <c r="D974" s="19"/>
      <c r="E974" s="20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>
      <c r="A975" s="19"/>
      <c r="B975" s="19"/>
      <c r="C975" s="19"/>
      <c r="D975" s="19"/>
      <c r="E975" s="20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>
      <c r="A976" s="19"/>
      <c r="B976" s="19"/>
      <c r="C976" s="19"/>
      <c r="D976" s="19"/>
      <c r="E976" s="20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>
      <c r="A977" s="19"/>
      <c r="B977" s="19"/>
      <c r="C977" s="19"/>
      <c r="D977" s="19"/>
      <c r="E977" s="20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>
      <c r="A978" s="19"/>
      <c r="B978" s="19"/>
      <c r="C978" s="19"/>
      <c r="D978" s="19"/>
      <c r="E978" s="20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>
      <c r="A979" s="19"/>
      <c r="B979" s="19"/>
      <c r="C979" s="19"/>
      <c r="D979" s="19"/>
      <c r="E979" s="20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>
      <c r="A980" s="19"/>
      <c r="B980" s="19"/>
      <c r="C980" s="19"/>
      <c r="D980" s="19"/>
      <c r="E980" s="20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>
      <c r="A981" s="19"/>
      <c r="B981" s="19"/>
      <c r="C981" s="19"/>
      <c r="D981" s="19"/>
      <c r="E981" s="20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>
      <c r="A982" s="19"/>
      <c r="B982" s="19"/>
      <c r="C982" s="19"/>
      <c r="D982" s="19"/>
      <c r="E982" s="20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>
      <c r="A983" s="19"/>
      <c r="B983" s="19"/>
      <c r="C983" s="19"/>
      <c r="D983" s="19"/>
      <c r="E983" s="20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>
      <c r="A984" s="19"/>
      <c r="B984" s="19"/>
      <c r="C984" s="19"/>
      <c r="D984" s="19"/>
      <c r="E984" s="20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>
      <c r="A985" s="19"/>
      <c r="B985" s="19"/>
      <c r="C985" s="19"/>
      <c r="D985" s="19"/>
      <c r="E985" s="20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>
      <c r="A986" s="19"/>
      <c r="B986" s="19"/>
      <c r="C986" s="19"/>
      <c r="D986" s="19"/>
      <c r="E986" s="20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>
      <c r="A987" s="19"/>
      <c r="B987" s="19"/>
      <c r="C987" s="19"/>
      <c r="D987" s="19"/>
      <c r="E987" s="20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>
      <c r="A988" s="19"/>
      <c r="B988" s="19"/>
      <c r="C988" s="19"/>
      <c r="D988" s="19"/>
      <c r="E988" s="20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>
      <c r="A989" s="19"/>
      <c r="B989" s="19"/>
      <c r="C989" s="19"/>
      <c r="D989" s="19"/>
      <c r="E989" s="20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>
      <c r="A990" s="19"/>
      <c r="B990" s="19"/>
      <c r="C990" s="19"/>
      <c r="D990" s="19"/>
      <c r="E990" s="20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>
      <c r="A991" s="19"/>
      <c r="B991" s="19"/>
      <c r="C991" s="19"/>
      <c r="D991" s="19"/>
      <c r="E991" s="20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>
      <c r="A992" s="19"/>
      <c r="B992" s="19"/>
      <c r="C992" s="19"/>
      <c r="D992" s="19"/>
      <c r="E992" s="20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>
      <c r="A993" s="19"/>
      <c r="B993" s="19"/>
      <c r="C993" s="19"/>
      <c r="D993" s="19"/>
      <c r="E993" s="20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>
      <c r="A994" s="19"/>
      <c r="B994" s="19"/>
      <c r="C994" s="19"/>
      <c r="D994" s="19"/>
      <c r="E994" s="20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>
      <c r="A995" s="19"/>
      <c r="B995" s="19"/>
      <c r="C995" s="19"/>
      <c r="D995" s="19"/>
      <c r="E995" s="20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>
      <c r="A996" s="19"/>
      <c r="B996" s="19"/>
      <c r="C996" s="19"/>
      <c r="D996" s="19"/>
      <c r="E996" s="20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>
      <c r="A997" s="19"/>
      <c r="B997" s="19"/>
      <c r="C997" s="19"/>
      <c r="D997" s="19"/>
      <c r="E997" s="20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>
      <c r="A998" s="19"/>
      <c r="B998" s="19"/>
      <c r="C998" s="19"/>
      <c r="D998" s="19"/>
      <c r="E998" s="20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75" customHeight="1">
      <c r="A999" s="19"/>
      <c r="B999" s="19"/>
      <c r="C999" s="19"/>
      <c r="D999" s="19"/>
      <c r="E999" s="20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75" customHeight="1">
      <c r="A1000" s="19"/>
      <c r="B1000" s="19"/>
      <c r="C1000" s="19"/>
      <c r="D1000" s="19"/>
      <c r="E1000" s="20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4">
    <mergeCell ref="B6:E6"/>
    <mergeCell ref="B24:E24"/>
    <mergeCell ref="B45:E45"/>
    <mergeCell ref="B64:B66"/>
  </mergeCells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5" defaultRowHeight="15" customHeight="1"/>
  <cols>
    <col min="1" max="1" width="10.1640625" customWidth="1"/>
    <col min="2" max="2" width="18.5" customWidth="1"/>
    <col min="3" max="4" width="13.6640625" customWidth="1"/>
    <col min="5" max="5" width="13.83203125" customWidth="1"/>
    <col min="6" max="6" width="13" customWidth="1"/>
    <col min="7" max="26" width="8.6640625" customWidth="1"/>
  </cols>
  <sheetData>
    <row r="1" spans="1:26" ht="16">
      <c r="A1" s="19"/>
      <c r="B1" s="19"/>
      <c r="C1" s="19"/>
      <c r="D1" s="19"/>
      <c r="E1" s="20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8">
      <c r="A2" s="19"/>
      <c r="B2" s="21" t="s">
        <v>46</v>
      </c>
      <c r="C2" s="21"/>
      <c r="D2" s="21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6">
      <c r="A3" s="19"/>
      <c r="B3" s="19" t="s">
        <v>47</v>
      </c>
      <c r="C3" s="19"/>
      <c r="D3" s="19"/>
      <c r="E3" s="20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6">
      <c r="A4" s="19"/>
      <c r="B4" s="19"/>
      <c r="C4" s="19"/>
      <c r="D4" s="19"/>
      <c r="E4" s="20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6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25.5" customHeight="1">
      <c r="A6" s="19"/>
      <c r="B6" s="49" t="s">
        <v>24</v>
      </c>
      <c r="C6" s="50"/>
      <c r="D6" s="50"/>
      <c r="E6" s="5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6">
      <c r="A7" s="19"/>
      <c r="B7" s="22" t="s">
        <v>4</v>
      </c>
      <c r="C7" s="22" t="s">
        <v>5</v>
      </c>
      <c r="D7" s="23" t="s">
        <v>6</v>
      </c>
      <c r="E7" s="22" t="s">
        <v>7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6">
      <c r="A8" s="19"/>
      <c r="B8" s="24" t="s">
        <v>8</v>
      </c>
      <c r="C8" s="24" t="s">
        <v>9</v>
      </c>
      <c r="D8" s="25" t="s">
        <v>10</v>
      </c>
      <c r="E8" s="24" t="s">
        <v>11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6">
      <c r="A9" s="19"/>
      <c r="B9" s="26">
        <v>0</v>
      </c>
      <c r="C9" s="26">
        <v>0</v>
      </c>
      <c r="D9" s="27">
        <v>0</v>
      </c>
      <c r="E9" s="28">
        <v>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6">
      <c r="A10" s="19" t="s">
        <v>25</v>
      </c>
      <c r="B10" s="26">
        <v>15.4</v>
      </c>
      <c r="C10" s="29">
        <v>24.8</v>
      </c>
      <c r="D10" s="27">
        <f t="shared" ref="D10:D18" si="0">C10/(B10-B9)</f>
        <v>1.6103896103896105</v>
      </c>
      <c r="E10" s="28">
        <f t="shared" ref="E10:E18" si="1">E9+C10</f>
        <v>24.8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6">
      <c r="A11" s="19"/>
      <c r="B11" s="26">
        <v>23.3</v>
      </c>
      <c r="C11" s="26">
        <v>18.7</v>
      </c>
      <c r="D11" s="27">
        <f t="shared" si="0"/>
        <v>2.3670886075949364</v>
      </c>
      <c r="E11" s="28">
        <f t="shared" si="1"/>
        <v>43.5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6">
      <c r="A12" s="19"/>
      <c r="B12" s="26">
        <v>31.7</v>
      </c>
      <c r="C12" s="26">
        <v>21.7</v>
      </c>
      <c r="D12" s="27">
        <f t="shared" si="0"/>
        <v>2.5833333333333335</v>
      </c>
      <c r="E12" s="28">
        <f t="shared" si="1"/>
        <v>65.2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6">
      <c r="A13" s="19"/>
      <c r="B13" s="26">
        <v>38.4</v>
      </c>
      <c r="C13" s="26">
        <v>18.07</v>
      </c>
      <c r="D13" s="27">
        <f t="shared" si="0"/>
        <v>2.6970149253731348</v>
      </c>
      <c r="E13" s="28">
        <f t="shared" si="1"/>
        <v>83.27000000000001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6">
      <c r="A14" s="19"/>
      <c r="B14" s="26">
        <v>45.1</v>
      </c>
      <c r="C14" s="26">
        <v>17.37</v>
      </c>
      <c r="D14" s="27">
        <f t="shared" si="0"/>
        <v>2.5925373134328349</v>
      </c>
      <c r="E14" s="28">
        <f t="shared" si="1"/>
        <v>100.64000000000001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6">
      <c r="A15" s="19"/>
      <c r="B15" s="26">
        <v>52.2</v>
      </c>
      <c r="C15" s="26">
        <v>18.670000000000002</v>
      </c>
      <c r="D15" s="27">
        <f t="shared" si="0"/>
        <v>2.6295774647887322</v>
      </c>
      <c r="E15" s="28">
        <f t="shared" si="1"/>
        <v>119.31000000000002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6">
      <c r="A16" s="19"/>
      <c r="B16" s="26">
        <v>60.4</v>
      </c>
      <c r="C16" s="26">
        <v>20.77</v>
      </c>
      <c r="D16" s="27">
        <f t="shared" si="0"/>
        <v>2.5329268292682938</v>
      </c>
      <c r="E16" s="28">
        <f t="shared" si="1"/>
        <v>140.08000000000001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6">
      <c r="A17" s="19"/>
      <c r="B17" s="26">
        <v>71.8</v>
      </c>
      <c r="C17" s="26">
        <v>20.47</v>
      </c>
      <c r="D17" s="27">
        <f t="shared" si="0"/>
        <v>1.7956140350877194</v>
      </c>
      <c r="E17" s="28">
        <f t="shared" si="1"/>
        <v>160.55000000000001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6">
      <c r="A18" s="19"/>
      <c r="B18" s="26">
        <v>100</v>
      </c>
      <c r="C18" s="26">
        <v>15.97</v>
      </c>
      <c r="D18" s="27">
        <f t="shared" si="0"/>
        <v>0.56631205673758866</v>
      </c>
      <c r="E18" s="28">
        <f t="shared" si="1"/>
        <v>176.52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6">
      <c r="A19" s="19"/>
      <c r="B19" s="19"/>
      <c r="C19" s="31">
        <f>SUM(C9:C18)</f>
        <v>176.52</v>
      </c>
      <c r="D19" s="32" t="s">
        <v>9</v>
      </c>
      <c r="E19" s="33">
        <f>C19-C10</f>
        <v>151.72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6">
      <c r="A20" s="19"/>
      <c r="B20" s="19"/>
      <c r="C20" s="31">
        <f>C19/100</f>
        <v>1.7652000000000001</v>
      </c>
      <c r="D20" s="32" t="s">
        <v>12</v>
      </c>
      <c r="E20" s="34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>
      <c r="A24" s="19"/>
      <c r="B24" s="19"/>
      <c r="C24" s="19"/>
      <c r="D24" s="19"/>
      <c r="E24" s="20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22.5" customHeight="1">
      <c r="A25" s="19"/>
      <c r="B25" s="49" t="s">
        <v>13</v>
      </c>
      <c r="C25" s="50"/>
      <c r="D25" s="50"/>
      <c r="E25" s="51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>
      <c r="A26" s="19"/>
      <c r="B26" s="22" t="s">
        <v>4</v>
      </c>
      <c r="C26" s="22" t="s">
        <v>5</v>
      </c>
      <c r="D26" s="23" t="s">
        <v>6</v>
      </c>
      <c r="E26" s="22" t="s">
        <v>7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>
      <c r="A27" s="19"/>
      <c r="B27" s="24" t="s">
        <v>8</v>
      </c>
      <c r="C27" s="24" t="s">
        <v>9</v>
      </c>
      <c r="D27" s="25" t="s">
        <v>10</v>
      </c>
      <c r="E27" s="24" t="s">
        <v>11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>
      <c r="A28" s="19"/>
      <c r="B28" s="26">
        <v>0</v>
      </c>
      <c r="C28" s="26"/>
      <c r="D28" s="27">
        <v>0</v>
      </c>
      <c r="E28" s="28">
        <v>0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>
      <c r="A29" s="19" t="s">
        <v>25</v>
      </c>
      <c r="B29" s="26">
        <v>42.4</v>
      </c>
      <c r="C29" s="29">
        <f>1.853*100</f>
        <v>185.3</v>
      </c>
      <c r="D29" s="27">
        <f t="shared" ref="D29:D36" si="2">C29/(B29-B28)</f>
        <v>4.3702830188679247</v>
      </c>
      <c r="E29" s="28">
        <f t="shared" ref="E29:E36" si="3">E28+C29</f>
        <v>185.3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>
      <c r="A30" s="19"/>
      <c r="B30" s="26">
        <v>46.7</v>
      </c>
      <c r="C30" s="26">
        <v>21.77</v>
      </c>
      <c r="D30" s="27">
        <f t="shared" si="2"/>
        <v>5.0627906976744139</v>
      </c>
      <c r="E30" s="28">
        <f t="shared" si="3"/>
        <v>207.07000000000002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9"/>
      <c r="B31" s="26">
        <v>51.4</v>
      </c>
      <c r="C31" s="26">
        <v>21.37</v>
      </c>
      <c r="D31" s="27">
        <f t="shared" si="2"/>
        <v>4.5468085106383018</v>
      </c>
      <c r="E31" s="28">
        <f t="shared" si="3"/>
        <v>228.44000000000003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A32" s="19"/>
      <c r="B32" s="26">
        <v>56.2</v>
      </c>
      <c r="C32" s="26">
        <v>20.77</v>
      </c>
      <c r="D32" s="27">
        <f t="shared" si="2"/>
        <v>4.3270833333333298</v>
      </c>
      <c r="E32" s="28">
        <f t="shared" si="3"/>
        <v>249.21000000000004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>
      <c r="A33" s="19"/>
      <c r="B33" s="26">
        <v>61.4</v>
      </c>
      <c r="C33" s="26">
        <v>20.47</v>
      </c>
      <c r="D33" s="27">
        <f t="shared" si="2"/>
        <v>3.9365384615384644</v>
      </c>
      <c r="E33" s="28">
        <f t="shared" si="3"/>
        <v>269.68000000000006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>
      <c r="A34" s="19"/>
      <c r="B34" s="26">
        <v>67.2</v>
      </c>
      <c r="C34" s="26">
        <v>21.07</v>
      </c>
      <c r="D34" s="27">
        <f t="shared" si="2"/>
        <v>3.6327586206896525</v>
      </c>
      <c r="E34" s="28">
        <f t="shared" si="3"/>
        <v>290.75000000000006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9"/>
      <c r="B35" s="26">
        <v>76.2</v>
      </c>
      <c r="C35" s="26">
        <v>22.87</v>
      </c>
      <c r="D35" s="27">
        <f t="shared" si="2"/>
        <v>2.5411111111111113</v>
      </c>
      <c r="E35" s="28">
        <f t="shared" si="3"/>
        <v>313.62000000000006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>
      <c r="A36" s="19"/>
      <c r="B36" s="26">
        <v>100</v>
      </c>
      <c r="C36" s="26">
        <v>21.97</v>
      </c>
      <c r="D36" s="27">
        <f t="shared" si="2"/>
        <v>0.92310924369747904</v>
      </c>
      <c r="E36" s="28">
        <f t="shared" si="3"/>
        <v>335.59000000000003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>
      <c r="A37" s="19"/>
      <c r="B37" s="19"/>
      <c r="C37" s="35">
        <f>SUM(C29:C36)</f>
        <v>335.59000000000003</v>
      </c>
      <c r="D37" s="32" t="s">
        <v>9</v>
      </c>
      <c r="E37" s="35">
        <f>C37-C29</f>
        <v>150.29000000000002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>
      <c r="A38" s="19"/>
      <c r="B38" s="19"/>
      <c r="C38" s="33">
        <f>C37/100</f>
        <v>3.3559000000000001</v>
      </c>
      <c r="D38" s="32" t="s">
        <v>12</v>
      </c>
      <c r="E38" s="34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>
      <c r="A39" s="19"/>
      <c r="B39" s="19"/>
      <c r="C39" s="19"/>
      <c r="D39" s="20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22.5" customHeight="1">
      <c r="A46" s="19"/>
      <c r="B46" s="49" t="s">
        <v>14</v>
      </c>
      <c r="C46" s="50"/>
      <c r="D46" s="50"/>
      <c r="E46" s="51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>
      <c r="A47" s="19"/>
      <c r="B47" s="22" t="s">
        <v>4</v>
      </c>
      <c r="C47" s="22" t="s">
        <v>5</v>
      </c>
      <c r="D47" s="23" t="s">
        <v>6</v>
      </c>
      <c r="E47" s="22" t="s">
        <v>7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>
      <c r="A48" s="19"/>
      <c r="B48" s="24" t="s">
        <v>8</v>
      </c>
      <c r="C48" s="24" t="s">
        <v>9</v>
      </c>
      <c r="D48" s="25" t="s">
        <v>10</v>
      </c>
      <c r="E48" s="24" t="s">
        <v>11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>
      <c r="A49" s="19"/>
      <c r="B49" s="26">
        <v>0</v>
      </c>
      <c r="C49" s="26">
        <v>0</v>
      </c>
      <c r="D49" s="27">
        <v>0</v>
      </c>
      <c r="E49" s="28">
        <v>0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>
      <c r="A50" s="19" t="s">
        <v>25</v>
      </c>
      <c r="B50" s="26">
        <v>39.700000000000003</v>
      </c>
      <c r="C50" s="29">
        <f>1.463*100</f>
        <v>146.30000000000001</v>
      </c>
      <c r="D50" s="27">
        <f t="shared" ref="D50:D57" si="4">C50/(B50-B49)</f>
        <v>3.6851385390428213</v>
      </c>
      <c r="E50" s="28">
        <f t="shared" ref="E50:E57" si="5">E49+C50</f>
        <v>146.30000000000001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>
      <c r="A51" s="19"/>
      <c r="B51" s="26">
        <v>44.1</v>
      </c>
      <c r="C51" s="26">
        <v>19.57</v>
      </c>
      <c r="D51" s="27">
        <f t="shared" si="4"/>
        <v>4.4477272727272741</v>
      </c>
      <c r="E51" s="28">
        <f t="shared" si="5"/>
        <v>165.87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>
      <c r="A52" s="19"/>
      <c r="B52" s="26">
        <v>49.2</v>
      </c>
      <c r="C52" s="26">
        <v>24.95</v>
      </c>
      <c r="D52" s="27">
        <f t="shared" si="4"/>
        <v>4.8921568627450966</v>
      </c>
      <c r="E52" s="28">
        <f t="shared" si="5"/>
        <v>190.82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>
      <c r="A53" s="19"/>
      <c r="B53" s="26">
        <v>54.2</v>
      </c>
      <c r="C53" s="26">
        <v>19.87</v>
      </c>
      <c r="D53" s="27">
        <f t="shared" si="4"/>
        <v>3.9740000000000002</v>
      </c>
      <c r="E53" s="28">
        <f t="shared" si="5"/>
        <v>210.69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>
      <c r="A54" s="19"/>
      <c r="B54" s="26">
        <v>59.3</v>
      </c>
      <c r="C54" s="26">
        <v>20.47</v>
      </c>
      <c r="D54" s="27">
        <f t="shared" si="4"/>
        <v>4.0137254901960828</v>
      </c>
      <c r="E54" s="28">
        <f t="shared" si="5"/>
        <v>231.16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>
      <c r="A55" s="19"/>
      <c r="B55" s="26">
        <v>65.400000000000006</v>
      </c>
      <c r="C55" s="26">
        <v>20.57</v>
      </c>
      <c r="D55" s="27">
        <f t="shared" si="4"/>
        <v>3.372131147540979</v>
      </c>
      <c r="E55" s="28">
        <f t="shared" si="5"/>
        <v>251.73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>
      <c r="A56" s="19"/>
      <c r="B56" s="26">
        <v>73.2</v>
      </c>
      <c r="C56" s="26">
        <v>18.97</v>
      </c>
      <c r="D56" s="27">
        <f t="shared" si="4"/>
        <v>2.4320512820512827</v>
      </c>
      <c r="E56" s="28">
        <f t="shared" si="5"/>
        <v>270.7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>
      <c r="A57" s="19"/>
      <c r="B57" s="26">
        <v>100</v>
      </c>
      <c r="C57" s="26">
        <v>22.57</v>
      </c>
      <c r="D57" s="27">
        <f t="shared" si="4"/>
        <v>0.84216417910447772</v>
      </c>
      <c r="E57" s="28">
        <f t="shared" si="5"/>
        <v>293.27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>
      <c r="A58" s="19"/>
      <c r="B58" s="19"/>
      <c r="C58" s="33">
        <f>SUM(C49:C57)</f>
        <v>293.27</v>
      </c>
      <c r="D58" s="32" t="s">
        <v>9</v>
      </c>
      <c r="E58" s="33">
        <f>C58-C50</f>
        <v>146.96999999999997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A59" s="19"/>
      <c r="B59" s="19"/>
      <c r="C59" s="33">
        <f>C58/100</f>
        <v>2.9326999999999996</v>
      </c>
      <c r="D59" s="32" t="s">
        <v>12</v>
      </c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>
      <c r="A60" s="19"/>
      <c r="B60" s="19"/>
      <c r="C60" s="34"/>
      <c r="D60" s="37"/>
      <c r="E60" s="32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>
      <c r="A63" s="19"/>
      <c r="B63" s="19"/>
      <c r="C63" s="31" t="s">
        <v>26</v>
      </c>
      <c r="D63" s="31" t="s">
        <v>27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>
      <c r="A64" s="19"/>
      <c r="B64" s="33" t="s">
        <v>15</v>
      </c>
      <c r="C64" s="38">
        <f>C58+C37+C19</f>
        <v>805.38</v>
      </c>
      <c r="D64" s="28">
        <f t="shared" ref="D64:D69" si="6">C64/100</f>
        <v>8.0538000000000007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>
      <c r="A65" s="19"/>
      <c r="B65" s="52" t="s">
        <v>16</v>
      </c>
      <c r="C65" s="28">
        <f>C19-C10</f>
        <v>151.72</v>
      </c>
      <c r="D65" s="28">
        <f t="shared" si="6"/>
        <v>1.5171999999999999</v>
      </c>
      <c r="E65" s="27" t="s">
        <v>17</v>
      </c>
      <c r="F65" s="55">
        <f>AVERAGE(C65:C67)</f>
        <v>149.66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>
      <c r="A66" s="19"/>
      <c r="B66" s="53"/>
      <c r="C66" s="28">
        <f>C58-C50</f>
        <v>146.96999999999997</v>
      </c>
      <c r="D66" s="28">
        <f t="shared" si="6"/>
        <v>1.4696999999999998</v>
      </c>
      <c r="E66" s="27" t="s">
        <v>18</v>
      </c>
      <c r="F66" s="56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>
      <c r="A67" s="19"/>
      <c r="B67" s="54"/>
      <c r="C67" s="38">
        <f>C37-C29</f>
        <v>150.29000000000002</v>
      </c>
      <c r="D67" s="28">
        <f t="shared" si="6"/>
        <v>1.5029000000000001</v>
      </c>
      <c r="E67" s="27" t="s">
        <v>19</v>
      </c>
      <c r="F67" s="57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>
      <c r="A68" s="19"/>
      <c r="B68" s="33" t="s">
        <v>20</v>
      </c>
      <c r="C68" s="38">
        <f>C64-C66-C37</f>
        <v>322.82000000000005</v>
      </c>
      <c r="D68" s="28">
        <f t="shared" si="6"/>
        <v>3.2282000000000006</v>
      </c>
      <c r="E68" s="20"/>
      <c r="F68" s="19" t="s">
        <v>48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>
      <c r="A69" s="19"/>
      <c r="B69" s="33" t="s">
        <v>21</v>
      </c>
      <c r="C69" s="38">
        <f>C37</f>
        <v>335.59000000000003</v>
      </c>
      <c r="D69" s="28">
        <f t="shared" si="6"/>
        <v>3.3559000000000001</v>
      </c>
      <c r="E69" s="20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>
      <c r="A80" s="19"/>
      <c r="B80" s="19" t="s">
        <v>49</v>
      </c>
      <c r="C80" s="40">
        <f>C58+C37+C10</f>
        <v>653.66</v>
      </c>
      <c r="D80" s="19" t="s">
        <v>50</v>
      </c>
      <c r="E80" s="20" t="s">
        <v>51</v>
      </c>
      <c r="F80" s="40">
        <f t="shared" ref="F80:F82" si="7">$C$64-C80</f>
        <v>151.72000000000003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>
      <c r="A81" s="19"/>
      <c r="B81" s="19"/>
      <c r="C81" s="40">
        <f>C58+C29+C19</f>
        <v>655.09</v>
      </c>
      <c r="D81" s="19" t="s">
        <v>52</v>
      </c>
      <c r="E81" s="20"/>
      <c r="F81" s="40">
        <f t="shared" si="7"/>
        <v>150.28999999999996</v>
      </c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>
      <c r="A82" s="19"/>
      <c r="B82" s="19"/>
      <c r="C82" s="40">
        <f>C50+C37+C19</f>
        <v>658.41000000000008</v>
      </c>
      <c r="D82" s="19" t="s">
        <v>53</v>
      </c>
      <c r="E82" s="20"/>
      <c r="F82" s="40">
        <f t="shared" si="7"/>
        <v>146.96999999999991</v>
      </c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>
      <c r="A546" s="19"/>
      <c r="B546" s="19"/>
      <c r="C546" s="19"/>
      <c r="D546" s="19"/>
      <c r="E546" s="20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>
      <c r="A547" s="19"/>
      <c r="B547" s="19"/>
      <c r="C547" s="19"/>
      <c r="D547" s="19"/>
      <c r="E547" s="20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>
      <c r="A548" s="19"/>
      <c r="B548" s="19"/>
      <c r="C548" s="19"/>
      <c r="D548" s="19"/>
      <c r="E548" s="20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>
      <c r="A549" s="19"/>
      <c r="B549" s="19"/>
      <c r="C549" s="19"/>
      <c r="D549" s="19"/>
      <c r="E549" s="20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>
      <c r="A550" s="19"/>
      <c r="B550" s="19"/>
      <c r="C550" s="19"/>
      <c r="D550" s="19"/>
      <c r="E550" s="20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>
      <c r="A551" s="19"/>
      <c r="B551" s="19"/>
      <c r="C551" s="19"/>
      <c r="D551" s="19"/>
      <c r="E551" s="20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>
      <c r="A552" s="19"/>
      <c r="B552" s="19"/>
      <c r="C552" s="19"/>
      <c r="D552" s="19"/>
      <c r="E552" s="20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>
      <c r="A553" s="19"/>
      <c r="B553" s="19"/>
      <c r="C553" s="19"/>
      <c r="D553" s="19"/>
      <c r="E553" s="20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>
      <c r="A554" s="19"/>
      <c r="B554" s="19"/>
      <c r="C554" s="19"/>
      <c r="D554" s="19"/>
      <c r="E554" s="20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>
      <c r="A555" s="19"/>
      <c r="B555" s="19"/>
      <c r="C555" s="19"/>
      <c r="D555" s="19"/>
      <c r="E555" s="20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>
      <c r="A556" s="19"/>
      <c r="B556" s="19"/>
      <c r="C556" s="19"/>
      <c r="D556" s="19"/>
      <c r="E556" s="20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>
      <c r="A557" s="19"/>
      <c r="B557" s="19"/>
      <c r="C557" s="19"/>
      <c r="D557" s="19"/>
      <c r="E557" s="20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>
      <c r="A558" s="19"/>
      <c r="B558" s="19"/>
      <c r="C558" s="19"/>
      <c r="D558" s="19"/>
      <c r="E558" s="20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>
      <c r="A559" s="19"/>
      <c r="B559" s="19"/>
      <c r="C559" s="19"/>
      <c r="D559" s="19"/>
      <c r="E559" s="20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>
      <c r="A560" s="19"/>
      <c r="B560" s="19"/>
      <c r="C560" s="19"/>
      <c r="D560" s="19"/>
      <c r="E560" s="20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>
      <c r="A561" s="19"/>
      <c r="B561" s="19"/>
      <c r="C561" s="19"/>
      <c r="D561" s="19"/>
      <c r="E561" s="20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>
      <c r="A562" s="19"/>
      <c r="B562" s="19"/>
      <c r="C562" s="19"/>
      <c r="D562" s="19"/>
      <c r="E562" s="20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>
      <c r="A563" s="19"/>
      <c r="B563" s="19"/>
      <c r="C563" s="19"/>
      <c r="D563" s="19"/>
      <c r="E563" s="20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>
      <c r="A564" s="19"/>
      <c r="B564" s="19"/>
      <c r="C564" s="19"/>
      <c r="D564" s="19"/>
      <c r="E564" s="20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>
      <c r="A565" s="19"/>
      <c r="B565" s="19"/>
      <c r="C565" s="19"/>
      <c r="D565" s="19"/>
      <c r="E565" s="20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>
      <c r="A566" s="19"/>
      <c r="B566" s="19"/>
      <c r="C566" s="19"/>
      <c r="D566" s="19"/>
      <c r="E566" s="20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>
      <c r="A567" s="19"/>
      <c r="B567" s="19"/>
      <c r="C567" s="19"/>
      <c r="D567" s="19"/>
      <c r="E567" s="20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>
      <c r="A568" s="19"/>
      <c r="B568" s="19"/>
      <c r="C568" s="19"/>
      <c r="D568" s="19"/>
      <c r="E568" s="20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>
      <c r="A569" s="19"/>
      <c r="B569" s="19"/>
      <c r="C569" s="19"/>
      <c r="D569" s="19"/>
      <c r="E569" s="20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>
      <c r="A570" s="19"/>
      <c r="B570" s="19"/>
      <c r="C570" s="19"/>
      <c r="D570" s="19"/>
      <c r="E570" s="20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>
      <c r="A571" s="19"/>
      <c r="B571" s="19"/>
      <c r="C571" s="19"/>
      <c r="D571" s="19"/>
      <c r="E571" s="20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>
      <c r="A572" s="19"/>
      <c r="B572" s="19"/>
      <c r="C572" s="19"/>
      <c r="D572" s="19"/>
      <c r="E572" s="20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>
      <c r="A573" s="19"/>
      <c r="B573" s="19"/>
      <c r="C573" s="19"/>
      <c r="D573" s="19"/>
      <c r="E573" s="20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>
      <c r="A574" s="19"/>
      <c r="B574" s="19"/>
      <c r="C574" s="19"/>
      <c r="D574" s="19"/>
      <c r="E574" s="20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>
      <c r="A575" s="19"/>
      <c r="B575" s="19"/>
      <c r="C575" s="19"/>
      <c r="D575" s="19"/>
      <c r="E575" s="20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>
      <c r="A576" s="19"/>
      <c r="B576" s="19"/>
      <c r="C576" s="19"/>
      <c r="D576" s="19"/>
      <c r="E576" s="20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>
      <c r="A577" s="19"/>
      <c r="B577" s="19"/>
      <c r="C577" s="19"/>
      <c r="D577" s="19"/>
      <c r="E577" s="20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>
      <c r="A578" s="19"/>
      <c r="B578" s="19"/>
      <c r="C578" s="19"/>
      <c r="D578" s="19"/>
      <c r="E578" s="20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>
      <c r="A579" s="19"/>
      <c r="B579" s="19"/>
      <c r="C579" s="19"/>
      <c r="D579" s="19"/>
      <c r="E579" s="20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>
      <c r="A580" s="19"/>
      <c r="B580" s="19"/>
      <c r="C580" s="19"/>
      <c r="D580" s="19"/>
      <c r="E580" s="20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>
      <c r="A581" s="19"/>
      <c r="B581" s="19"/>
      <c r="C581" s="19"/>
      <c r="D581" s="19"/>
      <c r="E581" s="20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>
      <c r="A582" s="19"/>
      <c r="B582" s="19"/>
      <c r="C582" s="19"/>
      <c r="D582" s="19"/>
      <c r="E582" s="20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>
      <c r="A583" s="19"/>
      <c r="B583" s="19"/>
      <c r="C583" s="19"/>
      <c r="D583" s="19"/>
      <c r="E583" s="20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>
      <c r="A584" s="19"/>
      <c r="B584" s="19"/>
      <c r="C584" s="19"/>
      <c r="D584" s="19"/>
      <c r="E584" s="20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>
      <c r="A585" s="19"/>
      <c r="B585" s="19"/>
      <c r="C585" s="19"/>
      <c r="D585" s="19"/>
      <c r="E585" s="20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>
      <c r="A586" s="19"/>
      <c r="B586" s="19"/>
      <c r="C586" s="19"/>
      <c r="D586" s="19"/>
      <c r="E586" s="20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>
      <c r="A587" s="19"/>
      <c r="B587" s="19"/>
      <c r="C587" s="19"/>
      <c r="D587" s="19"/>
      <c r="E587" s="20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>
      <c r="A588" s="19"/>
      <c r="B588" s="19"/>
      <c r="C588" s="19"/>
      <c r="D588" s="19"/>
      <c r="E588" s="20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>
      <c r="A589" s="19"/>
      <c r="B589" s="19"/>
      <c r="C589" s="19"/>
      <c r="D589" s="19"/>
      <c r="E589" s="20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>
      <c r="A590" s="19"/>
      <c r="B590" s="19"/>
      <c r="C590" s="19"/>
      <c r="D590" s="19"/>
      <c r="E590" s="20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>
      <c r="A591" s="19"/>
      <c r="B591" s="19"/>
      <c r="C591" s="19"/>
      <c r="D591" s="19"/>
      <c r="E591" s="20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>
      <c r="A592" s="19"/>
      <c r="B592" s="19"/>
      <c r="C592" s="19"/>
      <c r="D592" s="19"/>
      <c r="E592" s="20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>
      <c r="A593" s="19"/>
      <c r="B593" s="19"/>
      <c r="C593" s="19"/>
      <c r="D593" s="19"/>
      <c r="E593" s="20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>
      <c r="A594" s="19"/>
      <c r="B594" s="19"/>
      <c r="C594" s="19"/>
      <c r="D594" s="19"/>
      <c r="E594" s="20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>
      <c r="A595" s="19"/>
      <c r="B595" s="19"/>
      <c r="C595" s="19"/>
      <c r="D595" s="19"/>
      <c r="E595" s="20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>
      <c r="A596" s="19"/>
      <c r="B596" s="19"/>
      <c r="C596" s="19"/>
      <c r="D596" s="19"/>
      <c r="E596" s="20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>
      <c r="A597" s="19"/>
      <c r="B597" s="19"/>
      <c r="C597" s="19"/>
      <c r="D597" s="19"/>
      <c r="E597" s="20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>
      <c r="A598" s="19"/>
      <c r="B598" s="19"/>
      <c r="C598" s="19"/>
      <c r="D598" s="19"/>
      <c r="E598" s="20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>
      <c r="A599" s="19"/>
      <c r="B599" s="19"/>
      <c r="C599" s="19"/>
      <c r="D599" s="19"/>
      <c r="E599" s="20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>
      <c r="A600" s="19"/>
      <c r="B600" s="19"/>
      <c r="C600" s="19"/>
      <c r="D600" s="19"/>
      <c r="E600" s="20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>
      <c r="A601" s="19"/>
      <c r="B601" s="19"/>
      <c r="C601" s="19"/>
      <c r="D601" s="19"/>
      <c r="E601" s="20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>
      <c r="A602" s="19"/>
      <c r="B602" s="19"/>
      <c r="C602" s="19"/>
      <c r="D602" s="19"/>
      <c r="E602" s="20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>
      <c r="A603" s="19"/>
      <c r="B603" s="19"/>
      <c r="C603" s="19"/>
      <c r="D603" s="19"/>
      <c r="E603" s="20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>
      <c r="A604" s="19"/>
      <c r="B604" s="19"/>
      <c r="C604" s="19"/>
      <c r="D604" s="19"/>
      <c r="E604" s="20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>
      <c r="A605" s="19"/>
      <c r="B605" s="19"/>
      <c r="C605" s="19"/>
      <c r="D605" s="19"/>
      <c r="E605" s="20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>
      <c r="A606" s="19"/>
      <c r="B606" s="19"/>
      <c r="C606" s="19"/>
      <c r="D606" s="19"/>
      <c r="E606" s="20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>
      <c r="A607" s="19"/>
      <c r="B607" s="19"/>
      <c r="C607" s="19"/>
      <c r="D607" s="19"/>
      <c r="E607" s="20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>
      <c r="A608" s="19"/>
      <c r="B608" s="19"/>
      <c r="C608" s="19"/>
      <c r="D608" s="19"/>
      <c r="E608" s="20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>
      <c r="A609" s="19"/>
      <c r="B609" s="19"/>
      <c r="C609" s="19"/>
      <c r="D609" s="19"/>
      <c r="E609" s="20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>
      <c r="A610" s="19"/>
      <c r="B610" s="19"/>
      <c r="C610" s="19"/>
      <c r="D610" s="19"/>
      <c r="E610" s="20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>
      <c r="A611" s="19"/>
      <c r="B611" s="19"/>
      <c r="C611" s="19"/>
      <c r="D611" s="19"/>
      <c r="E611" s="20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>
      <c r="A612" s="19"/>
      <c r="B612" s="19"/>
      <c r="C612" s="19"/>
      <c r="D612" s="19"/>
      <c r="E612" s="20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>
      <c r="A613" s="19"/>
      <c r="B613" s="19"/>
      <c r="C613" s="19"/>
      <c r="D613" s="19"/>
      <c r="E613" s="20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>
      <c r="A614" s="19"/>
      <c r="B614" s="19"/>
      <c r="C614" s="19"/>
      <c r="D614" s="19"/>
      <c r="E614" s="20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>
      <c r="A615" s="19"/>
      <c r="B615" s="19"/>
      <c r="C615" s="19"/>
      <c r="D615" s="19"/>
      <c r="E615" s="20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>
      <c r="A616" s="19"/>
      <c r="B616" s="19"/>
      <c r="C616" s="19"/>
      <c r="D616" s="19"/>
      <c r="E616" s="20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>
      <c r="A617" s="19"/>
      <c r="B617" s="19"/>
      <c r="C617" s="19"/>
      <c r="D617" s="19"/>
      <c r="E617" s="20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>
      <c r="A618" s="19"/>
      <c r="B618" s="19"/>
      <c r="C618" s="19"/>
      <c r="D618" s="19"/>
      <c r="E618" s="20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>
      <c r="A619" s="19"/>
      <c r="B619" s="19"/>
      <c r="C619" s="19"/>
      <c r="D619" s="19"/>
      <c r="E619" s="20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>
      <c r="A620" s="19"/>
      <c r="B620" s="19"/>
      <c r="C620" s="19"/>
      <c r="D620" s="19"/>
      <c r="E620" s="20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>
      <c r="A621" s="19"/>
      <c r="B621" s="19"/>
      <c r="C621" s="19"/>
      <c r="D621" s="19"/>
      <c r="E621" s="20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>
      <c r="A622" s="19"/>
      <c r="B622" s="19"/>
      <c r="C622" s="19"/>
      <c r="D622" s="19"/>
      <c r="E622" s="20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>
      <c r="A623" s="19"/>
      <c r="B623" s="19"/>
      <c r="C623" s="19"/>
      <c r="D623" s="19"/>
      <c r="E623" s="20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>
      <c r="A624" s="19"/>
      <c r="B624" s="19"/>
      <c r="C624" s="19"/>
      <c r="D624" s="19"/>
      <c r="E624" s="20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>
      <c r="A625" s="19"/>
      <c r="B625" s="19"/>
      <c r="C625" s="19"/>
      <c r="D625" s="19"/>
      <c r="E625" s="20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>
      <c r="A626" s="19"/>
      <c r="B626" s="19"/>
      <c r="C626" s="19"/>
      <c r="D626" s="19"/>
      <c r="E626" s="20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>
      <c r="A627" s="19"/>
      <c r="B627" s="19"/>
      <c r="C627" s="19"/>
      <c r="D627" s="19"/>
      <c r="E627" s="20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>
      <c r="A628" s="19"/>
      <c r="B628" s="19"/>
      <c r="C628" s="19"/>
      <c r="D628" s="19"/>
      <c r="E628" s="20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>
      <c r="A629" s="19"/>
      <c r="B629" s="19"/>
      <c r="C629" s="19"/>
      <c r="D629" s="19"/>
      <c r="E629" s="20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>
      <c r="A630" s="19"/>
      <c r="B630" s="19"/>
      <c r="C630" s="19"/>
      <c r="D630" s="19"/>
      <c r="E630" s="20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>
      <c r="A631" s="19"/>
      <c r="B631" s="19"/>
      <c r="C631" s="19"/>
      <c r="D631" s="19"/>
      <c r="E631" s="20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>
      <c r="A632" s="19"/>
      <c r="B632" s="19"/>
      <c r="C632" s="19"/>
      <c r="D632" s="19"/>
      <c r="E632" s="20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>
      <c r="A633" s="19"/>
      <c r="B633" s="19"/>
      <c r="C633" s="19"/>
      <c r="D633" s="19"/>
      <c r="E633" s="20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>
      <c r="A634" s="19"/>
      <c r="B634" s="19"/>
      <c r="C634" s="19"/>
      <c r="D634" s="19"/>
      <c r="E634" s="20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>
      <c r="A635" s="19"/>
      <c r="B635" s="19"/>
      <c r="C635" s="19"/>
      <c r="D635" s="19"/>
      <c r="E635" s="20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>
      <c r="A636" s="19"/>
      <c r="B636" s="19"/>
      <c r="C636" s="19"/>
      <c r="D636" s="19"/>
      <c r="E636" s="20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>
      <c r="A637" s="19"/>
      <c r="B637" s="19"/>
      <c r="C637" s="19"/>
      <c r="D637" s="19"/>
      <c r="E637" s="20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>
      <c r="A638" s="19"/>
      <c r="B638" s="19"/>
      <c r="C638" s="19"/>
      <c r="D638" s="19"/>
      <c r="E638" s="20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>
      <c r="A639" s="19"/>
      <c r="B639" s="19"/>
      <c r="C639" s="19"/>
      <c r="D639" s="19"/>
      <c r="E639" s="20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>
      <c r="A640" s="19"/>
      <c r="B640" s="19"/>
      <c r="C640" s="19"/>
      <c r="D640" s="19"/>
      <c r="E640" s="20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>
      <c r="A641" s="19"/>
      <c r="B641" s="19"/>
      <c r="C641" s="19"/>
      <c r="D641" s="19"/>
      <c r="E641" s="20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>
      <c r="A642" s="19"/>
      <c r="B642" s="19"/>
      <c r="C642" s="19"/>
      <c r="D642" s="19"/>
      <c r="E642" s="20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>
      <c r="A643" s="19"/>
      <c r="B643" s="19"/>
      <c r="C643" s="19"/>
      <c r="D643" s="19"/>
      <c r="E643" s="20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>
      <c r="A644" s="19"/>
      <c r="B644" s="19"/>
      <c r="C644" s="19"/>
      <c r="D644" s="19"/>
      <c r="E644" s="20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>
      <c r="A645" s="19"/>
      <c r="B645" s="19"/>
      <c r="C645" s="19"/>
      <c r="D645" s="19"/>
      <c r="E645" s="20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>
      <c r="A646" s="19"/>
      <c r="B646" s="19"/>
      <c r="C646" s="19"/>
      <c r="D646" s="19"/>
      <c r="E646" s="20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>
      <c r="A647" s="19"/>
      <c r="B647" s="19"/>
      <c r="C647" s="19"/>
      <c r="D647" s="19"/>
      <c r="E647" s="20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>
      <c r="A648" s="19"/>
      <c r="B648" s="19"/>
      <c r="C648" s="19"/>
      <c r="D648" s="19"/>
      <c r="E648" s="20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>
      <c r="A649" s="19"/>
      <c r="B649" s="19"/>
      <c r="C649" s="19"/>
      <c r="D649" s="19"/>
      <c r="E649" s="20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>
      <c r="A650" s="19"/>
      <c r="B650" s="19"/>
      <c r="C650" s="19"/>
      <c r="D650" s="19"/>
      <c r="E650" s="20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>
      <c r="A651" s="19"/>
      <c r="B651" s="19"/>
      <c r="C651" s="19"/>
      <c r="D651" s="19"/>
      <c r="E651" s="20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>
      <c r="A652" s="19"/>
      <c r="B652" s="19"/>
      <c r="C652" s="19"/>
      <c r="D652" s="19"/>
      <c r="E652" s="20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>
      <c r="A653" s="19"/>
      <c r="B653" s="19"/>
      <c r="C653" s="19"/>
      <c r="D653" s="19"/>
      <c r="E653" s="20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>
      <c r="A654" s="19"/>
      <c r="B654" s="19"/>
      <c r="C654" s="19"/>
      <c r="D654" s="19"/>
      <c r="E654" s="20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>
      <c r="A655" s="19"/>
      <c r="B655" s="19"/>
      <c r="C655" s="19"/>
      <c r="D655" s="19"/>
      <c r="E655" s="20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>
      <c r="A656" s="19"/>
      <c r="B656" s="19"/>
      <c r="C656" s="19"/>
      <c r="D656" s="19"/>
      <c r="E656" s="20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>
      <c r="A657" s="19"/>
      <c r="B657" s="19"/>
      <c r="C657" s="19"/>
      <c r="D657" s="19"/>
      <c r="E657" s="20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>
      <c r="A658" s="19"/>
      <c r="B658" s="19"/>
      <c r="C658" s="19"/>
      <c r="D658" s="19"/>
      <c r="E658" s="20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>
      <c r="A659" s="19"/>
      <c r="B659" s="19"/>
      <c r="C659" s="19"/>
      <c r="D659" s="19"/>
      <c r="E659" s="20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>
      <c r="A660" s="19"/>
      <c r="B660" s="19"/>
      <c r="C660" s="19"/>
      <c r="D660" s="19"/>
      <c r="E660" s="20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>
      <c r="A661" s="19"/>
      <c r="B661" s="19"/>
      <c r="C661" s="19"/>
      <c r="D661" s="19"/>
      <c r="E661" s="20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>
      <c r="A662" s="19"/>
      <c r="B662" s="19"/>
      <c r="C662" s="19"/>
      <c r="D662" s="19"/>
      <c r="E662" s="20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>
      <c r="A663" s="19"/>
      <c r="B663" s="19"/>
      <c r="C663" s="19"/>
      <c r="D663" s="19"/>
      <c r="E663" s="20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>
      <c r="A664" s="19"/>
      <c r="B664" s="19"/>
      <c r="C664" s="19"/>
      <c r="D664" s="19"/>
      <c r="E664" s="20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>
      <c r="A665" s="19"/>
      <c r="B665" s="19"/>
      <c r="C665" s="19"/>
      <c r="D665" s="19"/>
      <c r="E665" s="20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>
      <c r="A666" s="19"/>
      <c r="B666" s="19"/>
      <c r="C666" s="19"/>
      <c r="D666" s="19"/>
      <c r="E666" s="20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>
      <c r="A667" s="19"/>
      <c r="B667" s="19"/>
      <c r="C667" s="19"/>
      <c r="D667" s="19"/>
      <c r="E667" s="20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>
      <c r="A668" s="19"/>
      <c r="B668" s="19"/>
      <c r="C668" s="19"/>
      <c r="D668" s="19"/>
      <c r="E668" s="20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>
      <c r="A669" s="19"/>
      <c r="B669" s="19"/>
      <c r="C669" s="19"/>
      <c r="D669" s="19"/>
      <c r="E669" s="20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>
      <c r="A670" s="19"/>
      <c r="B670" s="19"/>
      <c r="C670" s="19"/>
      <c r="D670" s="19"/>
      <c r="E670" s="20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>
      <c r="A671" s="19"/>
      <c r="B671" s="19"/>
      <c r="C671" s="19"/>
      <c r="D671" s="19"/>
      <c r="E671" s="20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>
      <c r="A672" s="19"/>
      <c r="B672" s="19"/>
      <c r="C672" s="19"/>
      <c r="D672" s="19"/>
      <c r="E672" s="20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>
      <c r="A673" s="19"/>
      <c r="B673" s="19"/>
      <c r="C673" s="19"/>
      <c r="D673" s="19"/>
      <c r="E673" s="20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>
      <c r="A674" s="19"/>
      <c r="B674" s="19"/>
      <c r="C674" s="19"/>
      <c r="D674" s="19"/>
      <c r="E674" s="20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>
      <c r="A675" s="19"/>
      <c r="B675" s="19"/>
      <c r="C675" s="19"/>
      <c r="D675" s="19"/>
      <c r="E675" s="20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>
      <c r="A676" s="19"/>
      <c r="B676" s="19"/>
      <c r="C676" s="19"/>
      <c r="D676" s="19"/>
      <c r="E676" s="20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>
      <c r="A677" s="19"/>
      <c r="B677" s="19"/>
      <c r="C677" s="19"/>
      <c r="D677" s="19"/>
      <c r="E677" s="20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>
      <c r="A678" s="19"/>
      <c r="B678" s="19"/>
      <c r="C678" s="19"/>
      <c r="D678" s="19"/>
      <c r="E678" s="20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>
      <c r="A679" s="19"/>
      <c r="B679" s="19"/>
      <c r="C679" s="19"/>
      <c r="D679" s="19"/>
      <c r="E679" s="20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>
      <c r="A680" s="19"/>
      <c r="B680" s="19"/>
      <c r="C680" s="19"/>
      <c r="D680" s="19"/>
      <c r="E680" s="20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>
      <c r="A681" s="19"/>
      <c r="B681" s="19"/>
      <c r="C681" s="19"/>
      <c r="D681" s="19"/>
      <c r="E681" s="20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>
      <c r="A682" s="19"/>
      <c r="B682" s="19"/>
      <c r="C682" s="19"/>
      <c r="D682" s="19"/>
      <c r="E682" s="20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>
      <c r="A683" s="19"/>
      <c r="B683" s="19"/>
      <c r="C683" s="19"/>
      <c r="D683" s="19"/>
      <c r="E683" s="20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>
      <c r="A684" s="19"/>
      <c r="B684" s="19"/>
      <c r="C684" s="19"/>
      <c r="D684" s="19"/>
      <c r="E684" s="20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>
      <c r="A685" s="19"/>
      <c r="B685" s="19"/>
      <c r="C685" s="19"/>
      <c r="D685" s="19"/>
      <c r="E685" s="20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>
      <c r="A686" s="19"/>
      <c r="B686" s="19"/>
      <c r="C686" s="19"/>
      <c r="D686" s="19"/>
      <c r="E686" s="20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>
      <c r="A687" s="19"/>
      <c r="B687" s="19"/>
      <c r="C687" s="19"/>
      <c r="D687" s="19"/>
      <c r="E687" s="20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>
      <c r="A688" s="19"/>
      <c r="B688" s="19"/>
      <c r="C688" s="19"/>
      <c r="D688" s="19"/>
      <c r="E688" s="20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>
      <c r="A689" s="19"/>
      <c r="B689" s="19"/>
      <c r="C689" s="19"/>
      <c r="D689" s="19"/>
      <c r="E689" s="20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>
      <c r="A690" s="19"/>
      <c r="B690" s="19"/>
      <c r="C690" s="19"/>
      <c r="D690" s="19"/>
      <c r="E690" s="20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>
      <c r="A691" s="19"/>
      <c r="B691" s="19"/>
      <c r="C691" s="19"/>
      <c r="D691" s="19"/>
      <c r="E691" s="20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>
      <c r="A692" s="19"/>
      <c r="B692" s="19"/>
      <c r="C692" s="19"/>
      <c r="D692" s="19"/>
      <c r="E692" s="20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>
      <c r="A693" s="19"/>
      <c r="B693" s="19"/>
      <c r="C693" s="19"/>
      <c r="D693" s="19"/>
      <c r="E693" s="20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>
      <c r="A694" s="19"/>
      <c r="B694" s="19"/>
      <c r="C694" s="19"/>
      <c r="D694" s="19"/>
      <c r="E694" s="20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>
      <c r="A695" s="19"/>
      <c r="B695" s="19"/>
      <c r="C695" s="19"/>
      <c r="D695" s="19"/>
      <c r="E695" s="20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>
      <c r="A696" s="19"/>
      <c r="B696" s="19"/>
      <c r="C696" s="19"/>
      <c r="D696" s="19"/>
      <c r="E696" s="20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>
      <c r="A697" s="19"/>
      <c r="B697" s="19"/>
      <c r="C697" s="19"/>
      <c r="D697" s="19"/>
      <c r="E697" s="20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>
      <c r="A698" s="19"/>
      <c r="B698" s="19"/>
      <c r="C698" s="19"/>
      <c r="D698" s="19"/>
      <c r="E698" s="20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>
      <c r="A699" s="19"/>
      <c r="B699" s="19"/>
      <c r="C699" s="19"/>
      <c r="D699" s="19"/>
      <c r="E699" s="20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>
      <c r="A700" s="19"/>
      <c r="B700" s="19"/>
      <c r="C700" s="19"/>
      <c r="D700" s="19"/>
      <c r="E700" s="20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>
      <c r="A701" s="19"/>
      <c r="B701" s="19"/>
      <c r="C701" s="19"/>
      <c r="D701" s="19"/>
      <c r="E701" s="20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>
      <c r="A702" s="19"/>
      <c r="B702" s="19"/>
      <c r="C702" s="19"/>
      <c r="D702" s="19"/>
      <c r="E702" s="20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>
      <c r="A703" s="19"/>
      <c r="B703" s="19"/>
      <c r="C703" s="19"/>
      <c r="D703" s="19"/>
      <c r="E703" s="20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>
      <c r="A704" s="19"/>
      <c r="B704" s="19"/>
      <c r="C704" s="19"/>
      <c r="D704" s="19"/>
      <c r="E704" s="20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>
      <c r="A705" s="19"/>
      <c r="B705" s="19"/>
      <c r="C705" s="19"/>
      <c r="D705" s="19"/>
      <c r="E705" s="20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>
      <c r="A706" s="19"/>
      <c r="B706" s="19"/>
      <c r="C706" s="19"/>
      <c r="D706" s="19"/>
      <c r="E706" s="20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>
      <c r="A707" s="19"/>
      <c r="B707" s="19"/>
      <c r="C707" s="19"/>
      <c r="D707" s="19"/>
      <c r="E707" s="20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>
      <c r="A708" s="19"/>
      <c r="B708" s="19"/>
      <c r="C708" s="19"/>
      <c r="D708" s="19"/>
      <c r="E708" s="20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>
      <c r="A709" s="19"/>
      <c r="B709" s="19"/>
      <c r="C709" s="19"/>
      <c r="D709" s="19"/>
      <c r="E709" s="20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>
      <c r="A710" s="19"/>
      <c r="B710" s="19"/>
      <c r="C710" s="19"/>
      <c r="D710" s="19"/>
      <c r="E710" s="20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>
      <c r="A711" s="19"/>
      <c r="B711" s="19"/>
      <c r="C711" s="19"/>
      <c r="D711" s="19"/>
      <c r="E711" s="20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>
      <c r="A712" s="19"/>
      <c r="B712" s="19"/>
      <c r="C712" s="19"/>
      <c r="D712" s="19"/>
      <c r="E712" s="20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>
      <c r="A713" s="19"/>
      <c r="B713" s="19"/>
      <c r="C713" s="19"/>
      <c r="D713" s="19"/>
      <c r="E713" s="20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>
      <c r="A714" s="19"/>
      <c r="B714" s="19"/>
      <c r="C714" s="19"/>
      <c r="D714" s="19"/>
      <c r="E714" s="20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>
      <c r="A715" s="19"/>
      <c r="B715" s="19"/>
      <c r="C715" s="19"/>
      <c r="D715" s="19"/>
      <c r="E715" s="20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>
      <c r="A716" s="19"/>
      <c r="B716" s="19"/>
      <c r="C716" s="19"/>
      <c r="D716" s="19"/>
      <c r="E716" s="20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>
      <c r="A717" s="19"/>
      <c r="B717" s="19"/>
      <c r="C717" s="19"/>
      <c r="D717" s="19"/>
      <c r="E717" s="20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>
      <c r="A718" s="19"/>
      <c r="B718" s="19"/>
      <c r="C718" s="19"/>
      <c r="D718" s="19"/>
      <c r="E718" s="20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>
      <c r="A719" s="19"/>
      <c r="B719" s="19"/>
      <c r="C719" s="19"/>
      <c r="D719" s="19"/>
      <c r="E719" s="20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>
      <c r="A720" s="19"/>
      <c r="B720" s="19"/>
      <c r="C720" s="19"/>
      <c r="D720" s="19"/>
      <c r="E720" s="20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>
      <c r="A721" s="19"/>
      <c r="B721" s="19"/>
      <c r="C721" s="19"/>
      <c r="D721" s="19"/>
      <c r="E721" s="20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>
      <c r="A722" s="19"/>
      <c r="B722" s="19"/>
      <c r="C722" s="19"/>
      <c r="D722" s="19"/>
      <c r="E722" s="20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>
      <c r="A723" s="19"/>
      <c r="B723" s="19"/>
      <c r="C723" s="19"/>
      <c r="D723" s="19"/>
      <c r="E723" s="20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>
      <c r="A724" s="19"/>
      <c r="B724" s="19"/>
      <c r="C724" s="19"/>
      <c r="D724" s="19"/>
      <c r="E724" s="20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>
      <c r="A725" s="19"/>
      <c r="B725" s="19"/>
      <c r="C725" s="19"/>
      <c r="D725" s="19"/>
      <c r="E725" s="20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>
      <c r="A726" s="19"/>
      <c r="B726" s="19"/>
      <c r="C726" s="19"/>
      <c r="D726" s="19"/>
      <c r="E726" s="20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>
      <c r="A727" s="19"/>
      <c r="B727" s="19"/>
      <c r="C727" s="19"/>
      <c r="D727" s="19"/>
      <c r="E727" s="20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>
      <c r="A728" s="19"/>
      <c r="B728" s="19"/>
      <c r="C728" s="19"/>
      <c r="D728" s="19"/>
      <c r="E728" s="20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>
      <c r="A729" s="19"/>
      <c r="B729" s="19"/>
      <c r="C729" s="19"/>
      <c r="D729" s="19"/>
      <c r="E729" s="20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>
      <c r="A730" s="19"/>
      <c r="B730" s="19"/>
      <c r="C730" s="19"/>
      <c r="D730" s="19"/>
      <c r="E730" s="20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>
      <c r="A731" s="19"/>
      <c r="B731" s="19"/>
      <c r="C731" s="19"/>
      <c r="D731" s="19"/>
      <c r="E731" s="20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>
      <c r="A732" s="19"/>
      <c r="B732" s="19"/>
      <c r="C732" s="19"/>
      <c r="D732" s="19"/>
      <c r="E732" s="20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>
      <c r="A733" s="19"/>
      <c r="B733" s="19"/>
      <c r="C733" s="19"/>
      <c r="D733" s="19"/>
      <c r="E733" s="20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>
      <c r="A734" s="19"/>
      <c r="B734" s="19"/>
      <c r="C734" s="19"/>
      <c r="D734" s="19"/>
      <c r="E734" s="20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>
      <c r="A735" s="19"/>
      <c r="B735" s="19"/>
      <c r="C735" s="19"/>
      <c r="D735" s="19"/>
      <c r="E735" s="20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>
      <c r="A736" s="19"/>
      <c r="B736" s="19"/>
      <c r="C736" s="19"/>
      <c r="D736" s="19"/>
      <c r="E736" s="20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>
      <c r="A737" s="19"/>
      <c r="B737" s="19"/>
      <c r="C737" s="19"/>
      <c r="D737" s="19"/>
      <c r="E737" s="20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>
      <c r="A738" s="19"/>
      <c r="B738" s="19"/>
      <c r="C738" s="19"/>
      <c r="D738" s="19"/>
      <c r="E738" s="20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>
      <c r="A739" s="19"/>
      <c r="B739" s="19"/>
      <c r="C739" s="19"/>
      <c r="D739" s="19"/>
      <c r="E739" s="20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>
      <c r="A740" s="19"/>
      <c r="B740" s="19"/>
      <c r="C740" s="19"/>
      <c r="D740" s="19"/>
      <c r="E740" s="20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>
      <c r="A741" s="19"/>
      <c r="B741" s="19"/>
      <c r="C741" s="19"/>
      <c r="D741" s="19"/>
      <c r="E741" s="20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>
      <c r="A742" s="19"/>
      <c r="B742" s="19"/>
      <c r="C742" s="19"/>
      <c r="D742" s="19"/>
      <c r="E742" s="20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>
      <c r="A743" s="19"/>
      <c r="B743" s="19"/>
      <c r="C743" s="19"/>
      <c r="D743" s="19"/>
      <c r="E743" s="20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>
      <c r="A744" s="19"/>
      <c r="B744" s="19"/>
      <c r="C744" s="19"/>
      <c r="D744" s="19"/>
      <c r="E744" s="20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>
      <c r="A745" s="19"/>
      <c r="B745" s="19"/>
      <c r="C745" s="19"/>
      <c r="D745" s="19"/>
      <c r="E745" s="20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>
      <c r="A746" s="19"/>
      <c r="B746" s="19"/>
      <c r="C746" s="19"/>
      <c r="D746" s="19"/>
      <c r="E746" s="20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>
      <c r="A747" s="19"/>
      <c r="B747" s="19"/>
      <c r="C747" s="19"/>
      <c r="D747" s="19"/>
      <c r="E747" s="20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>
      <c r="A748" s="19"/>
      <c r="B748" s="19"/>
      <c r="C748" s="19"/>
      <c r="D748" s="19"/>
      <c r="E748" s="20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>
      <c r="A749" s="19"/>
      <c r="B749" s="19"/>
      <c r="C749" s="19"/>
      <c r="D749" s="19"/>
      <c r="E749" s="20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>
      <c r="A750" s="19"/>
      <c r="B750" s="19"/>
      <c r="C750" s="19"/>
      <c r="D750" s="19"/>
      <c r="E750" s="20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>
      <c r="A751" s="19"/>
      <c r="B751" s="19"/>
      <c r="C751" s="19"/>
      <c r="D751" s="19"/>
      <c r="E751" s="20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>
      <c r="A752" s="19"/>
      <c r="B752" s="19"/>
      <c r="C752" s="19"/>
      <c r="D752" s="19"/>
      <c r="E752" s="20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>
      <c r="A753" s="19"/>
      <c r="B753" s="19"/>
      <c r="C753" s="19"/>
      <c r="D753" s="19"/>
      <c r="E753" s="20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>
      <c r="A754" s="19"/>
      <c r="B754" s="19"/>
      <c r="C754" s="19"/>
      <c r="D754" s="19"/>
      <c r="E754" s="20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>
      <c r="A755" s="19"/>
      <c r="B755" s="19"/>
      <c r="C755" s="19"/>
      <c r="D755" s="19"/>
      <c r="E755" s="20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>
      <c r="A756" s="19"/>
      <c r="B756" s="19"/>
      <c r="C756" s="19"/>
      <c r="D756" s="19"/>
      <c r="E756" s="20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>
      <c r="A757" s="19"/>
      <c r="B757" s="19"/>
      <c r="C757" s="19"/>
      <c r="D757" s="19"/>
      <c r="E757" s="20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>
      <c r="A758" s="19"/>
      <c r="B758" s="19"/>
      <c r="C758" s="19"/>
      <c r="D758" s="19"/>
      <c r="E758" s="20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>
      <c r="A759" s="19"/>
      <c r="B759" s="19"/>
      <c r="C759" s="19"/>
      <c r="D759" s="19"/>
      <c r="E759" s="20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>
      <c r="A760" s="19"/>
      <c r="B760" s="19"/>
      <c r="C760" s="19"/>
      <c r="D760" s="19"/>
      <c r="E760" s="20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>
      <c r="A761" s="19"/>
      <c r="B761" s="19"/>
      <c r="C761" s="19"/>
      <c r="D761" s="19"/>
      <c r="E761" s="20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>
      <c r="A762" s="19"/>
      <c r="B762" s="19"/>
      <c r="C762" s="19"/>
      <c r="D762" s="19"/>
      <c r="E762" s="20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>
      <c r="A763" s="19"/>
      <c r="B763" s="19"/>
      <c r="C763" s="19"/>
      <c r="D763" s="19"/>
      <c r="E763" s="20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>
      <c r="A764" s="19"/>
      <c r="B764" s="19"/>
      <c r="C764" s="19"/>
      <c r="D764" s="19"/>
      <c r="E764" s="20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>
      <c r="A765" s="19"/>
      <c r="B765" s="19"/>
      <c r="C765" s="19"/>
      <c r="D765" s="19"/>
      <c r="E765" s="20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>
      <c r="A766" s="19"/>
      <c r="B766" s="19"/>
      <c r="C766" s="19"/>
      <c r="D766" s="19"/>
      <c r="E766" s="20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>
      <c r="A767" s="19"/>
      <c r="B767" s="19"/>
      <c r="C767" s="19"/>
      <c r="D767" s="19"/>
      <c r="E767" s="20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>
      <c r="A768" s="19"/>
      <c r="B768" s="19"/>
      <c r="C768" s="19"/>
      <c r="D768" s="19"/>
      <c r="E768" s="20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>
      <c r="A769" s="19"/>
      <c r="B769" s="19"/>
      <c r="C769" s="19"/>
      <c r="D769" s="19"/>
      <c r="E769" s="20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>
      <c r="A770" s="19"/>
      <c r="B770" s="19"/>
      <c r="C770" s="19"/>
      <c r="D770" s="19"/>
      <c r="E770" s="20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>
      <c r="A771" s="19"/>
      <c r="B771" s="19"/>
      <c r="C771" s="19"/>
      <c r="D771" s="19"/>
      <c r="E771" s="20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>
      <c r="A772" s="19"/>
      <c r="B772" s="19"/>
      <c r="C772" s="19"/>
      <c r="D772" s="19"/>
      <c r="E772" s="20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>
      <c r="A773" s="19"/>
      <c r="B773" s="19"/>
      <c r="C773" s="19"/>
      <c r="D773" s="19"/>
      <c r="E773" s="20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>
      <c r="A774" s="19"/>
      <c r="B774" s="19"/>
      <c r="C774" s="19"/>
      <c r="D774" s="19"/>
      <c r="E774" s="20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>
      <c r="A775" s="19"/>
      <c r="B775" s="19"/>
      <c r="C775" s="19"/>
      <c r="D775" s="19"/>
      <c r="E775" s="20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>
      <c r="A776" s="19"/>
      <c r="B776" s="19"/>
      <c r="C776" s="19"/>
      <c r="D776" s="19"/>
      <c r="E776" s="20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>
      <c r="A777" s="19"/>
      <c r="B777" s="19"/>
      <c r="C777" s="19"/>
      <c r="D777" s="19"/>
      <c r="E777" s="20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>
      <c r="A778" s="19"/>
      <c r="B778" s="19"/>
      <c r="C778" s="19"/>
      <c r="D778" s="19"/>
      <c r="E778" s="20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>
      <c r="A779" s="19"/>
      <c r="B779" s="19"/>
      <c r="C779" s="19"/>
      <c r="D779" s="19"/>
      <c r="E779" s="20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>
      <c r="A780" s="19"/>
      <c r="B780" s="19"/>
      <c r="C780" s="19"/>
      <c r="D780" s="19"/>
      <c r="E780" s="20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>
      <c r="A781" s="19"/>
      <c r="B781" s="19"/>
      <c r="C781" s="19"/>
      <c r="D781" s="19"/>
      <c r="E781" s="20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>
      <c r="A782" s="19"/>
      <c r="B782" s="19"/>
      <c r="C782" s="19"/>
      <c r="D782" s="19"/>
      <c r="E782" s="20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>
      <c r="A783" s="19"/>
      <c r="B783" s="19"/>
      <c r="C783" s="19"/>
      <c r="D783" s="19"/>
      <c r="E783" s="20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>
      <c r="A784" s="19"/>
      <c r="B784" s="19"/>
      <c r="C784" s="19"/>
      <c r="D784" s="19"/>
      <c r="E784" s="20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>
      <c r="A785" s="19"/>
      <c r="B785" s="19"/>
      <c r="C785" s="19"/>
      <c r="D785" s="19"/>
      <c r="E785" s="20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>
      <c r="A786" s="19"/>
      <c r="B786" s="19"/>
      <c r="C786" s="19"/>
      <c r="D786" s="19"/>
      <c r="E786" s="20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>
      <c r="A787" s="19"/>
      <c r="B787" s="19"/>
      <c r="C787" s="19"/>
      <c r="D787" s="19"/>
      <c r="E787" s="20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>
      <c r="A788" s="19"/>
      <c r="B788" s="19"/>
      <c r="C788" s="19"/>
      <c r="D788" s="19"/>
      <c r="E788" s="20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>
      <c r="A789" s="19"/>
      <c r="B789" s="19"/>
      <c r="C789" s="19"/>
      <c r="D789" s="19"/>
      <c r="E789" s="20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>
      <c r="A790" s="19"/>
      <c r="B790" s="19"/>
      <c r="C790" s="19"/>
      <c r="D790" s="19"/>
      <c r="E790" s="20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>
      <c r="A791" s="19"/>
      <c r="B791" s="19"/>
      <c r="C791" s="19"/>
      <c r="D791" s="19"/>
      <c r="E791" s="20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>
      <c r="A792" s="19"/>
      <c r="B792" s="19"/>
      <c r="C792" s="19"/>
      <c r="D792" s="19"/>
      <c r="E792" s="20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>
      <c r="A793" s="19"/>
      <c r="B793" s="19"/>
      <c r="C793" s="19"/>
      <c r="D793" s="19"/>
      <c r="E793" s="20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>
      <c r="A794" s="19"/>
      <c r="B794" s="19"/>
      <c r="C794" s="19"/>
      <c r="D794" s="19"/>
      <c r="E794" s="20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>
      <c r="A795" s="19"/>
      <c r="B795" s="19"/>
      <c r="C795" s="19"/>
      <c r="D795" s="19"/>
      <c r="E795" s="20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>
      <c r="A796" s="19"/>
      <c r="B796" s="19"/>
      <c r="C796" s="19"/>
      <c r="D796" s="19"/>
      <c r="E796" s="20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>
      <c r="A797" s="19"/>
      <c r="B797" s="19"/>
      <c r="C797" s="19"/>
      <c r="D797" s="19"/>
      <c r="E797" s="20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>
      <c r="A798" s="19"/>
      <c r="B798" s="19"/>
      <c r="C798" s="19"/>
      <c r="D798" s="19"/>
      <c r="E798" s="20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>
      <c r="A799" s="19"/>
      <c r="B799" s="19"/>
      <c r="C799" s="19"/>
      <c r="D799" s="19"/>
      <c r="E799" s="20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>
      <c r="A800" s="19"/>
      <c r="B800" s="19"/>
      <c r="C800" s="19"/>
      <c r="D800" s="19"/>
      <c r="E800" s="20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>
      <c r="A801" s="19"/>
      <c r="B801" s="19"/>
      <c r="C801" s="19"/>
      <c r="D801" s="19"/>
      <c r="E801" s="20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>
      <c r="A802" s="19"/>
      <c r="B802" s="19"/>
      <c r="C802" s="19"/>
      <c r="D802" s="19"/>
      <c r="E802" s="20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>
      <c r="A803" s="19"/>
      <c r="B803" s="19"/>
      <c r="C803" s="19"/>
      <c r="D803" s="19"/>
      <c r="E803" s="20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>
      <c r="A804" s="19"/>
      <c r="B804" s="19"/>
      <c r="C804" s="19"/>
      <c r="D804" s="19"/>
      <c r="E804" s="20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>
      <c r="A805" s="19"/>
      <c r="B805" s="19"/>
      <c r="C805" s="19"/>
      <c r="D805" s="19"/>
      <c r="E805" s="20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>
      <c r="A806" s="19"/>
      <c r="B806" s="19"/>
      <c r="C806" s="19"/>
      <c r="D806" s="19"/>
      <c r="E806" s="20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>
      <c r="A807" s="19"/>
      <c r="B807" s="19"/>
      <c r="C807" s="19"/>
      <c r="D807" s="19"/>
      <c r="E807" s="20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>
      <c r="A808" s="19"/>
      <c r="B808" s="19"/>
      <c r="C808" s="19"/>
      <c r="D808" s="19"/>
      <c r="E808" s="20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>
      <c r="A809" s="19"/>
      <c r="B809" s="19"/>
      <c r="C809" s="19"/>
      <c r="D809" s="19"/>
      <c r="E809" s="20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>
      <c r="A810" s="19"/>
      <c r="B810" s="19"/>
      <c r="C810" s="19"/>
      <c r="D810" s="19"/>
      <c r="E810" s="20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>
      <c r="A811" s="19"/>
      <c r="B811" s="19"/>
      <c r="C811" s="19"/>
      <c r="D811" s="19"/>
      <c r="E811" s="20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>
      <c r="A812" s="19"/>
      <c r="B812" s="19"/>
      <c r="C812" s="19"/>
      <c r="D812" s="19"/>
      <c r="E812" s="20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>
      <c r="A813" s="19"/>
      <c r="B813" s="19"/>
      <c r="C813" s="19"/>
      <c r="D813" s="19"/>
      <c r="E813" s="20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>
      <c r="A814" s="19"/>
      <c r="B814" s="19"/>
      <c r="C814" s="19"/>
      <c r="D814" s="19"/>
      <c r="E814" s="20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>
      <c r="A815" s="19"/>
      <c r="B815" s="19"/>
      <c r="C815" s="19"/>
      <c r="D815" s="19"/>
      <c r="E815" s="20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>
      <c r="A816" s="19"/>
      <c r="B816" s="19"/>
      <c r="C816" s="19"/>
      <c r="D816" s="19"/>
      <c r="E816" s="20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>
      <c r="A817" s="19"/>
      <c r="B817" s="19"/>
      <c r="C817" s="19"/>
      <c r="D817" s="19"/>
      <c r="E817" s="20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>
      <c r="A818" s="19"/>
      <c r="B818" s="19"/>
      <c r="C818" s="19"/>
      <c r="D818" s="19"/>
      <c r="E818" s="20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>
      <c r="A819" s="19"/>
      <c r="B819" s="19"/>
      <c r="C819" s="19"/>
      <c r="D819" s="19"/>
      <c r="E819" s="20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>
      <c r="A820" s="19"/>
      <c r="B820" s="19"/>
      <c r="C820" s="19"/>
      <c r="D820" s="19"/>
      <c r="E820" s="20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>
      <c r="A821" s="19"/>
      <c r="B821" s="19"/>
      <c r="C821" s="19"/>
      <c r="D821" s="19"/>
      <c r="E821" s="20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>
      <c r="A822" s="19"/>
      <c r="B822" s="19"/>
      <c r="C822" s="19"/>
      <c r="D822" s="19"/>
      <c r="E822" s="20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>
      <c r="A823" s="19"/>
      <c r="B823" s="19"/>
      <c r="C823" s="19"/>
      <c r="D823" s="19"/>
      <c r="E823" s="20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>
      <c r="A824" s="19"/>
      <c r="B824" s="19"/>
      <c r="C824" s="19"/>
      <c r="D824" s="19"/>
      <c r="E824" s="20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>
      <c r="A825" s="19"/>
      <c r="B825" s="19"/>
      <c r="C825" s="19"/>
      <c r="D825" s="19"/>
      <c r="E825" s="20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>
      <c r="A826" s="19"/>
      <c r="B826" s="19"/>
      <c r="C826" s="19"/>
      <c r="D826" s="19"/>
      <c r="E826" s="20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>
      <c r="A827" s="19"/>
      <c r="B827" s="19"/>
      <c r="C827" s="19"/>
      <c r="D827" s="19"/>
      <c r="E827" s="20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>
      <c r="A828" s="19"/>
      <c r="B828" s="19"/>
      <c r="C828" s="19"/>
      <c r="D828" s="19"/>
      <c r="E828" s="20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>
      <c r="A829" s="19"/>
      <c r="B829" s="19"/>
      <c r="C829" s="19"/>
      <c r="D829" s="19"/>
      <c r="E829" s="20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>
      <c r="A830" s="19"/>
      <c r="B830" s="19"/>
      <c r="C830" s="19"/>
      <c r="D830" s="19"/>
      <c r="E830" s="20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>
      <c r="A831" s="19"/>
      <c r="B831" s="19"/>
      <c r="C831" s="19"/>
      <c r="D831" s="19"/>
      <c r="E831" s="20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>
      <c r="A832" s="19"/>
      <c r="B832" s="19"/>
      <c r="C832" s="19"/>
      <c r="D832" s="19"/>
      <c r="E832" s="20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>
      <c r="A833" s="19"/>
      <c r="B833" s="19"/>
      <c r="C833" s="19"/>
      <c r="D833" s="19"/>
      <c r="E833" s="20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>
      <c r="A834" s="19"/>
      <c r="B834" s="19"/>
      <c r="C834" s="19"/>
      <c r="D834" s="19"/>
      <c r="E834" s="20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>
      <c r="A835" s="19"/>
      <c r="B835" s="19"/>
      <c r="C835" s="19"/>
      <c r="D835" s="19"/>
      <c r="E835" s="20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>
      <c r="A836" s="19"/>
      <c r="B836" s="19"/>
      <c r="C836" s="19"/>
      <c r="D836" s="19"/>
      <c r="E836" s="20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>
      <c r="A837" s="19"/>
      <c r="B837" s="19"/>
      <c r="C837" s="19"/>
      <c r="D837" s="19"/>
      <c r="E837" s="20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>
      <c r="A838" s="19"/>
      <c r="B838" s="19"/>
      <c r="C838" s="19"/>
      <c r="D838" s="19"/>
      <c r="E838" s="20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>
      <c r="A839" s="19"/>
      <c r="B839" s="19"/>
      <c r="C839" s="19"/>
      <c r="D839" s="19"/>
      <c r="E839" s="20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>
      <c r="A840" s="19"/>
      <c r="B840" s="19"/>
      <c r="C840" s="19"/>
      <c r="D840" s="19"/>
      <c r="E840" s="20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>
      <c r="A841" s="19"/>
      <c r="B841" s="19"/>
      <c r="C841" s="19"/>
      <c r="D841" s="19"/>
      <c r="E841" s="20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>
      <c r="A842" s="19"/>
      <c r="B842" s="19"/>
      <c r="C842" s="19"/>
      <c r="D842" s="19"/>
      <c r="E842" s="20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>
      <c r="A843" s="19"/>
      <c r="B843" s="19"/>
      <c r="C843" s="19"/>
      <c r="D843" s="19"/>
      <c r="E843" s="20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>
      <c r="A844" s="19"/>
      <c r="B844" s="19"/>
      <c r="C844" s="19"/>
      <c r="D844" s="19"/>
      <c r="E844" s="20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>
      <c r="A845" s="19"/>
      <c r="B845" s="19"/>
      <c r="C845" s="19"/>
      <c r="D845" s="19"/>
      <c r="E845" s="20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>
      <c r="A846" s="19"/>
      <c r="B846" s="19"/>
      <c r="C846" s="19"/>
      <c r="D846" s="19"/>
      <c r="E846" s="20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>
      <c r="A847" s="19"/>
      <c r="B847" s="19"/>
      <c r="C847" s="19"/>
      <c r="D847" s="19"/>
      <c r="E847" s="20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>
      <c r="A848" s="19"/>
      <c r="B848" s="19"/>
      <c r="C848" s="19"/>
      <c r="D848" s="19"/>
      <c r="E848" s="20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>
      <c r="A849" s="19"/>
      <c r="B849" s="19"/>
      <c r="C849" s="19"/>
      <c r="D849" s="19"/>
      <c r="E849" s="20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>
      <c r="A850" s="19"/>
      <c r="B850" s="19"/>
      <c r="C850" s="19"/>
      <c r="D850" s="19"/>
      <c r="E850" s="20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>
      <c r="A851" s="19"/>
      <c r="B851" s="19"/>
      <c r="C851" s="19"/>
      <c r="D851" s="19"/>
      <c r="E851" s="20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>
      <c r="A852" s="19"/>
      <c r="B852" s="19"/>
      <c r="C852" s="19"/>
      <c r="D852" s="19"/>
      <c r="E852" s="20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>
      <c r="A853" s="19"/>
      <c r="B853" s="19"/>
      <c r="C853" s="19"/>
      <c r="D853" s="19"/>
      <c r="E853" s="20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>
      <c r="A854" s="19"/>
      <c r="B854" s="19"/>
      <c r="C854" s="19"/>
      <c r="D854" s="19"/>
      <c r="E854" s="20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>
      <c r="A855" s="19"/>
      <c r="B855" s="19"/>
      <c r="C855" s="19"/>
      <c r="D855" s="19"/>
      <c r="E855" s="20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>
      <c r="A856" s="19"/>
      <c r="B856" s="19"/>
      <c r="C856" s="19"/>
      <c r="D856" s="19"/>
      <c r="E856" s="20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>
      <c r="A857" s="19"/>
      <c r="B857" s="19"/>
      <c r="C857" s="19"/>
      <c r="D857" s="19"/>
      <c r="E857" s="20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>
      <c r="A858" s="19"/>
      <c r="B858" s="19"/>
      <c r="C858" s="19"/>
      <c r="D858" s="19"/>
      <c r="E858" s="20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>
      <c r="A859" s="19"/>
      <c r="B859" s="19"/>
      <c r="C859" s="19"/>
      <c r="D859" s="19"/>
      <c r="E859" s="20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>
      <c r="A860" s="19"/>
      <c r="B860" s="19"/>
      <c r="C860" s="19"/>
      <c r="D860" s="19"/>
      <c r="E860" s="20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>
      <c r="A861" s="19"/>
      <c r="B861" s="19"/>
      <c r="C861" s="19"/>
      <c r="D861" s="19"/>
      <c r="E861" s="20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>
      <c r="A862" s="19"/>
      <c r="B862" s="19"/>
      <c r="C862" s="19"/>
      <c r="D862" s="19"/>
      <c r="E862" s="20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>
      <c r="A863" s="19"/>
      <c r="B863" s="19"/>
      <c r="C863" s="19"/>
      <c r="D863" s="19"/>
      <c r="E863" s="20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>
      <c r="A864" s="19"/>
      <c r="B864" s="19"/>
      <c r="C864" s="19"/>
      <c r="D864" s="19"/>
      <c r="E864" s="20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>
      <c r="A865" s="19"/>
      <c r="B865" s="19"/>
      <c r="C865" s="19"/>
      <c r="D865" s="19"/>
      <c r="E865" s="20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>
      <c r="A866" s="19"/>
      <c r="B866" s="19"/>
      <c r="C866" s="19"/>
      <c r="D866" s="19"/>
      <c r="E866" s="20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>
      <c r="A867" s="19"/>
      <c r="B867" s="19"/>
      <c r="C867" s="19"/>
      <c r="D867" s="19"/>
      <c r="E867" s="20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>
      <c r="A868" s="19"/>
      <c r="B868" s="19"/>
      <c r="C868" s="19"/>
      <c r="D868" s="19"/>
      <c r="E868" s="20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>
      <c r="A869" s="19"/>
      <c r="B869" s="19"/>
      <c r="C869" s="19"/>
      <c r="D869" s="19"/>
      <c r="E869" s="20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>
      <c r="A870" s="19"/>
      <c r="B870" s="19"/>
      <c r="C870" s="19"/>
      <c r="D870" s="19"/>
      <c r="E870" s="20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>
      <c r="A871" s="19"/>
      <c r="B871" s="19"/>
      <c r="C871" s="19"/>
      <c r="D871" s="19"/>
      <c r="E871" s="20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>
      <c r="A872" s="19"/>
      <c r="B872" s="19"/>
      <c r="C872" s="19"/>
      <c r="D872" s="19"/>
      <c r="E872" s="20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>
      <c r="A873" s="19"/>
      <c r="B873" s="19"/>
      <c r="C873" s="19"/>
      <c r="D873" s="19"/>
      <c r="E873" s="20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>
      <c r="A874" s="19"/>
      <c r="B874" s="19"/>
      <c r="C874" s="19"/>
      <c r="D874" s="19"/>
      <c r="E874" s="20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>
      <c r="A875" s="19"/>
      <c r="B875" s="19"/>
      <c r="C875" s="19"/>
      <c r="D875" s="19"/>
      <c r="E875" s="20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>
      <c r="A876" s="19"/>
      <c r="B876" s="19"/>
      <c r="C876" s="19"/>
      <c r="D876" s="19"/>
      <c r="E876" s="20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>
      <c r="A877" s="19"/>
      <c r="B877" s="19"/>
      <c r="C877" s="19"/>
      <c r="D877" s="19"/>
      <c r="E877" s="20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>
      <c r="A878" s="19"/>
      <c r="B878" s="19"/>
      <c r="C878" s="19"/>
      <c r="D878" s="19"/>
      <c r="E878" s="20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>
      <c r="A879" s="19"/>
      <c r="B879" s="19"/>
      <c r="C879" s="19"/>
      <c r="D879" s="19"/>
      <c r="E879" s="20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>
      <c r="A880" s="19"/>
      <c r="B880" s="19"/>
      <c r="C880" s="19"/>
      <c r="D880" s="19"/>
      <c r="E880" s="20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>
      <c r="A881" s="19"/>
      <c r="B881" s="19"/>
      <c r="C881" s="19"/>
      <c r="D881" s="19"/>
      <c r="E881" s="20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>
      <c r="A882" s="19"/>
      <c r="B882" s="19"/>
      <c r="C882" s="19"/>
      <c r="D882" s="19"/>
      <c r="E882" s="20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>
      <c r="A883" s="19"/>
      <c r="B883" s="19"/>
      <c r="C883" s="19"/>
      <c r="D883" s="19"/>
      <c r="E883" s="20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>
      <c r="A884" s="19"/>
      <c r="B884" s="19"/>
      <c r="C884" s="19"/>
      <c r="D884" s="19"/>
      <c r="E884" s="20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>
      <c r="A885" s="19"/>
      <c r="B885" s="19"/>
      <c r="C885" s="19"/>
      <c r="D885" s="19"/>
      <c r="E885" s="20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>
      <c r="A886" s="19"/>
      <c r="B886" s="19"/>
      <c r="C886" s="19"/>
      <c r="D886" s="19"/>
      <c r="E886" s="20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>
      <c r="A887" s="19"/>
      <c r="B887" s="19"/>
      <c r="C887" s="19"/>
      <c r="D887" s="19"/>
      <c r="E887" s="20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>
      <c r="A888" s="19"/>
      <c r="B888" s="19"/>
      <c r="C888" s="19"/>
      <c r="D888" s="19"/>
      <c r="E888" s="20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>
      <c r="A889" s="19"/>
      <c r="B889" s="19"/>
      <c r="C889" s="19"/>
      <c r="D889" s="19"/>
      <c r="E889" s="20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>
      <c r="A890" s="19"/>
      <c r="B890" s="19"/>
      <c r="C890" s="19"/>
      <c r="D890" s="19"/>
      <c r="E890" s="20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>
      <c r="A891" s="19"/>
      <c r="B891" s="19"/>
      <c r="C891" s="19"/>
      <c r="D891" s="19"/>
      <c r="E891" s="20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>
      <c r="A892" s="19"/>
      <c r="B892" s="19"/>
      <c r="C892" s="19"/>
      <c r="D892" s="19"/>
      <c r="E892" s="20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>
      <c r="A893" s="19"/>
      <c r="B893" s="19"/>
      <c r="C893" s="19"/>
      <c r="D893" s="19"/>
      <c r="E893" s="20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>
      <c r="A894" s="19"/>
      <c r="B894" s="19"/>
      <c r="C894" s="19"/>
      <c r="D894" s="19"/>
      <c r="E894" s="20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>
      <c r="A895" s="19"/>
      <c r="B895" s="19"/>
      <c r="C895" s="19"/>
      <c r="D895" s="19"/>
      <c r="E895" s="20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>
      <c r="A896" s="19"/>
      <c r="B896" s="19"/>
      <c r="C896" s="19"/>
      <c r="D896" s="19"/>
      <c r="E896" s="20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>
      <c r="A897" s="19"/>
      <c r="B897" s="19"/>
      <c r="C897" s="19"/>
      <c r="D897" s="19"/>
      <c r="E897" s="20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>
      <c r="A898" s="19"/>
      <c r="B898" s="19"/>
      <c r="C898" s="19"/>
      <c r="D898" s="19"/>
      <c r="E898" s="20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>
      <c r="A899" s="19"/>
      <c r="B899" s="19"/>
      <c r="C899" s="19"/>
      <c r="D899" s="19"/>
      <c r="E899" s="20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>
      <c r="A900" s="19"/>
      <c r="B900" s="19"/>
      <c r="C900" s="19"/>
      <c r="D900" s="19"/>
      <c r="E900" s="20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>
      <c r="A901" s="19"/>
      <c r="B901" s="19"/>
      <c r="C901" s="19"/>
      <c r="D901" s="19"/>
      <c r="E901" s="20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>
      <c r="A902" s="19"/>
      <c r="B902" s="19"/>
      <c r="C902" s="19"/>
      <c r="D902" s="19"/>
      <c r="E902" s="20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>
      <c r="A903" s="19"/>
      <c r="B903" s="19"/>
      <c r="C903" s="19"/>
      <c r="D903" s="19"/>
      <c r="E903" s="20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>
      <c r="A904" s="19"/>
      <c r="B904" s="19"/>
      <c r="C904" s="19"/>
      <c r="D904" s="19"/>
      <c r="E904" s="20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>
      <c r="A905" s="19"/>
      <c r="B905" s="19"/>
      <c r="C905" s="19"/>
      <c r="D905" s="19"/>
      <c r="E905" s="20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>
      <c r="A906" s="19"/>
      <c r="B906" s="19"/>
      <c r="C906" s="19"/>
      <c r="D906" s="19"/>
      <c r="E906" s="20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>
      <c r="A907" s="19"/>
      <c r="B907" s="19"/>
      <c r="C907" s="19"/>
      <c r="D907" s="19"/>
      <c r="E907" s="20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>
      <c r="A908" s="19"/>
      <c r="B908" s="19"/>
      <c r="C908" s="19"/>
      <c r="D908" s="19"/>
      <c r="E908" s="20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>
      <c r="A909" s="19"/>
      <c r="B909" s="19"/>
      <c r="C909" s="19"/>
      <c r="D909" s="19"/>
      <c r="E909" s="20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>
      <c r="A910" s="19"/>
      <c r="B910" s="19"/>
      <c r="C910" s="19"/>
      <c r="D910" s="19"/>
      <c r="E910" s="20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>
      <c r="A911" s="19"/>
      <c r="B911" s="19"/>
      <c r="C911" s="19"/>
      <c r="D911" s="19"/>
      <c r="E911" s="20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>
      <c r="A912" s="19"/>
      <c r="B912" s="19"/>
      <c r="C912" s="19"/>
      <c r="D912" s="19"/>
      <c r="E912" s="20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>
      <c r="A913" s="19"/>
      <c r="B913" s="19"/>
      <c r="C913" s="19"/>
      <c r="D913" s="19"/>
      <c r="E913" s="20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>
      <c r="A914" s="19"/>
      <c r="B914" s="19"/>
      <c r="C914" s="19"/>
      <c r="D914" s="19"/>
      <c r="E914" s="20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>
      <c r="A915" s="19"/>
      <c r="B915" s="19"/>
      <c r="C915" s="19"/>
      <c r="D915" s="19"/>
      <c r="E915" s="20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>
      <c r="A916" s="19"/>
      <c r="B916" s="19"/>
      <c r="C916" s="19"/>
      <c r="D916" s="19"/>
      <c r="E916" s="20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>
      <c r="A917" s="19"/>
      <c r="B917" s="19"/>
      <c r="C917" s="19"/>
      <c r="D917" s="19"/>
      <c r="E917" s="20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>
      <c r="A918" s="19"/>
      <c r="B918" s="19"/>
      <c r="C918" s="19"/>
      <c r="D918" s="19"/>
      <c r="E918" s="20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>
      <c r="A919" s="19"/>
      <c r="B919" s="19"/>
      <c r="C919" s="19"/>
      <c r="D919" s="19"/>
      <c r="E919" s="20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>
      <c r="A920" s="19"/>
      <c r="B920" s="19"/>
      <c r="C920" s="19"/>
      <c r="D920" s="19"/>
      <c r="E920" s="20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>
      <c r="A921" s="19"/>
      <c r="B921" s="19"/>
      <c r="C921" s="19"/>
      <c r="D921" s="19"/>
      <c r="E921" s="20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>
      <c r="A922" s="19"/>
      <c r="B922" s="19"/>
      <c r="C922" s="19"/>
      <c r="D922" s="19"/>
      <c r="E922" s="20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>
      <c r="A923" s="19"/>
      <c r="B923" s="19"/>
      <c r="C923" s="19"/>
      <c r="D923" s="19"/>
      <c r="E923" s="20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>
      <c r="A924" s="19"/>
      <c r="B924" s="19"/>
      <c r="C924" s="19"/>
      <c r="D924" s="19"/>
      <c r="E924" s="20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>
      <c r="A925" s="19"/>
      <c r="B925" s="19"/>
      <c r="C925" s="19"/>
      <c r="D925" s="19"/>
      <c r="E925" s="20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>
      <c r="A926" s="19"/>
      <c r="B926" s="19"/>
      <c r="C926" s="19"/>
      <c r="D926" s="19"/>
      <c r="E926" s="20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>
      <c r="A927" s="19"/>
      <c r="B927" s="19"/>
      <c r="C927" s="19"/>
      <c r="D927" s="19"/>
      <c r="E927" s="20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>
      <c r="A928" s="19"/>
      <c r="B928" s="19"/>
      <c r="C928" s="19"/>
      <c r="D928" s="19"/>
      <c r="E928" s="20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>
      <c r="A929" s="19"/>
      <c r="B929" s="19"/>
      <c r="C929" s="19"/>
      <c r="D929" s="19"/>
      <c r="E929" s="20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>
      <c r="A930" s="19"/>
      <c r="B930" s="19"/>
      <c r="C930" s="19"/>
      <c r="D930" s="19"/>
      <c r="E930" s="20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>
      <c r="A931" s="19"/>
      <c r="B931" s="19"/>
      <c r="C931" s="19"/>
      <c r="D931" s="19"/>
      <c r="E931" s="20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>
      <c r="A932" s="19"/>
      <c r="B932" s="19"/>
      <c r="C932" s="19"/>
      <c r="D932" s="19"/>
      <c r="E932" s="20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>
      <c r="A933" s="19"/>
      <c r="B933" s="19"/>
      <c r="C933" s="19"/>
      <c r="D933" s="19"/>
      <c r="E933" s="20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>
      <c r="A934" s="19"/>
      <c r="B934" s="19"/>
      <c r="C934" s="19"/>
      <c r="D934" s="19"/>
      <c r="E934" s="20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>
      <c r="A935" s="19"/>
      <c r="B935" s="19"/>
      <c r="C935" s="19"/>
      <c r="D935" s="19"/>
      <c r="E935" s="20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>
      <c r="A936" s="19"/>
      <c r="B936" s="19"/>
      <c r="C936" s="19"/>
      <c r="D936" s="19"/>
      <c r="E936" s="20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>
      <c r="A937" s="19"/>
      <c r="B937" s="19"/>
      <c r="C937" s="19"/>
      <c r="D937" s="19"/>
      <c r="E937" s="20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>
      <c r="A938" s="19"/>
      <c r="B938" s="19"/>
      <c r="C938" s="19"/>
      <c r="D938" s="19"/>
      <c r="E938" s="20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>
      <c r="A939" s="19"/>
      <c r="B939" s="19"/>
      <c r="C939" s="19"/>
      <c r="D939" s="19"/>
      <c r="E939" s="20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>
      <c r="A940" s="19"/>
      <c r="B940" s="19"/>
      <c r="C940" s="19"/>
      <c r="D940" s="19"/>
      <c r="E940" s="20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>
      <c r="A941" s="19"/>
      <c r="B941" s="19"/>
      <c r="C941" s="19"/>
      <c r="D941" s="19"/>
      <c r="E941" s="20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>
      <c r="A942" s="19"/>
      <c r="B942" s="19"/>
      <c r="C942" s="19"/>
      <c r="D942" s="19"/>
      <c r="E942" s="20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>
      <c r="A943" s="19"/>
      <c r="B943" s="19"/>
      <c r="C943" s="19"/>
      <c r="D943" s="19"/>
      <c r="E943" s="20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>
      <c r="A944" s="19"/>
      <c r="B944" s="19"/>
      <c r="C944" s="19"/>
      <c r="D944" s="19"/>
      <c r="E944" s="20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>
      <c r="A945" s="19"/>
      <c r="B945" s="19"/>
      <c r="C945" s="19"/>
      <c r="D945" s="19"/>
      <c r="E945" s="20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>
      <c r="A946" s="19"/>
      <c r="B946" s="19"/>
      <c r="C946" s="19"/>
      <c r="D946" s="19"/>
      <c r="E946" s="20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>
      <c r="A947" s="19"/>
      <c r="B947" s="19"/>
      <c r="C947" s="19"/>
      <c r="D947" s="19"/>
      <c r="E947" s="20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>
      <c r="A948" s="19"/>
      <c r="B948" s="19"/>
      <c r="C948" s="19"/>
      <c r="D948" s="19"/>
      <c r="E948" s="20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>
      <c r="A949" s="19"/>
      <c r="B949" s="19"/>
      <c r="C949" s="19"/>
      <c r="D949" s="19"/>
      <c r="E949" s="20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>
      <c r="A950" s="19"/>
      <c r="B950" s="19"/>
      <c r="C950" s="19"/>
      <c r="D950" s="19"/>
      <c r="E950" s="20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>
      <c r="A951" s="19"/>
      <c r="B951" s="19"/>
      <c r="C951" s="19"/>
      <c r="D951" s="19"/>
      <c r="E951" s="20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>
      <c r="A952" s="19"/>
      <c r="B952" s="19"/>
      <c r="C952" s="19"/>
      <c r="D952" s="19"/>
      <c r="E952" s="20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>
      <c r="A953" s="19"/>
      <c r="B953" s="19"/>
      <c r="C953" s="19"/>
      <c r="D953" s="19"/>
      <c r="E953" s="20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>
      <c r="A954" s="19"/>
      <c r="B954" s="19"/>
      <c r="C954" s="19"/>
      <c r="D954" s="19"/>
      <c r="E954" s="20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>
      <c r="A955" s="19"/>
      <c r="B955" s="19"/>
      <c r="C955" s="19"/>
      <c r="D955" s="19"/>
      <c r="E955" s="20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>
      <c r="A956" s="19"/>
      <c r="B956" s="19"/>
      <c r="C956" s="19"/>
      <c r="D956" s="19"/>
      <c r="E956" s="20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>
      <c r="A957" s="19"/>
      <c r="B957" s="19"/>
      <c r="C957" s="19"/>
      <c r="D957" s="19"/>
      <c r="E957" s="20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>
      <c r="A958" s="19"/>
      <c r="B958" s="19"/>
      <c r="C958" s="19"/>
      <c r="D958" s="19"/>
      <c r="E958" s="20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>
      <c r="A959" s="19"/>
      <c r="B959" s="19"/>
      <c r="C959" s="19"/>
      <c r="D959" s="19"/>
      <c r="E959" s="20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>
      <c r="A960" s="19"/>
      <c r="B960" s="19"/>
      <c r="C960" s="19"/>
      <c r="D960" s="19"/>
      <c r="E960" s="20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>
      <c r="A961" s="19"/>
      <c r="B961" s="19"/>
      <c r="C961" s="19"/>
      <c r="D961" s="19"/>
      <c r="E961" s="20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>
      <c r="A962" s="19"/>
      <c r="B962" s="19"/>
      <c r="C962" s="19"/>
      <c r="D962" s="19"/>
      <c r="E962" s="20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>
      <c r="A963" s="19"/>
      <c r="B963" s="19"/>
      <c r="C963" s="19"/>
      <c r="D963" s="19"/>
      <c r="E963" s="20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>
      <c r="A964" s="19"/>
      <c r="B964" s="19"/>
      <c r="C964" s="19"/>
      <c r="D964" s="19"/>
      <c r="E964" s="20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>
      <c r="A965" s="19"/>
      <c r="B965" s="19"/>
      <c r="C965" s="19"/>
      <c r="D965" s="19"/>
      <c r="E965" s="20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>
      <c r="A966" s="19"/>
      <c r="B966" s="19"/>
      <c r="C966" s="19"/>
      <c r="D966" s="19"/>
      <c r="E966" s="20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>
      <c r="A967" s="19"/>
      <c r="B967" s="19"/>
      <c r="C967" s="19"/>
      <c r="D967" s="19"/>
      <c r="E967" s="20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>
      <c r="A968" s="19"/>
      <c r="B968" s="19"/>
      <c r="C968" s="19"/>
      <c r="D968" s="19"/>
      <c r="E968" s="20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>
      <c r="A969" s="19"/>
      <c r="B969" s="19"/>
      <c r="C969" s="19"/>
      <c r="D969" s="19"/>
      <c r="E969" s="20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>
      <c r="A970" s="19"/>
      <c r="B970" s="19"/>
      <c r="C970" s="19"/>
      <c r="D970" s="19"/>
      <c r="E970" s="20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>
      <c r="A971" s="19"/>
      <c r="B971" s="19"/>
      <c r="C971" s="19"/>
      <c r="D971" s="19"/>
      <c r="E971" s="20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>
      <c r="A972" s="19"/>
      <c r="B972" s="19"/>
      <c r="C972" s="19"/>
      <c r="D972" s="19"/>
      <c r="E972" s="20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>
      <c r="A973" s="19"/>
      <c r="B973" s="19"/>
      <c r="C973" s="19"/>
      <c r="D973" s="19"/>
      <c r="E973" s="20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>
      <c r="A974" s="19"/>
      <c r="B974" s="19"/>
      <c r="C974" s="19"/>
      <c r="D974" s="19"/>
      <c r="E974" s="20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>
      <c r="A975" s="19"/>
      <c r="B975" s="19"/>
      <c r="C975" s="19"/>
      <c r="D975" s="19"/>
      <c r="E975" s="20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>
      <c r="A976" s="19"/>
      <c r="B976" s="19"/>
      <c r="C976" s="19"/>
      <c r="D976" s="19"/>
      <c r="E976" s="20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>
      <c r="A977" s="19"/>
      <c r="B977" s="19"/>
      <c r="C977" s="19"/>
      <c r="D977" s="19"/>
      <c r="E977" s="20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>
      <c r="A978" s="19"/>
      <c r="B978" s="19"/>
      <c r="C978" s="19"/>
      <c r="D978" s="19"/>
      <c r="E978" s="20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>
      <c r="A979" s="19"/>
      <c r="B979" s="19"/>
      <c r="C979" s="19"/>
      <c r="D979" s="19"/>
      <c r="E979" s="20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>
      <c r="A980" s="19"/>
      <c r="B980" s="19"/>
      <c r="C980" s="19"/>
      <c r="D980" s="19"/>
      <c r="E980" s="20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>
      <c r="A981" s="19"/>
      <c r="B981" s="19"/>
      <c r="C981" s="19"/>
      <c r="D981" s="19"/>
      <c r="E981" s="20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>
      <c r="A982" s="19"/>
      <c r="B982" s="19"/>
      <c r="C982" s="19"/>
      <c r="D982" s="19"/>
      <c r="E982" s="20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>
      <c r="A983" s="19"/>
      <c r="B983" s="19"/>
      <c r="C983" s="19"/>
      <c r="D983" s="19"/>
      <c r="E983" s="20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>
      <c r="A984" s="19"/>
      <c r="B984" s="19"/>
      <c r="C984" s="19"/>
      <c r="D984" s="19"/>
      <c r="E984" s="20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>
      <c r="A985" s="19"/>
      <c r="B985" s="19"/>
      <c r="C985" s="19"/>
      <c r="D985" s="19"/>
      <c r="E985" s="20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>
      <c r="A986" s="19"/>
      <c r="B986" s="19"/>
      <c r="C986" s="19"/>
      <c r="D986" s="19"/>
      <c r="E986" s="20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>
      <c r="A987" s="19"/>
      <c r="B987" s="19"/>
      <c r="C987" s="19"/>
      <c r="D987" s="19"/>
      <c r="E987" s="20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>
      <c r="A988" s="19"/>
      <c r="B988" s="19"/>
      <c r="C988" s="19"/>
      <c r="D988" s="19"/>
      <c r="E988" s="20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>
      <c r="A989" s="19"/>
      <c r="B989" s="19"/>
      <c r="C989" s="19"/>
      <c r="D989" s="19"/>
      <c r="E989" s="20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>
      <c r="A990" s="19"/>
      <c r="B990" s="19"/>
      <c r="C990" s="19"/>
      <c r="D990" s="19"/>
      <c r="E990" s="20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>
      <c r="A991" s="19"/>
      <c r="B991" s="19"/>
      <c r="C991" s="19"/>
      <c r="D991" s="19"/>
      <c r="E991" s="20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>
      <c r="A992" s="19"/>
      <c r="B992" s="19"/>
      <c r="C992" s="19"/>
      <c r="D992" s="19"/>
      <c r="E992" s="20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>
      <c r="A993" s="19"/>
      <c r="B993" s="19"/>
      <c r="C993" s="19"/>
      <c r="D993" s="19"/>
      <c r="E993" s="20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>
      <c r="A994" s="19"/>
      <c r="B994" s="19"/>
      <c r="C994" s="19"/>
      <c r="D994" s="19"/>
      <c r="E994" s="20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>
      <c r="A995" s="19"/>
      <c r="B995" s="19"/>
      <c r="C995" s="19"/>
      <c r="D995" s="19"/>
      <c r="E995" s="20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>
      <c r="A996" s="19"/>
      <c r="B996" s="19"/>
      <c r="C996" s="19"/>
      <c r="D996" s="19"/>
      <c r="E996" s="20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>
      <c r="A997" s="19"/>
      <c r="B997" s="19"/>
      <c r="C997" s="19"/>
      <c r="D997" s="19"/>
      <c r="E997" s="20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>
      <c r="A998" s="19"/>
      <c r="B998" s="19"/>
      <c r="C998" s="19"/>
      <c r="D998" s="19"/>
      <c r="E998" s="20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75" customHeight="1">
      <c r="A999" s="19"/>
      <c r="B999" s="19"/>
      <c r="C999" s="19"/>
      <c r="D999" s="19"/>
      <c r="E999" s="20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75" customHeight="1">
      <c r="A1000" s="19"/>
      <c r="B1000" s="19"/>
      <c r="C1000" s="19"/>
      <c r="D1000" s="19"/>
      <c r="E1000" s="20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5">
    <mergeCell ref="B6:E6"/>
    <mergeCell ref="B25:E25"/>
    <mergeCell ref="B46:E46"/>
    <mergeCell ref="B65:B67"/>
    <mergeCell ref="F65:F67"/>
  </mergeCells>
  <pageMargins left="0.7" right="0.7" top="0.75" bottom="0.75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baseColWidth="10" defaultColWidth="14.5" defaultRowHeight="15" customHeight="1"/>
  <cols>
    <col min="1" max="1" width="10.1640625" customWidth="1"/>
    <col min="2" max="2" width="18.5" customWidth="1"/>
    <col min="3" max="4" width="13.6640625" customWidth="1"/>
    <col min="5" max="5" width="21.6640625" customWidth="1"/>
    <col min="6" max="6" width="13" customWidth="1"/>
    <col min="7" max="26" width="8.6640625" customWidth="1"/>
  </cols>
  <sheetData>
    <row r="1" spans="1:26" ht="16">
      <c r="A1" s="19"/>
      <c r="B1" s="19"/>
      <c r="C1" s="19"/>
      <c r="D1" s="19"/>
      <c r="E1" s="20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8">
      <c r="A2" s="19"/>
      <c r="B2" s="21" t="s">
        <v>33</v>
      </c>
      <c r="C2" s="21"/>
      <c r="D2" s="21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6">
      <c r="A3" s="19"/>
      <c r="B3" s="19" t="s">
        <v>54</v>
      </c>
      <c r="C3" s="19"/>
      <c r="D3" s="19"/>
      <c r="E3" s="20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6">
      <c r="A4" s="19"/>
      <c r="B4" s="19"/>
      <c r="C4" s="19"/>
      <c r="D4" s="19"/>
      <c r="E4" s="20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6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25.5" customHeight="1">
      <c r="A6" s="19"/>
      <c r="B6" s="49" t="s">
        <v>35</v>
      </c>
      <c r="C6" s="50"/>
      <c r="D6" s="50"/>
      <c r="E6" s="5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6">
      <c r="A7" s="19"/>
      <c r="B7" s="22" t="s">
        <v>36</v>
      </c>
      <c r="C7" s="22" t="s">
        <v>37</v>
      </c>
      <c r="D7" s="23" t="s">
        <v>6</v>
      </c>
      <c r="E7" s="22" t="s">
        <v>7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6">
      <c r="A8" s="19"/>
      <c r="B8" s="24" t="s">
        <v>8</v>
      </c>
      <c r="C8" s="24" t="s">
        <v>9</v>
      </c>
      <c r="D8" s="25" t="s">
        <v>10</v>
      </c>
      <c r="E8" s="24" t="s">
        <v>11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6">
      <c r="A9" s="19"/>
      <c r="B9" s="26">
        <v>0</v>
      </c>
      <c r="C9" s="26">
        <v>0</v>
      </c>
      <c r="D9" s="27">
        <v>0</v>
      </c>
      <c r="E9" s="28">
        <v>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6">
      <c r="A10" s="19" t="s">
        <v>25</v>
      </c>
      <c r="B10" s="26">
        <v>16</v>
      </c>
      <c r="C10" s="29">
        <v>30</v>
      </c>
      <c r="D10" s="27">
        <f t="shared" ref="D10:D17" si="0">C10/(B10-B9)</f>
        <v>1.875</v>
      </c>
      <c r="E10" s="28">
        <f t="shared" ref="E10:E17" si="1">E9+C10</f>
        <v>30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6">
      <c r="A11" s="19"/>
      <c r="B11" s="26">
        <v>26.6</v>
      </c>
      <c r="C11" s="26">
        <v>28.81</v>
      </c>
      <c r="D11" s="27">
        <f t="shared" si="0"/>
        <v>2.7179245283018862</v>
      </c>
      <c r="E11" s="28">
        <f t="shared" si="1"/>
        <v>58.81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6">
      <c r="A12" s="19"/>
      <c r="B12" s="26">
        <v>35.4</v>
      </c>
      <c r="C12" s="26">
        <v>25.66</v>
      </c>
      <c r="D12" s="27">
        <f t="shared" si="0"/>
        <v>2.9159090909090919</v>
      </c>
      <c r="E12" s="28">
        <f t="shared" si="1"/>
        <v>84.47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6">
      <c r="A13" s="19"/>
      <c r="B13" s="26">
        <v>44.6</v>
      </c>
      <c r="C13" s="26">
        <v>23.11</v>
      </c>
      <c r="D13" s="27">
        <f t="shared" si="0"/>
        <v>2.5119565217391298</v>
      </c>
      <c r="E13" s="28">
        <f t="shared" si="1"/>
        <v>107.58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6">
      <c r="A14" s="19"/>
      <c r="B14" s="26">
        <v>51.8</v>
      </c>
      <c r="C14" s="26">
        <v>22.64</v>
      </c>
      <c r="D14" s="27">
        <f t="shared" si="0"/>
        <v>3.1444444444444466</v>
      </c>
      <c r="E14" s="28">
        <f t="shared" si="1"/>
        <v>130.22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6">
      <c r="A15" s="19"/>
      <c r="B15" s="26">
        <v>63.2</v>
      </c>
      <c r="C15" s="26">
        <v>26.18</v>
      </c>
      <c r="D15" s="27">
        <f t="shared" si="0"/>
        <v>2.2964912280701744</v>
      </c>
      <c r="E15" s="28">
        <f t="shared" si="1"/>
        <v>156.4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6">
      <c r="A16" s="19"/>
      <c r="B16" s="26">
        <v>84.7</v>
      </c>
      <c r="C16" s="26">
        <v>24.77</v>
      </c>
      <c r="D16" s="27">
        <f t="shared" si="0"/>
        <v>1.152093023255814</v>
      </c>
      <c r="E16" s="28">
        <f t="shared" si="1"/>
        <v>181.17000000000002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6">
      <c r="A17" s="19"/>
      <c r="B17" s="26">
        <v>100</v>
      </c>
      <c r="C17" s="26">
        <v>3.66</v>
      </c>
      <c r="D17" s="27">
        <f t="shared" si="0"/>
        <v>0.23921568627450987</v>
      </c>
      <c r="E17" s="28">
        <f t="shared" si="1"/>
        <v>184.83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6">
      <c r="A18" s="19"/>
      <c r="B18" s="19"/>
      <c r="C18" s="31">
        <f>SUM(C9:C17)</f>
        <v>184.83</v>
      </c>
      <c r="D18" s="32" t="s">
        <v>9</v>
      </c>
      <c r="E18" s="33">
        <f>C18-C10</f>
        <v>154.83000000000001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6">
      <c r="A19" s="19"/>
      <c r="B19" s="19"/>
      <c r="C19" s="31">
        <f>C18/100</f>
        <v>1.8483000000000001</v>
      </c>
      <c r="D19" s="32" t="s">
        <v>12</v>
      </c>
      <c r="E19" s="34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6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22.5" customHeight="1">
      <c r="A24" s="19"/>
      <c r="B24" s="49" t="s">
        <v>39</v>
      </c>
      <c r="C24" s="50"/>
      <c r="D24" s="50"/>
      <c r="E24" s="51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>
      <c r="A25" s="19"/>
      <c r="B25" s="22" t="s">
        <v>36</v>
      </c>
      <c r="C25" s="22" t="s">
        <v>37</v>
      </c>
      <c r="D25" s="23" t="s">
        <v>6</v>
      </c>
      <c r="E25" s="22" t="s">
        <v>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>
      <c r="A26" s="19"/>
      <c r="B26" s="24" t="s">
        <v>8</v>
      </c>
      <c r="C26" s="24" t="s">
        <v>9</v>
      </c>
      <c r="D26" s="25" t="s">
        <v>10</v>
      </c>
      <c r="E26" s="24" t="s">
        <v>11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>
      <c r="A27" s="19"/>
      <c r="B27" s="26">
        <v>0</v>
      </c>
      <c r="C27" s="26">
        <v>0</v>
      </c>
      <c r="D27" s="27">
        <v>0</v>
      </c>
      <c r="E27" s="28">
        <v>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>
      <c r="A28" s="19" t="s">
        <v>25</v>
      </c>
      <c r="B28" s="26">
        <v>43</v>
      </c>
      <c r="C28" s="29">
        <v>206</v>
      </c>
      <c r="D28" s="27">
        <f t="shared" ref="D28:D35" si="2">C28/(B28-B27)</f>
        <v>4.7906976744186043</v>
      </c>
      <c r="E28" s="28">
        <f t="shared" ref="E28:E35" si="3">E27+C28</f>
        <v>206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>
      <c r="A29" s="19"/>
      <c r="B29" s="26">
        <v>47.5</v>
      </c>
      <c r="C29" s="26">
        <v>25.47</v>
      </c>
      <c r="D29" s="27">
        <f t="shared" si="2"/>
        <v>5.66</v>
      </c>
      <c r="E29" s="28">
        <f t="shared" si="3"/>
        <v>231.47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>
      <c r="A30" s="19"/>
      <c r="B30" s="26">
        <v>52.5</v>
      </c>
      <c r="C30" s="26">
        <v>25.05</v>
      </c>
      <c r="D30" s="27">
        <f t="shared" si="2"/>
        <v>5.01</v>
      </c>
      <c r="E30" s="28">
        <f t="shared" si="3"/>
        <v>256.52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9"/>
      <c r="B31" s="26">
        <v>57.5</v>
      </c>
      <c r="C31" s="26">
        <v>25</v>
      </c>
      <c r="D31" s="27">
        <f t="shared" si="2"/>
        <v>5</v>
      </c>
      <c r="E31" s="28">
        <f t="shared" si="3"/>
        <v>281.52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A32" s="19"/>
      <c r="B32" s="26">
        <v>62.6</v>
      </c>
      <c r="C32" s="26">
        <v>22.59</v>
      </c>
      <c r="D32" s="27">
        <f t="shared" si="2"/>
        <v>4.4294117647058808</v>
      </c>
      <c r="E32" s="28">
        <f t="shared" si="3"/>
        <v>304.10999999999996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>
      <c r="A33" s="19"/>
      <c r="B33" s="26">
        <v>68</v>
      </c>
      <c r="C33" s="26">
        <v>22.44</v>
      </c>
      <c r="D33" s="27">
        <f t="shared" si="2"/>
        <v>4.1555555555555568</v>
      </c>
      <c r="E33" s="28">
        <f t="shared" si="3"/>
        <v>326.54999999999995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>
      <c r="A34" s="19"/>
      <c r="B34" s="26">
        <v>75.2</v>
      </c>
      <c r="C34" s="26">
        <v>21.26</v>
      </c>
      <c r="D34" s="27">
        <f t="shared" si="2"/>
        <v>2.9527777777777766</v>
      </c>
      <c r="E34" s="28">
        <f t="shared" si="3"/>
        <v>347.80999999999995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9"/>
      <c r="B35" s="26">
        <v>100</v>
      </c>
      <c r="C35" s="26">
        <v>24.88</v>
      </c>
      <c r="D35" s="27">
        <f t="shared" si="2"/>
        <v>1.0032258064516131</v>
      </c>
      <c r="E35" s="28">
        <f t="shared" si="3"/>
        <v>372.68999999999994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>
      <c r="A36" s="19"/>
      <c r="B36" s="19"/>
      <c r="C36" s="35">
        <f>SUM(C28:C35)</f>
        <v>372.68999999999994</v>
      </c>
      <c r="D36" s="32" t="s">
        <v>9</v>
      </c>
      <c r="E36" s="35">
        <f>C36-C28</f>
        <v>166.68999999999994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>
      <c r="A37" s="19"/>
      <c r="B37" s="19"/>
      <c r="C37" s="33">
        <f>C36/100</f>
        <v>3.7268999999999992</v>
      </c>
      <c r="D37" s="32" t="s">
        <v>12</v>
      </c>
      <c r="E37" s="34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>
      <c r="A38" s="19"/>
      <c r="B38" s="19"/>
      <c r="C38" s="19"/>
      <c r="D38" s="20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22.5" customHeight="1">
      <c r="A45" s="19"/>
      <c r="B45" s="49" t="s">
        <v>40</v>
      </c>
      <c r="C45" s="50"/>
      <c r="D45" s="50"/>
      <c r="E45" s="51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>
      <c r="A46" s="19"/>
      <c r="B46" s="22" t="s">
        <v>36</v>
      </c>
      <c r="C46" s="22" t="s">
        <v>37</v>
      </c>
      <c r="D46" s="23" t="s">
        <v>6</v>
      </c>
      <c r="E46" s="22" t="s">
        <v>7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>
      <c r="A47" s="19"/>
      <c r="B47" s="24" t="s">
        <v>8</v>
      </c>
      <c r="C47" s="24" t="s">
        <v>9</v>
      </c>
      <c r="D47" s="25" t="s">
        <v>10</v>
      </c>
      <c r="E47" s="24" t="s">
        <v>11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>
      <c r="A48" s="19"/>
      <c r="B48" s="26">
        <v>0</v>
      </c>
      <c r="C48" s="26">
        <v>0</v>
      </c>
      <c r="D48" s="27">
        <v>0</v>
      </c>
      <c r="E48" s="28">
        <v>0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>
      <c r="A49" s="19" t="s">
        <v>25</v>
      </c>
      <c r="B49" s="26">
        <v>40.5</v>
      </c>
      <c r="C49" s="29">
        <v>202.65</v>
      </c>
      <c r="D49" s="27">
        <f t="shared" ref="D49:D56" si="4">C49/(B49-B48)</f>
        <v>5.003703703703704</v>
      </c>
      <c r="E49" s="28">
        <f t="shared" ref="E49:E56" si="5">E48+C49</f>
        <v>202.65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>
      <c r="A50" s="19"/>
      <c r="B50" s="26">
        <v>44.8</v>
      </c>
      <c r="C50" s="26">
        <v>23.65</v>
      </c>
      <c r="D50" s="27">
        <f t="shared" si="4"/>
        <v>5.5000000000000036</v>
      </c>
      <c r="E50" s="28">
        <f t="shared" si="5"/>
        <v>226.3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>
      <c r="A51" s="19"/>
      <c r="B51" s="26">
        <v>49.4</v>
      </c>
      <c r="C51" s="26">
        <v>25.5</v>
      </c>
      <c r="D51" s="27">
        <f t="shared" si="4"/>
        <v>5.5434782608695636</v>
      </c>
      <c r="E51" s="28">
        <f t="shared" si="5"/>
        <v>251.8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>
      <c r="A52" s="19"/>
      <c r="B52" s="26">
        <v>54.1</v>
      </c>
      <c r="C52" s="26">
        <v>22.4</v>
      </c>
      <c r="D52" s="27">
        <f t="shared" si="4"/>
        <v>4.7659574468085077</v>
      </c>
      <c r="E52" s="28">
        <f t="shared" si="5"/>
        <v>274.2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>
      <c r="A53" s="19"/>
      <c r="B53" s="26">
        <v>59.1</v>
      </c>
      <c r="C53" s="26">
        <v>23.58</v>
      </c>
      <c r="D53" s="27">
        <f t="shared" si="4"/>
        <v>4.7159999999999993</v>
      </c>
      <c r="E53" s="28">
        <f t="shared" si="5"/>
        <v>297.77999999999997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>
      <c r="A54" s="19"/>
      <c r="B54" s="26">
        <v>64.400000000000006</v>
      </c>
      <c r="C54" s="26">
        <v>21.77</v>
      </c>
      <c r="D54" s="27">
        <f t="shared" si="4"/>
        <v>4.1075471698113173</v>
      </c>
      <c r="E54" s="28">
        <f t="shared" si="5"/>
        <v>319.54999999999995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>
      <c r="A55" s="19"/>
      <c r="B55" s="26">
        <v>70.900000000000006</v>
      </c>
      <c r="C55" s="26">
        <v>19.78</v>
      </c>
      <c r="D55" s="27">
        <f t="shared" si="4"/>
        <v>3.0430769230769235</v>
      </c>
      <c r="E55" s="28">
        <f t="shared" si="5"/>
        <v>339.32999999999993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>
      <c r="A56" s="19"/>
      <c r="B56" s="26">
        <v>100</v>
      </c>
      <c r="C56" s="26">
        <v>29.1</v>
      </c>
      <c r="D56" s="27">
        <f t="shared" si="4"/>
        <v>1.0000000000000002</v>
      </c>
      <c r="E56" s="28">
        <f t="shared" si="5"/>
        <v>368.42999999999995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>
      <c r="A57" s="19"/>
      <c r="B57" s="19"/>
      <c r="C57" s="33">
        <f>SUM(C48:C56)</f>
        <v>368.42999999999995</v>
      </c>
      <c r="D57" s="32" t="s">
        <v>9</v>
      </c>
      <c r="E57" s="33">
        <f>C57-C49</f>
        <v>165.77999999999994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>
      <c r="A58" s="19"/>
      <c r="B58" s="19"/>
      <c r="C58" s="33">
        <f>C57/100</f>
        <v>3.6842999999999995</v>
      </c>
      <c r="D58" s="32" t="s">
        <v>12</v>
      </c>
      <c r="E58" s="34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A59" s="19"/>
      <c r="B59" s="19"/>
      <c r="C59" s="34"/>
      <c r="D59" s="37"/>
      <c r="E59" s="32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>
      <c r="A62" s="19"/>
      <c r="B62" s="19"/>
      <c r="C62" s="31" t="s">
        <v>26</v>
      </c>
      <c r="D62" s="31" t="s">
        <v>27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>
      <c r="A63" s="19"/>
      <c r="B63" s="33" t="s">
        <v>15</v>
      </c>
      <c r="C63" s="38">
        <f>C57+C36+C18</f>
        <v>925.94999999999993</v>
      </c>
      <c r="D63" s="28">
        <f t="shared" ref="D63:D68" si="6">C63/100</f>
        <v>9.2594999999999992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>
      <c r="A64" s="19"/>
      <c r="B64" s="52" t="s">
        <v>16</v>
      </c>
      <c r="C64" s="38">
        <f>C18-C10</f>
        <v>154.83000000000001</v>
      </c>
      <c r="D64" s="28">
        <f t="shared" si="6"/>
        <v>1.5483000000000002</v>
      </c>
      <c r="E64" s="27" t="s">
        <v>41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>
      <c r="A65" s="19"/>
      <c r="B65" s="53"/>
      <c r="C65" s="38">
        <f>C36-C28</f>
        <v>166.68999999999994</v>
      </c>
      <c r="D65" s="28">
        <f t="shared" si="6"/>
        <v>1.6668999999999994</v>
      </c>
      <c r="E65" s="27" t="s">
        <v>42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>
      <c r="A66" s="19"/>
      <c r="B66" s="54"/>
      <c r="C66" s="38">
        <f>C57-C49</f>
        <v>165.77999999999994</v>
      </c>
      <c r="D66" s="28">
        <f t="shared" si="6"/>
        <v>1.6577999999999995</v>
      </c>
      <c r="E66" s="27" t="s">
        <v>43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>
      <c r="A67" s="19"/>
      <c r="B67" s="33" t="s">
        <v>20</v>
      </c>
      <c r="C67" s="38">
        <f>C63-C68-AVERAGE(C64:C66)</f>
        <v>390.82666666666671</v>
      </c>
      <c r="D67" s="28">
        <f t="shared" si="6"/>
        <v>3.908266666666667</v>
      </c>
      <c r="E67" s="20"/>
      <c r="F67" s="19" t="s">
        <v>44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>
      <c r="A68" s="19"/>
      <c r="B68" s="33" t="s">
        <v>21</v>
      </c>
      <c r="C68" s="38">
        <f>C36</f>
        <v>372.68999999999994</v>
      </c>
      <c r="D68" s="28">
        <f t="shared" si="6"/>
        <v>3.7268999999999992</v>
      </c>
      <c r="E68" s="20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>
      <c r="A79" s="19"/>
      <c r="B79" s="19"/>
      <c r="C79" s="19"/>
      <c r="D79" s="19"/>
      <c r="E79" s="20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>
      <c r="A80" s="19"/>
      <c r="B80" s="19"/>
      <c r="C80" s="19"/>
      <c r="D80" s="19"/>
      <c r="E80" s="20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>
      <c r="A81" s="19"/>
      <c r="B81" s="19"/>
      <c r="C81" s="19"/>
      <c r="D81" s="19"/>
      <c r="E81" s="20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>
      <c r="A82" s="19"/>
      <c r="B82" s="19"/>
      <c r="C82" s="19"/>
      <c r="D82" s="19"/>
      <c r="E82" s="20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>
      <c r="A83" s="19"/>
      <c r="B83" s="19"/>
      <c r="C83" s="19"/>
      <c r="D83" s="19"/>
      <c r="E83" s="20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>
      <c r="A84" s="19"/>
      <c r="B84" s="19"/>
      <c r="C84" s="19"/>
      <c r="D84" s="19"/>
      <c r="E84" s="20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>
      <c r="A85" s="19"/>
      <c r="B85" s="19"/>
      <c r="C85" s="19"/>
      <c r="D85" s="19"/>
      <c r="E85" s="20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>
      <c r="A86" s="19"/>
      <c r="B86" s="19"/>
      <c r="C86" s="19"/>
      <c r="D86" s="19"/>
      <c r="E86" s="20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>
      <c r="A87" s="19"/>
      <c r="B87" s="19"/>
      <c r="C87" s="19"/>
      <c r="D87" s="19"/>
      <c r="E87" s="20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>
      <c r="A88" s="19"/>
      <c r="B88" s="19"/>
      <c r="C88" s="19"/>
      <c r="D88" s="19"/>
      <c r="E88" s="20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>
      <c r="A89" s="19"/>
      <c r="B89" s="19"/>
      <c r="C89" s="19"/>
      <c r="D89" s="19"/>
      <c r="E89" s="20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>
      <c r="A90" s="19"/>
      <c r="B90" s="19"/>
      <c r="C90" s="19"/>
      <c r="D90" s="19"/>
      <c r="E90" s="20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>
      <c r="A91" s="19"/>
      <c r="B91" s="19"/>
      <c r="C91" s="19"/>
      <c r="D91" s="19"/>
      <c r="E91" s="20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>
      <c r="A92" s="19"/>
      <c r="B92" s="19"/>
      <c r="C92" s="19"/>
      <c r="D92" s="19"/>
      <c r="E92" s="20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>
      <c r="A93" s="19"/>
      <c r="B93" s="19"/>
      <c r="C93" s="19"/>
      <c r="D93" s="19"/>
      <c r="E93" s="20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>
      <c r="A94" s="19"/>
      <c r="B94" s="19"/>
      <c r="C94" s="19"/>
      <c r="D94" s="19"/>
      <c r="E94" s="20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>
      <c r="A95" s="19"/>
      <c r="B95" s="19"/>
      <c r="C95" s="19"/>
      <c r="D95" s="19"/>
      <c r="E95" s="20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>
      <c r="A96" s="19"/>
      <c r="B96" s="19"/>
      <c r="C96" s="19"/>
      <c r="D96" s="19"/>
      <c r="E96" s="20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>
      <c r="A97" s="19"/>
      <c r="B97" s="19"/>
      <c r="C97" s="19"/>
      <c r="D97" s="19"/>
      <c r="E97" s="20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>
      <c r="A98" s="19"/>
      <c r="B98" s="19"/>
      <c r="C98" s="19"/>
      <c r="D98" s="19"/>
      <c r="E98" s="20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>
      <c r="A99" s="19"/>
      <c r="B99" s="19"/>
      <c r="C99" s="19"/>
      <c r="D99" s="19"/>
      <c r="E99" s="20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>
      <c r="A100" s="19"/>
      <c r="B100" s="19"/>
      <c r="C100" s="19"/>
      <c r="D100" s="19"/>
      <c r="E100" s="20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>
      <c r="A101" s="19"/>
      <c r="B101" s="19"/>
      <c r="C101" s="19"/>
      <c r="D101" s="19"/>
      <c r="E101" s="20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>
      <c r="A102" s="19"/>
      <c r="B102" s="19"/>
      <c r="C102" s="19"/>
      <c r="D102" s="19"/>
      <c r="E102" s="20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>
      <c r="A103" s="19"/>
      <c r="B103" s="19"/>
      <c r="C103" s="19"/>
      <c r="D103" s="19"/>
      <c r="E103" s="20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>
      <c r="A104" s="19"/>
      <c r="B104" s="19"/>
      <c r="C104" s="19"/>
      <c r="D104" s="19"/>
      <c r="E104" s="20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>
      <c r="A105" s="19"/>
      <c r="B105" s="19"/>
      <c r="C105" s="19"/>
      <c r="D105" s="19"/>
      <c r="E105" s="20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>
      <c r="A106" s="19"/>
      <c r="B106" s="19"/>
      <c r="C106" s="19"/>
      <c r="D106" s="19"/>
      <c r="E106" s="20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>
      <c r="A107" s="19"/>
      <c r="B107" s="19"/>
      <c r="C107" s="19"/>
      <c r="D107" s="19"/>
      <c r="E107" s="20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>
      <c r="A108" s="19"/>
      <c r="B108" s="19"/>
      <c r="C108" s="19"/>
      <c r="D108" s="19"/>
      <c r="E108" s="2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>
      <c r="A109" s="19"/>
      <c r="B109" s="19"/>
      <c r="C109" s="19"/>
      <c r="D109" s="19"/>
      <c r="E109" s="2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>
      <c r="A110" s="19"/>
      <c r="B110" s="19"/>
      <c r="C110" s="19"/>
      <c r="D110" s="19"/>
      <c r="E110" s="2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>
      <c r="A111" s="19"/>
      <c r="B111" s="19"/>
      <c r="C111" s="19"/>
      <c r="D111" s="19"/>
      <c r="E111" s="2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>
      <c r="A112" s="19"/>
      <c r="B112" s="19"/>
      <c r="C112" s="19"/>
      <c r="D112" s="19"/>
      <c r="E112" s="2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>
      <c r="A113" s="19"/>
      <c r="B113" s="19"/>
      <c r="C113" s="19"/>
      <c r="D113" s="19"/>
      <c r="E113" s="2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>
      <c r="A114" s="19"/>
      <c r="B114" s="19"/>
      <c r="C114" s="19"/>
      <c r="D114" s="19"/>
      <c r="E114" s="2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>
      <c r="A115" s="19"/>
      <c r="B115" s="19"/>
      <c r="C115" s="19"/>
      <c r="D115" s="19"/>
      <c r="E115" s="20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>
      <c r="A116" s="19"/>
      <c r="B116" s="19"/>
      <c r="C116" s="19"/>
      <c r="D116" s="19"/>
      <c r="E116" s="20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>
      <c r="A117" s="19"/>
      <c r="B117" s="19"/>
      <c r="C117" s="19"/>
      <c r="D117" s="19"/>
      <c r="E117" s="20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>
      <c r="A118" s="19"/>
      <c r="B118" s="19"/>
      <c r="C118" s="19"/>
      <c r="D118" s="19"/>
      <c r="E118" s="20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>
      <c r="A119" s="19"/>
      <c r="B119" s="19"/>
      <c r="C119" s="19"/>
      <c r="D119" s="19"/>
      <c r="E119" s="20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>
      <c r="A120" s="19"/>
      <c r="B120" s="19"/>
      <c r="C120" s="19"/>
      <c r="D120" s="19"/>
      <c r="E120" s="20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>
      <c r="A121" s="19"/>
      <c r="B121" s="19"/>
      <c r="C121" s="19"/>
      <c r="D121" s="19"/>
      <c r="E121" s="2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>
      <c r="A122" s="19"/>
      <c r="B122" s="19"/>
      <c r="C122" s="19"/>
      <c r="D122" s="19"/>
      <c r="E122" s="2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>
      <c r="A123" s="19"/>
      <c r="B123" s="19"/>
      <c r="C123" s="19"/>
      <c r="D123" s="19"/>
      <c r="E123" s="20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>
      <c r="A124" s="19"/>
      <c r="B124" s="19"/>
      <c r="C124" s="19"/>
      <c r="D124" s="19"/>
      <c r="E124" s="20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>
      <c r="A125" s="19"/>
      <c r="B125" s="19"/>
      <c r="C125" s="19"/>
      <c r="D125" s="19"/>
      <c r="E125" s="20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>
      <c r="A126" s="19"/>
      <c r="B126" s="19"/>
      <c r="C126" s="19"/>
      <c r="D126" s="19"/>
      <c r="E126" s="20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>
      <c r="A127" s="19"/>
      <c r="B127" s="19"/>
      <c r="C127" s="19"/>
      <c r="D127" s="19"/>
      <c r="E127" s="20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>
      <c r="A128" s="19"/>
      <c r="B128" s="19"/>
      <c r="C128" s="19"/>
      <c r="D128" s="19"/>
      <c r="E128" s="20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>
      <c r="A129" s="19"/>
      <c r="B129" s="19"/>
      <c r="C129" s="19"/>
      <c r="D129" s="19"/>
      <c r="E129" s="20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>
      <c r="A130" s="19"/>
      <c r="B130" s="19"/>
      <c r="C130" s="19"/>
      <c r="D130" s="19"/>
      <c r="E130" s="20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>
      <c r="A131" s="19"/>
      <c r="B131" s="19"/>
      <c r="C131" s="19"/>
      <c r="D131" s="19"/>
      <c r="E131" s="20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>
      <c r="A132" s="19"/>
      <c r="B132" s="19"/>
      <c r="C132" s="19"/>
      <c r="D132" s="19"/>
      <c r="E132" s="20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>
      <c r="A133" s="19"/>
      <c r="B133" s="19"/>
      <c r="C133" s="19"/>
      <c r="D133" s="19"/>
      <c r="E133" s="20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>
      <c r="A134" s="19"/>
      <c r="B134" s="19"/>
      <c r="C134" s="19"/>
      <c r="D134" s="19"/>
      <c r="E134" s="20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>
      <c r="A135" s="19"/>
      <c r="B135" s="19"/>
      <c r="C135" s="19"/>
      <c r="D135" s="19"/>
      <c r="E135" s="20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>
      <c r="A136" s="19"/>
      <c r="B136" s="19"/>
      <c r="C136" s="19"/>
      <c r="D136" s="19"/>
      <c r="E136" s="20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>
      <c r="A137" s="19"/>
      <c r="B137" s="19"/>
      <c r="C137" s="19"/>
      <c r="D137" s="19"/>
      <c r="E137" s="20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>
      <c r="A138" s="19"/>
      <c r="B138" s="19"/>
      <c r="C138" s="19"/>
      <c r="D138" s="19"/>
      <c r="E138" s="20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>
      <c r="A139" s="19"/>
      <c r="B139" s="19"/>
      <c r="C139" s="19"/>
      <c r="D139" s="19"/>
      <c r="E139" s="20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>
      <c r="A140" s="19"/>
      <c r="B140" s="19"/>
      <c r="C140" s="19"/>
      <c r="D140" s="19"/>
      <c r="E140" s="20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>
      <c r="A141" s="19"/>
      <c r="B141" s="19"/>
      <c r="C141" s="19"/>
      <c r="D141" s="19"/>
      <c r="E141" s="20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>
      <c r="A142" s="19"/>
      <c r="B142" s="19"/>
      <c r="C142" s="19"/>
      <c r="D142" s="19"/>
      <c r="E142" s="20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>
      <c r="A143" s="19"/>
      <c r="B143" s="19"/>
      <c r="C143" s="19"/>
      <c r="D143" s="19"/>
      <c r="E143" s="20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>
      <c r="A144" s="19"/>
      <c r="B144" s="19"/>
      <c r="C144" s="19"/>
      <c r="D144" s="19"/>
      <c r="E144" s="20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>
      <c r="A145" s="19"/>
      <c r="B145" s="19"/>
      <c r="C145" s="19"/>
      <c r="D145" s="19"/>
      <c r="E145" s="20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>
      <c r="A146" s="19"/>
      <c r="B146" s="19"/>
      <c r="C146" s="19"/>
      <c r="D146" s="19"/>
      <c r="E146" s="20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>
      <c r="A147" s="19"/>
      <c r="B147" s="19"/>
      <c r="C147" s="19"/>
      <c r="D147" s="19"/>
      <c r="E147" s="20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>
      <c r="A148" s="19"/>
      <c r="B148" s="19"/>
      <c r="C148" s="19"/>
      <c r="D148" s="19"/>
      <c r="E148" s="20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>
      <c r="A149" s="19"/>
      <c r="B149" s="19"/>
      <c r="C149" s="19"/>
      <c r="D149" s="19"/>
      <c r="E149" s="20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>
      <c r="A150" s="19"/>
      <c r="B150" s="19"/>
      <c r="C150" s="19"/>
      <c r="D150" s="19"/>
      <c r="E150" s="20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>
      <c r="A151" s="19"/>
      <c r="B151" s="19"/>
      <c r="C151" s="19"/>
      <c r="D151" s="19"/>
      <c r="E151" s="20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>
      <c r="A152" s="19"/>
      <c r="B152" s="19"/>
      <c r="C152" s="19"/>
      <c r="D152" s="19"/>
      <c r="E152" s="20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>
      <c r="A153" s="19"/>
      <c r="B153" s="19"/>
      <c r="C153" s="19"/>
      <c r="D153" s="19"/>
      <c r="E153" s="20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>
      <c r="A154" s="19"/>
      <c r="B154" s="19"/>
      <c r="C154" s="19"/>
      <c r="D154" s="19"/>
      <c r="E154" s="20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>
      <c r="A155" s="19"/>
      <c r="B155" s="19"/>
      <c r="C155" s="19"/>
      <c r="D155" s="19"/>
      <c r="E155" s="20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>
      <c r="A156" s="19"/>
      <c r="B156" s="19"/>
      <c r="C156" s="19"/>
      <c r="D156" s="19"/>
      <c r="E156" s="2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>
      <c r="A157" s="19"/>
      <c r="B157" s="19"/>
      <c r="C157" s="19"/>
      <c r="D157" s="19"/>
      <c r="E157" s="2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>
      <c r="A158" s="19"/>
      <c r="B158" s="19"/>
      <c r="C158" s="19"/>
      <c r="D158" s="19"/>
      <c r="E158" s="2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>
      <c r="A159" s="19"/>
      <c r="B159" s="19"/>
      <c r="C159" s="19"/>
      <c r="D159" s="19"/>
      <c r="E159" s="2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>
      <c r="A160" s="19"/>
      <c r="B160" s="19"/>
      <c r="C160" s="19"/>
      <c r="D160" s="19"/>
      <c r="E160" s="2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>
      <c r="A161" s="19"/>
      <c r="B161" s="19"/>
      <c r="C161" s="19"/>
      <c r="D161" s="19"/>
      <c r="E161" s="2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>
      <c r="A162" s="19"/>
      <c r="B162" s="19"/>
      <c r="C162" s="19"/>
      <c r="D162" s="19"/>
      <c r="E162" s="2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>
      <c r="A163" s="19"/>
      <c r="B163" s="19"/>
      <c r="C163" s="19"/>
      <c r="D163" s="19"/>
      <c r="E163" s="20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>
      <c r="A164" s="19"/>
      <c r="B164" s="19"/>
      <c r="C164" s="19"/>
      <c r="D164" s="19"/>
      <c r="E164" s="20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>
      <c r="A165" s="19"/>
      <c r="B165" s="19"/>
      <c r="C165" s="19"/>
      <c r="D165" s="19"/>
      <c r="E165" s="20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>
      <c r="A166" s="19"/>
      <c r="B166" s="19"/>
      <c r="C166" s="19"/>
      <c r="D166" s="19"/>
      <c r="E166" s="20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>
      <c r="A167" s="19"/>
      <c r="B167" s="19"/>
      <c r="C167" s="19"/>
      <c r="D167" s="19"/>
      <c r="E167" s="20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>
      <c r="A168" s="19"/>
      <c r="B168" s="19"/>
      <c r="C168" s="19"/>
      <c r="D168" s="19"/>
      <c r="E168" s="20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>
      <c r="A169" s="19"/>
      <c r="B169" s="19"/>
      <c r="C169" s="19"/>
      <c r="D169" s="19"/>
      <c r="E169" s="20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>
      <c r="A170" s="19"/>
      <c r="B170" s="19"/>
      <c r="C170" s="19"/>
      <c r="D170" s="19"/>
      <c r="E170" s="20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>
      <c r="A171" s="19"/>
      <c r="B171" s="19"/>
      <c r="C171" s="19"/>
      <c r="D171" s="19"/>
      <c r="E171" s="20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>
      <c r="A172" s="19"/>
      <c r="B172" s="19"/>
      <c r="C172" s="19"/>
      <c r="D172" s="19"/>
      <c r="E172" s="20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>
      <c r="A173" s="19"/>
      <c r="B173" s="19"/>
      <c r="C173" s="19"/>
      <c r="D173" s="19"/>
      <c r="E173" s="20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>
      <c r="A174" s="19"/>
      <c r="B174" s="19"/>
      <c r="C174" s="19"/>
      <c r="D174" s="19"/>
      <c r="E174" s="20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>
      <c r="A175" s="19"/>
      <c r="B175" s="19"/>
      <c r="C175" s="19"/>
      <c r="D175" s="19"/>
      <c r="E175" s="20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>
      <c r="A176" s="19"/>
      <c r="B176" s="19"/>
      <c r="C176" s="19"/>
      <c r="D176" s="19"/>
      <c r="E176" s="20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>
      <c r="A177" s="19"/>
      <c r="B177" s="19"/>
      <c r="C177" s="19"/>
      <c r="D177" s="19"/>
      <c r="E177" s="20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>
      <c r="A178" s="19"/>
      <c r="B178" s="19"/>
      <c r="C178" s="19"/>
      <c r="D178" s="19"/>
      <c r="E178" s="20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>
      <c r="A179" s="19"/>
      <c r="B179" s="19"/>
      <c r="C179" s="19"/>
      <c r="D179" s="19"/>
      <c r="E179" s="20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>
      <c r="A180" s="19"/>
      <c r="B180" s="19"/>
      <c r="C180" s="19"/>
      <c r="D180" s="19"/>
      <c r="E180" s="20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>
      <c r="A181" s="19"/>
      <c r="B181" s="19"/>
      <c r="C181" s="19"/>
      <c r="D181" s="19"/>
      <c r="E181" s="20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>
      <c r="A182" s="19"/>
      <c r="B182" s="19"/>
      <c r="C182" s="19"/>
      <c r="D182" s="19"/>
      <c r="E182" s="20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>
      <c r="A183" s="19"/>
      <c r="B183" s="19"/>
      <c r="C183" s="19"/>
      <c r="D183" s="19"/>
      <c r="E183" s="20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>
      <c r="A184" s="19"/>
      <c r="B184" s="19"/>
      <c r="C184" s="19"/>
      <c r="D184" s="19"/>
      <c r="E184" s="20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>
      <c r="A185" s="19"/>
      <c r="B185" s="19"/>
      <c r="C185" s="19"/>
      <c r="D185" s="19"/>
      <c r="E185" s="20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>
      <c r="A186" s="19"/>
      <c r="B186" s="19"/>
      <c r="C186" s="19"/>
      <c r="D186" s="19"/>
      <c r="E186" s="20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>
      <c r="A187" s="19"/>
      <c r="B187" s="19"/>
      <c r="C187" s="19"/>
      <c r="D187" s="19"/>
      <c r="E187" s="20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>
      <c r="A188" s="19"/>
      <c r="B188" s="19"/>
      <c r="C188" s="19"/>
      <c r="D188" s="19"/>
      <c r="E188" s="20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>
      <c r="A189" s="19"/>
      <c r="B189" s="19"/>
      <c r="C189" s="19"/>
      <c r="D189" s="19"/>
      <c r="E189" s="20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>
      <c r="A190" s="19"/>
      <c r="B190" s="19"/>
      <c r="C190" s="19"/>
      <c r="D190" s="19"/>
      <c r="E190" s="20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>
      <c r="A191" s="19"/>
      <c r="B191" s="19"/>
      <c r="C191" s="19"/>
      <c r="D191" s="19"/>
      <c r="E191" s="20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>
      <c r="A192" s="19"/>
      <c r="B192" s="19"/>
      <c r="C192" s="19"/>
      <c r="D192" s="19"/>
      <c r="E192" s="20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>
      <c r="A193" s="19"/>
      <c r="B193" s="19"/>
      <c r="C193" s="19"/>
      <c r="D193" s="19"/>
      <c r="E193" s="20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>
      <c r="A194" s="19"/>
      <c r="B194" s="19"/>
      <c r="C194" s="19"/>
      <c r="D194" s="19"/>
      <c r="E194" s="20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>
      <c r="A195" s="19"/>
      <c r="B195" s="19"/>
      <c r="C195" s="19"/>
      <c r="D195" s="19"/>
      <c r="E195" s="20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>
      <c r="A196" s="19"/>
      <c r="B196" s="19"/>
      <c r="C196" s="19"/>
      <c r="D196" s="19"/>
      <c r="E196" s="20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>
      <c r="A197" s="19"/>
      <c r="B197" s="19"/>
      <c r="C197" s="19"/>
      <c r="D197" s="19"/>
      <c r="E197" s="20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>
      <c r="A198" s="19"/>
      <c r="B198" s="19"/>
      <c r="C198" s="19"/>
      <c r="D198" s="19"/>
      <c r="E198" s="20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>
      <c r="A199" s="19"/>
      <c r="B199" s="19"/>
      <c r="C199" s="19"/>
      <c r="D199" s="19"/>
      <c r="E199" s="20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>
      <c r="A200" s="19"/>
      <c r="B200" s="19"/>
      <c r="C200" s="19"/>
      <c r="D200" s="19"/>
      <c r="E200" s="20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>
      <c r="A201" s="19"/>
      <c r="B201" s="19"/>
      <c r="C201" s="19"/>
      <c r="D201" s="19"/>
      <c r="E201" s="20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>
      <c r="A202" s="19"/>
      <c r="B202" s="19"/>
      <c r="C202" s="19"/>
      <c r="D202" s="19"/>
      <c r="E202" s="20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>
      <c r="A203" s="19"/>
      <c r="B203" s="19"/>
      <c r="C203" s="19"/>
      <c r="D203" s="19"/>
      <c r="E203" s="20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>
      <c r="A204" s="19"/>
      <c r="B204" s="19"/>
      <c r="C204" s="19"/>
      <c r="D204" s="19"/>
      <c r="E204" s="20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>
      <c r="A205" s="19"/>
      <c r="B205" s="19"/>
      <c r="C205" s="19"/>
      <c r="D205" s="19"/>
      <c r="E205" s="20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>
      <c r="A206" s="19"/>
      <c r="B206" s="19"/>
      <c r="C206" s="19"/>
      <c r="D206" s="19"/>
      <c r="E206" s="20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>
      <c r="A207" s="19"/>
      <c r="B207" s="19"/>
      <c r="C207" s="19"/>
      <c r="D207" s="19"/>
      <c r="E207" s="20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>
      <c r="A208" s="19"/>
      <c r="B208" s="19"/>
      <c r="C208" s="19"/>
      <c r="D208" s="19"/>
      <c r="E208" s="20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>
      <c r="A209" s="19"/>
      <c r="B209" s="19"/>
      <c r="C209" s="19"/>
      <c r="D209" s="19"/>
      <c r="E209" s="20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>
      <c r="A210" s="19"/>
      <c r="B210" s="19"/>
      <c r="C210" s="19"/>
      <c r="D210" s="19"/>
      <c r="E210" s="20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>
      <c r="A211" s="19"/>
      <c r="B211" s="19"/>
      <c r="C211" s="19"/>
      <c r="D211" s="19"/>
      <c r="E211" s="20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>
      <c r="A212" s="19"/>
      <c r="B212" s="19"/>
      <c r="C212" s="19"/>
      <c r="D212" s="19"/>
      <c r="E212" s="20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>
      <c r="A213" s="19"/>
      <c r="B213" s="19"/>
      <c r="C213" s="19"/>
      <c r="D213" s="19"/>
      <c r="E213" s="20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>
      <c r="A214" s="19"/>
      <c r="B214" s="19"/>
      <c r="C214" s="19"/>
      <c r="D214" s="19"/>
      <c r="E214" s="20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>
      <c r="A215" s="19"/>
      <c r="B215" s="19"/>
      <c r="C215" s="19"/>
      <c r="D215" s="19"/>
      <c r="E215" s="20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>
      <c r="A216" s="19"/>
      <c r="B216" s="19"/>
      <c r="C216" s="19"/>
      <c r="D216" s="19"/>
      <c r="E216" s="20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>
      <c r="A217" s="19"/>
      <c r="B217" s="19"/>
      <c r="C217" s="19"/>
      <c r="D217" s="19"/>
      <c r="E217" s="20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>
      <c r="A218" s="19"/>
      <c r="B218" s="19"/>
      <c r="C218" s="19"/>
      <c r="D218" s="19"/>
      <c r="E218" s="20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>
      <c r="A219" s="19"/>
      <c r="B219" s="19"/>
      <c r="C219" s="19"/>
      <c r="D219" s="19"/>
      <c r="E219" s="20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>
      <c r="A220" s="19"/>
      <c r="B220" s="19"/>
      <c r="C220" s="19"/>
      <c r="D220" s="19"/>
      <c r="E220" s="20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>
      <c r="A221" s="19"/>
      <c r="B221" s="19"/>
      <c r="C221" s="19"/>
      <c r="D221" s="19"/>
      <c r="E221" s="20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>
      <c r="A222" s="19"/>
      <c r="B222" s="19"/>
      <c r="C222" s="19"/>
      <c r="D222" s="19"/>
      <c r="E222" s="20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>
      <c r="A223" s="19"/>
      <c r="B223" s="19"/>
      <c r="C223" s="19"/>
      <c r="D223" s="19"/>
      <c r="E223" s="20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>
      <c r="A224" s="19"/>
      <c r="B224" s="19"/>
      <c r="C224" s="19"/>
      <c r="D224" s="19"/>
      <c r="E224" s="20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>
      <c r="A225" s="19"/>
      <c r="B225" s="19"/>
      <c r="C225" s="19"/>
      <c r="D225" s="19"/>
      <c r="E225" s="20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>
      <c r="A226" s="19"/>
      <c r="B226" s="19"/>
      <c r="C226" s="19"/>
      <c r="D226" s="19"/>
      <c r="E226" s="20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>
      <c r="A227" s="19"/>
      <c r="B227" s="19"/>
      <c r="C227" s="19"/>
      <c r="D227" s="19"/>
      <c r="E227" s="20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>
      <c r="A228" s="19"/>
      <c r="B228" s="19"/>
      <c r="C228" s="19"/>
      <c r="D228" s="19"/>
      <c r="E228" s="20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>
      <c r="A229" s="19"/>
      <c r="B229" s="19"/>
      <c r="C229" s="19"/>
      <c r="D229" s="19"/>
      <c r="E229" s="20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>
      <c r="A230" s="19"/>
      <c r="B230" s="19"/>
      <c r="C230" s="19"/>
      <c r="D230" s="19"/>
      <c r="E230" s="20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>
      <c r="A231" s="19"/>
      <c r="B231" s="19"/>
      <c r="C231" s="19"/>
      <c r="D231" s="19"/>
      <c r="E231" s="20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>
      <c r="A232" s="19"/>
      <c r="B232" s="19"/>
      <c r="C232" s="19"/>
      <c r="D232" s="19"/>
      <c r="E232" s="20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>
      <c r="A233" s="19"/>
      <c r="B233" s="19"/>
      <c r="C233" s="19"/>
      <c r="D233" s="19"/>
      <c r="E233" s="20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>
      <c r="A234" s="19"/>
      <c r="B234" s="19"/>
      <c r="C234" s="19"/>
      <c r="D234" s="19"/>
      <c r="E234" s="20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>
      <c r="A235" s="19"/>
      <c r="B235" s="19"/>
      <c r="C235" s="19"/>
      <c r="D235" s="19"/>
      <c r="E235" s="20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>
      <c r="A236" s="19"/>
      <c r="B236" s="19"/>
      <c r="C236" s="19"/>
      <c r="D236" s="19"/>
      <c r="E236" s="20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>
      <c r="A237" s="19"/>
      <c r="B237" s="19"/>
      <c r="C237" s="19"/>
      <c r="D237" s="19"/>
      <c r="E237" s="20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>
      <c r="A238" s="19"/>
      <c r="B238" s="19"/>
      <c r="C238" s="19"/>
      <c r="D238" s="19"/>
      <c r="E238" s="20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>
      <c r="A239" s="19"/>
      <c r="B239" s="19"/>
      <c r="C239" s="19"/>
      <c r="D239" s="19"/>
      <c r="E239" s="20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>
      <c r="A240" s="19"/>
      <c r="B240" s="19"/>
      <c r="C240" s="19"/>
      <c r="D240" s="19"/>
      <c r="E240" s="20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>
      <c r="A241" s="19"/>
      <c r="B241" s="19"/>
      <c r="C241" s="19"/>
      <c r="D241" s="19"/>
      <c r="E241" s="20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>
      <c r="A242" s="19"/>
      <c r="B242" s="19"/>
      <c r="C242" s="19"/>
      <c r="D242" s="19"/>
      <c r="E242" s="20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>
      <c r="A243" s="19"/>
      <c r="B243" s="19"/>
      <c r="C243" s="19"/>
      <c r="D243" s="19"/>
      <c r="E243" s="20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>
      <c r="A244" s="19"/>
      <c r="B244" s="19"/>
      <c r="C244" s="19"/>
      <c r="D244" s="19"/>
      <c r="E244" s="20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>
      <c r="A245" s="19"/>
      <c r="B245" s="19"/>
      <c r="C245" s="19"/>
      <c r="D245" s="19"/>
      <c r="E245" s="20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>
      <c r="A246" s="19"/>
      <c r="B246" s="19"/>
      <c r="C246" s="19"/>
      <c r="D246" s="19"/>
      <c r="E246" s="20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>
      <c r="A247" s="19"/>
      <c r="B247" s="19"/>
      <c r="C247" s="19"/>
      <c r="D247" s="19"/>
      <c r="E247" s="20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>
      <c r="A248" s="19"/>
      <c r="B248" s="19"/>
      <c r="C248" s="19"/>
      <c r="D248" s="19"/>
      <c r="E248" s="20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>
      <c r="A249" s="19"/>
      <c r="B249" s="19"/>
      <c r="C249" s="19"/>
      <c r="D249" s="19"/>
      <c r="E249" s="20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>
      <c r="A250" s="19"/>
      <c r="B250" s="19"/>
      <c r="C250" s="19"/>
      <c r="D250" s="19"/>
      <c r="E250" s="20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>
      <c r="A251" s="19"/>
      <c r="B251" s="19"/>
      <c r="C251" s="19"/>
      <c r="D251" s="19"/>
      <c r="E251" s="20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>
      <c r="A252" s="19"/>
      <c r="B252" s="19"/>
      <c r="C252" s="19"/>
      <c r="D252" s="19"/>
      <c r="E252" s="20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>
      <c r="A253" s="19"/>
      <c r="B253" s="19"/>
      <c r="C253" s="19"/>
      <c r="D253" s="19"/>
      <c r="E253" s="20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>
      <c r="A254" s="19"/>
      <c r="B254" s="19"/>
      <c r="C254" s="19"/>
      <c r="D254" s="19"/>
      <c r="E254" s="20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>
      <c r="A255" s="19"/>
      <c r="B255" s="19"/>
      <c r="C255" s="19"/>
      <c r="D255" s="19"/>
      <c r="E255" s="20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>
      <c r="A256" s="19"/>
      <c r="B256" s="19"/>
      <c r="C256" s="19"/>
      <c r="D256" s="19"/>
      <c r="E256" s="20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>
      <c r="A257" s="19"/>
      <c r="B257" s="19"/>
      <c r="C257" s="19"/>
      <c r="D257" s="19"/>
      <c r="E257" s="20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>
      <c r="A258" s="19"/>
      <c r="B258" s="19"/>
      <c r="C258" s="19"/>
      <c r="D258" s="19"/>
      <c r="E258" s="20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>
      <c r="A259" s="19"/>
      <c r="B259" s="19"/>
      <c r="C259" s="19"/>
      <c r="D259" s="19"/>
      <c r="E259" s="20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>
      <c r="A260" s="19"/>
      <c r="B260" s="19"/>
      <c r="C260" s="19"/>
      <c r="D260" s="19"/>
      <c r="E260" s="20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>
      <c r="A261" s="19"/>
      <c r="B261" s="19"/>
      <c r="C261" s="19"/>
      <c r="D261" s="19"/>
      <c r="E261" s="20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>
      <c r="A262" s="19"/>
      <c r="B262" s="19"/>
      <c r="C262" s="19"/>
      <c r="D262" s="19"/>
      <c r="E262" s="20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>
      <c r="A263" s="19"/>
      <c r="B263" s="19"/>
      <c r="C263" s="19"/>
      <c r="D263" s="19"/>
      <c r="E263" s="20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>
      <c r="A264" s="19"/>
      <c r="B264" s="19"/>
      <c r="C264" s="19"/>
      <c r="D264" s="19"/>
      <c r="E264" s="20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>
      <c r="A265" s="19"/>
      <c r="B265" s="19"/>
      <c r="C265" s="19"/>
      <c r="D265" s="19"/>
      <c r="E265" s="20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>
      <c r="A266" s="19"/>
      <c r="B266" s="19"/>
      <c r="C266" s="19"/>
      <c r="D266" s="19"/>
      <c r="E266" s="20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>
      <c r="A267" s="19"/>
      <c r="B267" s="19"/>
      <c r="C267" s="19"/>
      <c r="D267" s="19"/>
      <c r="E267" s="20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>
      <c r="A268" s="19"/>
      <c r="B268" s="19"/>
      <c r="C268" s="19"/>
      <c r="D268" s="19"/>
      <c r="E268" s="20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>
      <c r="A269" s="19"/>
      <c r="B269" s="19"/>
      <c r="C269" s="19"/>
      <c r="D269" s="19"/>
      <c r="E269" s="20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>
      <c r="A270" s="19"/>
      <c r="B270" s="19"/>
      <c r="C270" s="19"/>
      <c r="D270" s="19"/>
      <c r="E270" s="20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>
      <c r="A271" s="19"/>
      <c r="B271" s="19"/>
      <c r="C271" s="19"/>
      <c r="D271" s="19"/>
      <c r="E271" s="20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>
      <c r="A272" s="19"/>
      <c r="B272" s="19"/>
      <c r="C272" s="19"/>
      <c r="D272" s="19"/>
      <c r="E272" s="20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>
      <c r="A273" s="19"/>
      <c r="B273" s="19"/>
      <c r="C273" s="19"/>
      <c r="D273" s="19"/>
      <c r="E273" s="20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>
      <c r="A274" s="19"/>
      <c r="B274" s="19"/>
      <c r="C274" s="19"/>
      <c r="D274" s="19"/>
      <c r="E274" s="20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>
      <c r="A275" s="19"/>
      <c r="B275" s="19"/>
      <c r="C275" s="19"/>
      <c r="D275" s="19"/>
      <c r="E275" s="20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>
      <c r="A276" s="19"/>
      <c r="B276" s="19"/>
      <c r="C276" s="19"/>
      <c r="D276" s="19"/>
      <c r="E276" s="20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>
      <c r="A277" s="19"/>
      <c r="B277" s="19"/>
      <c r="C277" s="19"/>
      <c r="D277" s="19"/>
      <c r="E277" s="20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>
      <c r="A278" s="19"/>
      <c r="B278" s="19"/>
      <c r="C278" s="19"/>
      <c r="D278" s="19"/>
      <c r="E278" s="20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>
      <c r="A279" s="19"/>
      <c r="B279" s="19"/>
      <c r="C279" s="19"/>
      <c r="D279" s="19"/>
      <c r="E279" s="20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>
      <c r="A280" s="19"/>
      <c r="B280" s="19"/>
      <c r="C280" s="19"/>
      <c r="D280" s="19"/>
      <c r="E280" s="20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>
      <c r="A281" s="19"/>
      <c r="B281" s="19"/>
      <c r="C281" s="19"/>
      <c r="D281" s="19"/>
      <c r="E281" s="20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>
      <c r="A282" s="19"/>
      <c r="B282" s="19"/>
      <c r="C282" s="19"/>
      <c r="D282" s="19"/>
      <c r="E282" s="20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>
      <c r="A283" s="19"/>
      <c r="B283" s="19"/>
      <c r="C283" s="19"/>
      <c r="D283" s="19"/>
      <c r="E283" s="20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>
      <c r="A284" s="19"/>
      <c r="B284" s="19"/>
      <c r="C284" s="19"/>
      <c r="D284" s="19"/>
      <c r="E284" s="20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>
      <c r="A285" s="19"/>
      <c r="B285" s="19"/>
      <c r="C285" s="19"/>
      <c r="D285" s="19"/>
      <c r="E285" s="20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>
      <c r="A286" s="19"/>
      <c r="B286" s="19"/>
      <c r="C286" s="19"/>
      <c r="D286" s="19"/>
      <c r="E286" s="20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>
      <c r="A287" s="19"/>
      <c r="B287" s="19"/>
      <c r="C287" s="19"/>
      <c r="D287" s="19"/>
      <c r="E287" s="20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>
      <c r="A288" s="19"/>
      <c r="B288" s="19"/>
      <c r="C288" s="19"/>
      <c r="D288" s="19"/>
      <c r="E288" s="20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>
      <c r="A289" s="19"/>
      <c r="B289" s="19"/>
      <c r="C289" s="19"/>
      <c r="D289" s="19"/>
      <c r="E289" s="20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>
      <c r="A290" s="19"/>
      <c r="B290" s="19"/>
      <c r="C290" s="19"/>
      <c r="D290" s="19"/>
      <c r="E290" s="20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>
      <c r="A291" s="19"/>
      <c r="B291" s="19"/>
      <c r="C291" s="19"/>
      <c r="D291" s="19"/>
      <c r="E291" s="20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>
      <c r="A292" s="19"/>
      <c r="B292" s="19"/>
      <c r="C292" s="19"/>
      <c r="D292" s="19"/>
      <c r="E292" s="20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>
      <c r="A293" s="19"/>
      <c r="B293" s="19"/>
      <c r="C293" s="19"/>
      <c r="D293" s="19"/>
      <c r="E293" s="20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>
      <c r="A294" s="19"/>
      <c r="B294" s="19"/>
      <c r="C294" s="19"/>
      <c r="D294" s="19"/>
      <c r="E294" s="20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>
      <c r="A295" s="19"/>
      <c r="B295" s="19"/>
      <c r="C295" s="19"/>
      <c r="D295" s="19"/>
      <c r="E295" s="20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>
      <c r="A296" s="19"/>
      <c r="B296" s="19"/>
      <c r="C296" s="19"/>
      <c r="D296" s="19"/>
      <c r="E296" s="20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>
      <c r="A297" s="19"/>
      <c r="B297" s="19"/>
      <c r="C297" s="19"/>
      <c r="D297" s="19"/>
      <c r="E297" s="20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>
      <c r="A298" s="19"/>
      <c r="B298" s="19"/>
      <c r="C298" s="19"/>
      <c r="D298" s="19"/>
      <c r="E298" s="20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>
      <c r="A299" s="19"/>
      <c r="B299" s="19"/>
      <c r="C299" s="19"/>
      <c r="D299" s="19"/>
      <c r="E299" s="20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>
      <c r="A300" s="19"/>
      <c r="B300" s="19"/>
      <c r="C300" s="19"/>
      <c r="D300" s="19"/>
      <c r="E300" s="20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>
      <c r="A301" s="19"/>
      <c r="B301" s="19"/>
      <c r="C301" s="19"/>
      <c r="D301" s="19"/>
      <c r="E301" s="20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>
      <c r="A302" s="19"/>
      <c r="B302" s="19"/>
      <c r="C302" s="19"/>
      <c r="D302" s="19"/>
      <c r="E302" s="20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>
      <c r="A303" s="19"/>
      <c r="B303" s="19"/>
      <c r="C303" s="19"/>
      <c r="D303" s="19"/>
      <c r="E303" s="20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>
      <c r="A304" s="19"/>
      <c r="B304" s="19"/>
      <c r="C304" s="19"/>
      <c r="D304" s="19"/>
      <c r="E304" s="20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>
      <c r="A305" s="19"/>
      <c r="B305" s="19"/>
      <c r="C305" s="19"/>
      <c r="D305" s="19"/>
      <c r="E305" s="20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>
      <c r="A306" s="19"/>
      <c r="B306" s="19"/>
      <c r="C306" s="19"/>
      <c r="D306" s="19"/>
      <c r="E306" s="20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>
      <c r="A307" s="19"/>
      <c r="B307" s="19"/>
      <c r="C307" s="19"/>
      <c r="D307" s="19"/>
      <c r="E307" s="20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>
      <c r="A308" s="19"/>
      <c r="B308" s="19"/>
      <c r="C308" s="19"/>
      <c r="D308" s="19"/>
      <c r="E308" s="20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>
      <c r="A309" s="19"/>
      <c r="B309" s="19"/>
      <c r="C309" s="19"/>
      <c r="D309" s="19"/>
      <c r="E309" s="20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>
      <c r="A310" s="19"/>
      <c r="B310" s="19"/>
      <c r="C310" s="19"/>
      <c r="D310" s="19"/>
      <c r="E310" s="20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>
      <c r="A311" s="19"/>
      <c r="B311" s="19"/>
      <c r="C311" s="19"/>
      <c r="D311" s="19"/>
      <c r="E311" s="20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>
      <c r="A312" s="19"/>
      <c r="B312" s="19"/>
      <c r="C312" s="19"/>
      <c r="D312" s="19"/>
      <c r="E312" s="20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>
      <c r="A313" s="19"/>
      <c r="B313" s="19"/>
      <c r="C313" s="19"/>
      <c r="D313" s="19"/>
      <c r="E313" s="20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>
      <c r="A314" s="19"/>
      <c r="B314" s="19"/>
      <c r="C314" s="19"/>
      <c r="D314" s="19"/>
      <c r="E314" s="20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>
      <c r="A315" s="19"/>
      <c r="B315" s="19"/>
      <c r="C315" s="19"/>
      <c r="D315" s="19"/>
      <c r="E315" s="20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>
      <c r="A316" s="19"/>
      <c r="B316" s="19"/>
      <c r="C316" s="19"/>
      <c r="D316" s="19"/>
      <c r="E316" s="20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>
      <c r="A317" s="19"/>
      <c r="B317" s="19"/>
      <c r="C317" s="19"/>
      <c r="D317" s="19"/>
      <c r="E317" s="20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>
      <c r="A318" s="19"/>
      <c r="B318" s="19"/>
      <c r="C318" s="19"/>
      <c r="D318" s="19"/>
      <c r="E318" s="20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>
      <c r="A319" s="19"/>
      <c r="B319" s="19"/>
      <c r="C319" s="19"/>
      <c r="D319" s="19"/>
      <c r="E319" s="20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>
      <c r="A320" s="19"/>
      <c r="B320" s="19"/>
      <c r="C320" s="19"/>
      <c r="D320" s="19"/>
      <c r="E320" s="20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>
      <c r="A321" s="19"/>
      <c r="B321" s="19"/>
      <c r="C321" s="19"/>
      <c r="D321" s="19"/>
      <c r="E321" s="20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>
      <c r="A322" s="19"/>
      <c r="B322" s="19"/>
      <c r="C322" s="19"/>
      <c r="D322" s="19"/>
      <c r="E322" s="20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>
      <c r="A323" s="19"/>
      <c r="B323" s="19"/>
      <c r="C323" s="19"/>
      <c r="D323" s="19"/>
      <c r="E323" s="20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>
      <c r="A324" s="19"/>
      <c r="B324" s="19"/>
      <c r="C324" s="19"/>
      <c r="D324" s="19"/>
      <c r="E324" s="20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>
      <c r="A325" s="19"/>
      <c r="B325" s="19"/>
      <c r="C325" s="19"/>
      <c r="D325" s="19"/>
      <c r="E325" s="20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>
      <c r="A326" s="19"/>
      <c r="B326" s="19"/>
      <c r="C326" s="19"/>
      <c r="D326" s="19"/>
      <c r="E326" s="20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>
      <c r="A327" s="19"/>
      <c r="B327" s="19"/>
      <c r="C327" s="19"/>
      <c r="D327" s="19"/>
      <c r="E327" s="20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>
      <c r="A328" s="19"/>
      <c r="B328" s="19"/>
      <c r="C328" s="19"/>
      <c r="D328" s="19"/>
      <c r="E328" s="20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>
      <c r="A329" s="19"/>
      <c r="B329" s="19"/>
      <c r="C329" s="19"/>
      <c r="D329" s="19"/>
      <c r="E329" s="20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>
      <c r="A330" s="19"/>
      <c r="B330" s="19"/>
      <c r="C330" s="19"/>
      <c r="D330" s="19"/>
      <c r="E330" s="20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>
      <c r="A331" s="19"/>
      <c r="B331" s="19"/>
      <c r="C331" s="19"/>
      <c r="D331" s="19"/>
      <c r="E331" s="20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>
      <c r="A332" s="19"/>
      <c r="B332" s="19"/>
      <c r="C332" s="19"/>
      <c r="D332" s="19"/>
      <c r="E332" s="20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>
      <c r="A333" s="19"/>
      <c r="B333" s="19"/>
      <c r="C333" s="19"/>
      <c r="D333" s="19"/>
      <c r="E333" s="20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>
      <c r="A334" s="19"/>
      <c r="B334" s="19"/>
      <c r="C334" s="19"/>
      <c r="D334" s="19"/>
      <c r="E334" s="20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>
      <c r="A335" s="19"/>
      <c r="B335" s="19"/>
      <c r="C335" s="19"/>
      <c r="D335" s="19"/>
      <c r="E335" s="20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>
      <c r="A336" s="19"/>
      <c r="B336" s="19"/>
      <c r="C336" s="19"/>
      <c r="D336" s="19"/>
      <c r="E336" s="20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>
      <c r="A337" s="19"/>
      <c r="B337" s="19"/>
      <c r="C337" s="19"/>
      <c r="D337" s="19"/>
      <c r="E337" s="20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>
      <c r="A338" s="19"/>
      <c r="B338" s="19"/>
      <c r="C338" s="19"/>
      <c r="D338" s="19"/>
      <c r="E338" s="20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>
      <c r="A339" s="19"/>
      <c r="B339" s="19"/>
      <c r="C339" s="19"/>
      <c r="D339" s="19"/>
      <c r="E339" s="20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>
      <c r="A340" s="19"/>
      <c r="B340" s="19"/>
      <c r="C340" s="19"/>
      <c r="D340" s="19"/>
      <c r="E340" s="20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>
      <c r="A341" s="19"/>
      <c r="B341" s="19"/>
      <c r="C341" s="19"/>
      <c r="D341" s="19"/>
      <c r="E341" s="20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>
      <c r="A342" s="19"/>
      <c r="B342" s="19"/>
      <c r="C342" s="19"/>
      <c r="D342" s="19"/>
      <c r="E342" s="20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>
      <c r="A343" s="19"/>
      <c r="B343" s="19"/>
      <c r="C343" s="19"/>
      <c r="D343" s="19"/>
      <c r="E343" s="20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>
      <c r="A344" s="19"/>
      <c r="B344" s="19"/>
      <c r="C344" s="19"/>
      <c r="D344" s="19"/>
      <c r="E344" s="20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>
      <c r="A345" s="19"/>
      <c r="B345" s="19"/>
      <c r="C345" s="19"/>
      <c r="D345" s="19"/>
      <c r="E345" s="20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>
      <c r="A346" s="19"/>
      <c r="B346" s="19"/>
      <c r="C346" s="19"/>
      <c r="D346" s="19"/>
      <c r="E346" s="20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>
      <c r="A347" s="19"/>
      <c r="B347" s="19"/>
      <c r="C347" s="19"/>
      <c r="D347" s="19"/>
      <c r="E347" s="20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>
      <c r="A348" s="19"/>
      <c r="B348" s="19"/>
      <c r="C348" s="19"/>
      <c r="D348" s="19"/>
      <c r="E348" s="20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>
      <c r="A349" s="19"/>
      <c r="B349" s="19"/>
      <c r="C349" s="19"/>
      <c r="D349" s="19"/>
      <c r="E349" s="20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>
      <c r="A350" s="19"/>
      <c r="B350" s="19"/>
      <c r="C350" s="19"/>
      <c r="D350" s="19"/>
      <c r="E350" s="20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>
      <c r="A351" s="19"/>
      <c r="B351" s="19"/>
      <c r="C351" s="19"/>
      <c r="D351" s="19"/>
      <c r="E351" s="20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>
      <c r="A352" s="19"/>
      <c r="B352" s="19"/>
      <c r="C352" s="19"/>
      <c r="D352" s="19"/>
      <c r="E352" s="20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>
      <c r="A353" s="19"/>
      <c r="B353" s="19"/>
      <c r="C353" s="19"/>
      <c r="D353" s="19"/>
      <c r="E353" s="20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>
      <c r="A354" s="19"/>
      <c r="B354" s="19"/>
      <c r="C354" s="19"/>
      <c r="D354" s="19"/>
      <c r="E354" s="20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>
      <c r="A355" s="19"/>
      <c r="B355" s="19"/>
      <c r="C355" s="19"/>
      <c r="D355" s="19"/>
      <c r="E355" s="20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>
      <c r="A356" s="19"/>
      <c r="B356" s="19"/>
      <c r="C356" s="19"/>
      <c r="D356" s="19"/>
      <c r="E356" s="20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>
      <c r="A357" s="19"/>
      <c r="B357" s="19"/>
      <c r="C357" s="19"/>
      <c r="D357" s="19"/>
      <c r="E357" s="20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>
      <c r="A358" s="19"/>
      <c r="B358" s="19"/>
      <c r="C358" s="19"/>
      <c r="D358" s="19"/>
      <c r="E358" s="20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>
      <c r="A359" s="19"/>
      <c r="B359" s="19"/>
      <c r="C359" s="19"/>
      <c r="D359" s="19"/>
      <c r="E359" s="20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>
      <c r="A360" s="19"/>
      <c r="B360" s="19"/>
      <c r="C360" s="19"/>
      <c r="D360" s="19"/>
      <c r="E360" s="20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>
      <c r="A361" s="19"/>
      <c r="B361" s="19"/>
      <c r="C361" s="19"/>
      <c r="D361" s="19"/>
      <c r="E361" s="20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>
      <c r="A362" s="19"/>
      <c r="B362" s="19"/>
      <c r="C362" s="19"/>
      <c r="D362" s="19"/>
      <c r="E362" s="20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>
      <c r="A363" s="19"/>
      <c r="B363" s="19"/>
      <c r="C363" s="19"/>
      <c r="D363" s="19"/>
      <c r="E363" s="20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>
      <c r="A364" s="19"/>
      <c r="B364" s="19"/>
      <c r="C364" s="19"/>
      <c r="D364" s="19"/>
      <c r="E364" s="20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>
      <c r="A365" s="19"/>
      <c r="B365" s="19"/>
      <c r="C365" s="19"/>
      <c r="D365" s="19"/>
      <c r="E365" s="20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>
      <c r="A366" s="19"/>
      <c r="B366" s="19"/>
      <c r="C366" s="19"/>
      <c r="D366" s="19"/>
      <c r="E366" s="20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>
      <c r="A367" s="19"/>
      <c r="B367" s="19"/>
      <c r="C367" s="19"/>
      <c r="D367" s="19"/>
      <c r="E367" s="20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>
      <c r="A368" s="19"/>
      <c r="B368" s="19"/>
      <c r="C368" s="19"/>
      <c r="D368" s="19"/>
      <c r="E368" s="20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>
      <c r="A369" s="19"/>
      <c r="B369" s="19"/>
      <c r="C369" s="19"/>
      <c r="D369" s="19"/>
      <c r="E369" s="20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>
      <c r="A370" s="19"/>
      <c r="B370" s="19"/>
      <c r="C370" s="19"/>
      <c r="D370" s="19"/>
      <c r="E370" s="20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>
      <c r="A371" s="19"/>
      <c r="B371" s="19"/>
      <c r="C371" s="19"/>
      <c r="D371" s="19"/>
      <c r="E371" s="20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>
      <c r="A372" s="19"/>
      <c r="B372" s="19"/>
      <c r="C372" s="19"/>
      <c r="D372" s="19"/>
      <c r="E372" s="20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>
      <c r="A373" s="19"/>
      <c r="B373" s="19"/>
      <c r="C373" s="19"/>
      <c r="D373" s="19"/>
      <c r="E373" s="20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>
      <c r="A374" s="19"/>
      <c r="B374" s="19"/>
      <c r="C374" s="19"/>
      <c r="D374" s="19"/>
      <c r="E374" s="20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>
      <c r="A375" s="19"/>
      <c r="B375" s="19"/>
      <c r="C375" s="19"/>
      <c r="D375" s="19"/>
      <c r="E375" s="20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>
      <c r="A376" s="19"/>
      <c r="B376" s="19"/>
      <c r="C376" s="19"/>
      <c r="D376" s="19"/>
      <c r="E376" s="20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>
      <c r="A377" s="19"/>
      <c r="B377" s="19"/>
      <c r="C377" s="19"/>
      <c r="D377" s="19"/>
      <c r="E377" s="20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>
      <c r="A378" s="19"/>
      <c r="B378" s="19"/>
      <c r="C378" s="19"/>
      <c r="D378" s="19"/>
      <c r="E378" s="20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>
      <c r="A379" s="19"/>
      <c r="B379" s="19"/>
      <c r="C379" s="19"/>
      <c r="D379" s="19"/>
      <c r="E379" s="20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>
      <c r="A380" s="19"/>
      <c r="B380" s="19"/>
      <c r="C380" s="19"/>
      <c r="D380" s="19"/>
      <c r="E380" s="20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>
      <c r="A381" s="19"/>
      <c r="B381" s="19"/>
      <c r="C381" s="19"/>
      <c r="D381" s="19"/>
      <c r="E381" s="20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>
      <c r="A382" s="19"/>
      <c r="B382" s="19"/>
      <c r="C382" s="19"/>
      <c r="D382" s="19"/>
      <c r="E382" s="20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>
      <c r="A383" s="19"/>
      <c r="B383" s="19"/>
      <c r="C383" s="19"/>
      <c r="D383" s="19"/>
      <c r="E383" s="20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>
      <c r="A384" s="19"/>
      <c r="B384" s="19"/>
      <c r="C384" s="19"/>
      <c r="D384" s="19"/>
      <c r="E384" s="20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>
      <c r="A385" s="19"/>
      <c r="B385" s="19"/>
      <c r="C385" s="19"/>
      <c r="D385" s="19"/>
      <c r="E385" s="20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>
      <c r="A386" s="19"/>
      <c r="B386" s="19"/>
      <c r="C386" s="19"/>
      <c r="D386" s="19"/>
      <c r="E386" s="20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>
      <c r="A387" s="19"/>
      <c r="B387" s="19"/>
      <c r="C387" s="19"/>
      <c r="D387" s="19"/>
      <c r="E387" s="20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>
      <c r="A388" s="19"/>
      <c r="B388" s="19"/>
      <c r="C388" s="19"/>
      <c r="D388" s="19"/>
      <c r="E388" s="20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>
      <c r="A389" s="19"/>
      <c r="B389" s="19"/>
      <c r="C389" s="19"/>
      <c r="D389" s="19"/>
      <c r="E389" s="20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>
      <c r="A390" s="19"/>
      <c r="B390" s="19"/>
      <c r="C390" s="19"/>
      <c r="D390" s="19"/>
      <c r="E390" s="20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>
      <c r="A391" s="19"/>
      <c r="B391" s="19"/>
      <c r="C391" s="19"/>
      <c r="D391" s="19"/>
      <c r="E391" s="20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>
      <c r="A392" s="19"/>
      <c r="B392" s="19"/>
      <c r="C392" s="19"/>
      <c r="D392" s="19"/>
      <c r="E392" s="20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>
      <c r="A393" s="19"/>
      <c r="B393" s="19"/>
      <c r="C393" s="19"/>
      <c r="D393" s="19"/>
      <c r="E393" s="20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>
      <c r="A394" s="19"/>
      <c r="B394" s="19"/>
      <c r="C394" s="19"/>
      <c r="D394" s="19"/>
      <c r="E394" s="20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>
      <c r="A395" s="19"/>
      <c r="B395" s="19"/>
      <c r="C395" s="19"/>
      <c r="D395" s="19"/>
      <c r="E395" s="20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>
      <c r="A396" s="19"/>
      <c r="B396" s="19"/>
      <c r="C396" s="19"/>
      <c r="D396" s="19"/>
      <c r="E396" s="20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>
      <c r="A397" s="19"/>
      <c r="B397" s="19"/>
      <c r="C397" s="19"/>
      <c r="D397" s="19"/>
      <c r="E397" s="20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>
      <c r="A398" s="19"/>
      <c r="B398" s="19"/>
      <c r="C398" s="19"/>
      <c r="D398" s="19"/>
      <c r="E398" s="20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>
      <c r="A399" s="19"/>
      <c r="B399" s="19"/>
      <c r="C399" s="19"/>
      <c r="D399" s="19"/>
      <c r="E399" s="20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>
      <c r="A400" s="19"/>
      <c r="B400" s="19"/>
      <c r="C400" s="19"/>
      <c r="D400" s="19"/>
      <c r="E400" s="20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>
      <c r="A401" s="19"/>
      <c r="B401" s="19"/>
      <c r="C401" s="19"/>
      <c r="D401" s="19"/>
      <c r="E401" s="20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>
      <c r="A402" s="19"/>
      <c r="B402" s="19"/>
      <c r="C402" s="19"/>
      <c r="D402" s="19"/>
      <c r="E402" s="20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>
      <c r="A403" s="19"/>
      <c r="B403" s="19"/>
      <c r="C403" s="19"/>
      <c r="D403" s="19"/>
      <c r="E403" s="20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>
      <c r="A404" s="19"/>
      <c r="B404" s="19"/>
      <c r="C404" s="19"/>
      <c r="D404" s="19"/>
      <c r="E404" s="20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>
      <c r="A405" s="19"/>
      <c r="B405" s="19"/>
      <c r="C405" s="19"/>
      <c r="D405" s="19"/>
      <c r="E405" s="20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>
      <c r="A406" s="19"/>
      <c r="B406" s="19"/>
      <c r="C406" s="19"/>
      <c r="D406" s="19"/>
      <c r="E406" s="20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>
      <c r="A407" s="19"/>
      <c r="B407" s="19"/>
      <c r="C407" s="19"/>
      <c r="D407" s="19"/>
      <c r="E407" s="20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>
      <c r="A408" s="19"/>
      <c r="B408" s="19"/>
      <c r="C408" s="19"/>
      <c r="D408" s="19"/>
      <c r="E408" s="20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>
      <c r="A409" s="19"/>
      <c r="B409" s="19"/>
      <c r="C409" s="19"/>
      <c r="D409" s="19"/>
      <c r="E409" s="20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>
      <c r="A410" s="19"/>
      <c r="B410" s="19"/>
      <c r="C410" s="19"/>
      <c r="D410" s="19"/>
      <c r="E410" s="20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>
      <c r="A411" s="19"/>
      <c r="B411" s="19"/>
      <c r="C411" s="19"/>
      <c r="D411" s="19"/>
      <c r="E411" s="20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>
      <c r="A412" s="19"/>
      <c r="B412" s="19"/>
      <c r="C412" s="19"/>
      <c r="D412" s="19"/>
      <c r="E412" s="20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>
      <c r="A413" s="19"/>
      <c r="B413" s="19"/>
      <c r="C413" s="19"/>
      <c r="D413" s="19"/>
      <c r="E413" s="20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>
      <c r="A414" s="19"/>
      <c r="B414" s="19"/>
      <c r="C414" s="19"/>
      <c r="D414" s="19"/>
      <c r="E414" s="20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>
      <c r="A415" s="19"/>
      <c r="B415" s="19"/>
      <c r="C415" s="19"/>
      <c r="D415" s="19"/>
      <c r="E415" s="20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>
      <c r="A416" s="19"/>
      <c r="B416" s="19"/>
      <c r="C416" s="19"/>
      <c r="D416" s="19"/>
      <c r="E416" s="20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>
      <c r="A417" s="19"/>
      <c r="B417" s="19"/>
      <c r="C417" s="19"/>
      <c r="D417" s="19"/>
      <c r="E417" s="20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>
      <c r="A418" s="19"/>
      <c r="B418" s="19"/>
      <c r="C418" s="19"/>
      <c r="D418" s="19"/>
      <c r="E418" s="20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>
      <c r="A419" s="19"/>
      <c r="B419" s="19"/>
      <c r="C419" s="19"/>
      <c r="D419" s="19"/>
      <c r="E419" s="20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>
      <c r="A420" s="19"/>
      <c r="B420" s="19"/>
      <c r="C420" s="19"/>
      <c r="D420" s="19"/>
      <c r="E420" s="20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>
      <c r="A421" s="19"/>
      <c r="B421" s="19"/>
      <c r="C421" s="19"/>
      <c r="D421" s="19"/>
      <c r="E421" s="20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>
      <c r="A422" s="19"/>
      <c r="B422" s="19"/>
      <c r="C422" s="19"/>
      <c r="D422" s="19"/>
      <c r="E422" s="20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>
      <c r="A423" s="19"/>
      <c r="B423" s="19"/>
      <c r="C423" s="19"/>
      <c r="D423" s="19"/>
      <c r="E423" s="20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>
      <c r="A424" s="19"/>
      <c r="B424" s="19"/>
      <c r="C424" s="19"/>
      <c r="D424" s="19"/>
      <c r="E424" s="20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>
      <c r="A425" s="19"/>
      <c r="B425" s="19"/>
      <c r="C425" s="19"/>
      <c r="D425" s="19"/>
      <c r="E425" s="20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>
      <c r="A426" s="19"/>
      <c r="B426" s="19"/>
      <c r="C426" s="19"/>
      <c r="D426" s="19"/>
      <c r="E426" s="20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>
      <c r="A427" s="19"/>
      <c r="B427" s="19"/>
      <c r="C427" s="19"/>
      <c r="D427" s="19"/>
      <c r="E427" s="20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>
      <c r="A428" s="19"/>
      <c r="B428" s="19"/>
      <c r="C428" s="19"/>
      <c r="D428" s="19"/>
      <c r="E428" s="20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>
      <c r="A429" s="19"/>
      <c r="B429" s="19"/>
      <c r="C429" s="19"/>
      <c r="D429" s="19"/>
      <c r="E429" s="20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>
      <c r="A430" s="19"/>
      <c r="B430" s="19"/>
      <c r="C430" s="19"/>
      <c r="D430" s="19"/>
      <c r="E430" s="20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>
      <c r="A431" s="19"/>
      <c r="B431" s="19"/>
      <c r="C431" s="19"/>
      <c r="D431" s="19"/>
      <c r="E431" s="20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>
      <c r="A432" s="19"/>
      <c r="B432" s="19"/>
      <c r="C432" s="19"/>
      <c r="D432" s="19"/>
      <c r="E432" s="20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>
      <c r="A433" s="19"/>
      <c r="B433" s="19"/>
      <c r="C433" s="19"/>
      <c r="D433" s="19"/>
      <c r="E433" s="20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>
      <c r="A434" s="19"/>
      <c r="B434" s="19"/>
      <c r="C434" s="19"/>
      <c r="D434" s="19"/>
      <c r="E434" s="20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>
      <c r="A435" s="19"/>
      <c r="B435" s="19"/>
      <c r="C435" s="19"/>
      <c r="D435" s="19"/>
      <c r="E435" s="20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>
      <c r="A436" s="19"/>
      <c r="B436" s="19"/>
      <c r="C436" s="19"/>
      <c r="D436" s="19"/>
      <c r="E436" s="20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>
      <c r="A437" s="19"/>
      <c r="B437" s="19"/>
      <c r="C437" s="19"/>
      <c r="D437" s="19"/>
      <c r="E437" s="20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>
      <c r="A438" s="19"/>
      <c r="B438" s="19"/>
      <c r="C438" s="19"/>
      <c r="D438" s="19"/>
      <c r="E438" s="20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>
      <c r="A439" s="19"/>
      <c r="B439" s="19"/>
      <c r="C439" s="19"/>
      <c r="D439" s="19"/>
      <c r="E439" s="20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>
      <c r="A440" s="19"/>
      <c r="B440" s="19"/>
      <c r="C440" s="19"/>
      <c r="D440" s="19"/>
      <c r="E440" s="20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>
      <c r="A441" s="19"/>
      <c r="B441" s="19"/>
      <c r="C441" s="19"/>
      <c r="D441" s="19"/>
      <c r="E441" s="20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>
      <c r="A442" s="19"/>
      <c r="B442" s="19"/>
      <c r="C442" s="19"/>
      <c r="D442" s="19"/>
      <c r="E442" s="20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>
      <c r="A443" s="19"/>
      <c r="B443" s="19"/>
      <c r="C443" s="19"/>
      <c r="D443" s="19"/>
      <c r="E443" s="20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>
      <c r="A444" s="19"/>
      <c r="B444" s="19"/>
      <c r="C444" s="19"/>
      <c r="D444" s="19"/>
      <c r="E444" s="20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>
      <c r="A445" s="19"/>
      <c r="B445" s="19"/>
      <c r="C445" s="19"/>
      <c r="D445" s="19"/>
      <c r="E445" s="20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>
      <c r="A446" s="19"/>
      <c r="B446" s="19"/>
      <c r="C446" s="19"/>
      <c r="D446" s="19"/>
      <c r="E446" s="20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>
      <c r="A447" s="19"/>
      <c r="B447" s="19"/>
      <c r="C447" s="19"/>
      <c r="D447" s="19"/>
      <c r="E447" s="20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>
      <c r="A448" s="19"/>
      <c r="B448" s="19"/>
      <c r="C448" s="19"/>
      <c r="D448" s="19"/>
      <c r="E448" s="20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>
      <c r="A449" s="19"/>
      <c r="B449" s="19"/>
      <c r="C449" s="19"/>
      <c r="D449" s="19"/>
      <c r="E449" s="20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>
      <c r="A450" s="19"/>
      <c r="B450" s="19"/>
      <c r="C450" s="19"/>
      <c r="D450" s="19"/>
      <c r="E450" s="20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>
      <c r="A451" s="19"/>
      <c r="B451" s="19"/>
      <c r="C451" s="19"/>
      <c r="D451" s="19"/>
      <c r="E451" s="20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>
      <c r="A452" s="19"/>
      <c r="B452" s="19"/>
      <c r="C452" s="19"/>
      <c r="D452" s="19"/>
      <c r="E452" s="20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>
      <c r="A453" s="19"/>
      <c r="B453" s="19"/>
      <c r="C453" s="19"/>
      <c r="D453" s="19"/>
      <c r="E453" s="20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>
      <c r="A454" s="19"/>
      <c r="B454" s="19"/>
      <c r="C454" s="19"/>
      <c r="D454" s="19"/>
      <c r="E454" s="20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>
      <c r="A455" s="19"/>
      <c r="B455" s="19"/>
      <c r="C455" s="19"/>
      <c r="D455" s="19"/>
      <c r="E455" s="20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>
      <c r="A456" s="19"/>
      <c r="B456" s="19"/>
      <c r="C456" s="19"/>
      <c r="D456" s="19"/>
      <c r="E456" s="20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>
      <c r="A457" s="19"/>
      <c r="B457" s="19"/>
      <c r="C457" s="19"/>
      <c r="D457" s="19"/>
      <c r="E457" s="20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>
      <c r="A458" s="19"/>
      <c r="B458" s="19"/>
      <c r="C458" s="19"/>
      <c r="D458" s="19"/>
      <c r="E458" s="20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>
      <c r="A459" s="19"/>
      <c r="B459" s="19"/>
      <c r="C459" s="19"/>
      <c r="D459" s="19"/>
      <c r="E459" s="20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>
      <c r="A460" s="19"/>
      <c r="B460" s="19"/>
      <c r="C460" s="19"/>
      <c r="D460" s="19"/>
      <c r="E460" s="20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>
      <c r="A461" s="19"/>
      <c r="B461" s="19"/>
      <c r="C461" s="19"/>
      <c r="D461" s="19"/>
      <c r="E461" s="20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>
      <c r="A462" s="19"/>
      <c r="B462" s="19"/>
      <c r="C462" s="19"/>
      <c r="D462" s="19"/>
      <c r="E462" s="20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>
      <c r="A463" s="19"/>
      <c r="B463" s="19"/>
      <c r="C463" s="19"/>
      <c r="D463" s="19"/>
      <c r="E463" s="20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>
      <c r="A464" s="19"/>
      <c r="B464" s="19"/>
      <c r="C464" s="19"/>
      <c r="D464" s="19"/>
      <c r="E464" s="20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>
      <c r="A465" s="19"/>
      <c r="B465" s="19"/>
      <c r="C465" s="19"/>
      <c r="D465" s="19"/>
      <c r="E465" s="20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>
      <c r="A466" s="19"/>
      <c r="B466" s="19"/>
      <c r="C466" s="19"/>
      <c r="D466" s="19"/>
      <c r="E466" s="20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>
      <c r="A467" s="19"/>
      <c r="B467" s="19"/>
      <c r="C467" s="19"/>
      <c r="D467" s="19"/>
      <c r="E467" s="20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>
      <c r="A468" s="19"/>
      <c r="B468" s="19"/>
      <c r="C468" s="19"/>
      <c r="D468" s="19"/>
      <c r="E468" s="20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>
      <c r="A469" s="19"/>
      <c r="B469" s="19"/>
      <c r="C469" s="19"/>
      <c r="D469" s="19"/>
      <c r="E469" s="20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>
      <c r="A470" s="19"/>
      <c r="B470" s="19"/>
      <c r="C470" s="19"/>
      <c r="D470" s="19"/>
      <c r="E470" s="20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>
      <c r="A471" s="19"/>
      <c r="B471" s="19"/>
      <c r="C471" s="19"/>
      <c r="D471" s="19"/>
      <c r="E471" s="20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>
      <c r="A472" s="19"/>
      <c r="B472" s="19"/>
      <c r="C472" s="19"/>
      <c r="D472" s="19"/>
      <c r="E472" s="20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>
      <c r="A473" s="19"/>
      <c r="B473" s="19"/>
      <c r="C473" s="19"/>
      <c r="D473" s="19"/>
      <c r="E473" s="20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>
      <c r="A474" s="19"/>
      <c r="B474" s="19"/>
      <c r="C474" s="19"/>
      <c r="D474" s="19"/>
      <c r="E474" s="20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>
      <c r="A475" s="19"/>
      <c r="B475" s="19"/>
      <c r="C475" s="19"/>
      <c r="D475" s="19"/>
      <c r="E475" s="20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>
      <c r="A476" s="19"/>
      <c r="B476" s="19"/>
      <c r="C476" s="19"/>
      <c r="D476" s="19"/>
      <c r="E476" s="20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>
      <c r="A477" s="19"/>
      <c r="B477" s="19"/>
      <c r="C477" s="19"/>
      <c r="D477" s="19"/>
      <c r="E477" s="20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>
      <c r="A478" s="19"/>
      <c r="B478" s="19"/>
      <c r="C478" s="19"/>
      <c r="D478" s="19"/>
      <c r="E478" s="20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>
      <c r="A479" s="19"/>
      <c r="B479" s="19"/>
      <c r="C479" s="19"/>
      <c r="D479" s="19"/>
      <c r="E479" s="20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>
      <c r="A480" s="19"/>
      <c r="B480" s="19"/>
      <c r="C480" s="19"/>
      <c r="D480" s="19"/>
      <c r="E480" s="20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>
      <c r="A481" s="19"/>
      <c r="B481" s="19"/>
      <c r="C481" s="19"/>
      <c r="D481" s="19"/>
      <c r="E481" s="20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>
      <c r="A482" s="19"/>
      <c r="B482" s="19"/>
      <c r="C482" s="19"/>
      <c r="D482" s="19"/>
      <c r="E482" s="20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>
      <c r="A483" s="19"/>
      <c r="B483" s="19"/>
      <c r="C483" s="19"/>
      <c r="D483" s="19"/>
      <c r="E483" s="20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>
      <c r="A484" s="19"/>
      <c r="B484" s="19"/>
      <c r="C484" s="19"/>
      <c r="D484" s="19"/>
      <c r="E484" s="20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>
      <c r="A485" s="19"/>
      <c r="B485" s="19"/>
      <c r="C485" s="19"/>
      <c r="D485" s="19"/>
      <c r="E485" s="20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>
      <c r="A486" s="19"/>
      <c r="B486" s="19"/>
      <c r="C486" s="19"/>
      <c r="D486" s="19"/>
      <c r="E486" s="20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>
      <c r="A487" s="19"/>
      <c r="B487" s="19"/>
      <c r="C487" s="19"/>
      <c r="D487" s="19"/>
      <c r="E487" s="20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>
      <c r="A488" s="19"/>
      <c r="B488" s="19"/>
      <c r="C488" s="19"/>
      <c r="D488" s="19"/>
      <c r="E488" s="20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>
      <c r="A489" s="19"/>
      <c r="B489" s="19"/>
      <c r="C489" s="19"/>
      <c r="D489" s="19"/>
      <c r="E489" s="20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>
      <c r="A490" s="19"/>
      <c r="B490" s="19"/>
      <c r="C490" s="19"/>
      <c r="D490" s="19"/>
      <c r="E490" s="20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>
      <c r="A491" s="19"/>
      <c r="B491" s="19"/>
      <c r="C491" s="19"/>
      <c r="D491" s="19"/>
      <c r="E491" s="20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>
      <c r="A492" s="19"/>
      <c r="B492" s="19"/>
      <c r="C492" s="19"/>
      <c r="D492" s="19"/>
      <c r="E492" s="20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>
      <c r="A493" s="19"/>
      <c r="B493" s="19"/>
      <c r="C493" s="19"/>
      <c r="D493" s="19"/>
      <c r="E493" s="20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>
      <c r="A494" s="19"/>
      <c r="B494" s="19"/>
      <c r="C494" s="19"/>
      <c r="D494" s="19"/>
      <c r="E494" s="20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>
      <c r="A495" s="19"/>
      <c r="B495" s="19"/>
      <c r="C495" s="19"/>
      <c r="D495" s="19"/>
      <c r="E495" s="20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>
      <c r="A496" s="19"/>
      <c r="B496" s="19"/>
      <c r="C496" s="19"/>
      <c r="D496" s="19"/>
      <c r="E496" s="20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>
      <c r="A497" s="19"/>
      <c r="B497" s="19"/>
      <c r="C497" s="19"/>
      <c r="D497" s="19"/>
      <c r="E497" s="20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>
      <c r="A498" s="19"/>
      <c r="B498" s="19"/>
      <c r="C498" s="19"/>
      <c r="D498" s="19"/>
      <c r="E498" s="20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>
      <c r="A499" s="19"/>
      <c r="B499" s="19"/>
      <c r="C499" s="19"/>
      <c r="D499" s="19"/>
      <c r="E499" s="20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>
      <c r="A500" s="19"/>
      <c r="B500" s="19"/>
      <c r="C500" s="19"/>
      <c r="D500" s="19"/>
      <c r="E500" s="20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>
      <c r="A501" s="19"/>
      <c r="B501" s="19"/>
      <c r="C501" s="19"/>
      <c r="D501" s="19"/>
      <c r="E501" s="20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>
      <c r="A502" s="19"/>
      <c r="B502" s="19"/>
      <c r="C502" s="19"/>
      <c r="D502" s="19"/>
      <c r="E502" s="20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>
      <c r="A503" s="19"/>
      <c r="B503" s="19"/>
      <c r="C503" s="19"/>
      <c r="D503" s="19"/>
      <c r="E503" s="20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>
      <c r="A504" s="19"/>
      <c r="B504" s="19"/>
      <c r="C504" s="19"/>
      <c r="D504" s="19"/>
      <c r="E504" s="20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>
      <c r="A505" s="19"/>
      <c r="B505" s="19"/>
      <c r="C505" s="19"/>
      <c r="D505" s="19"/>
      <c r="E505" s="20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>
      <c r="A506" s="19"/>
      <c r="B506" s="19"/>
      <c r="C506" s="19"/>
      <c r="D506" s="19"/>
      <c r="E506" s="20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>
      <c r="A507" s="19"/>
      <c r="B507" s="19"/>
      <c r="C507" s="19"/>
      <c r="D507" s="19"/>
      <c r="E507" s="20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>
      <c r="A508" s="19"/>
      <c r="B508" s="19"/>
      <c r="C508" s="19"/>
      <c r="D508" s="19"/>
      <c r="E508" s="20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>
      <c r="A509" s="19"/>
      <c r="B509" s="19"/>
      <c r="C509" s="19"/>
      <c r="D509" s="19"/>
      <c r="E509" s="20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>
      <c r="A510" s="19"/>
      <c r="B510" s="19"/>
      <c r="C510" s="19"/>
      <c r="D510" s="19"/>
      <c r="E510" s="20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>
      <c r="A511" s="19"/>
      <c r="B511" s="19"/>
      <c r="C511" s="19"/>
      <c r="D511" s="19"/>
      <c r="E511" s="20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>
      <c r="A512" s="19"/>
      <c r="B512" s="19"/>
      <c r="C512" s="19"/>
      <c r="D512" s="19"/>
      <c r="E512" s="20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>
      <c r="A513" s="19"/>
      <c r="B513" s="19"/>
      <c r="C513" s="19"/>
      <c r="D513" s="19"/>
      <c r="E513" s="20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>
      <c r="A514" s="19"/>
      <c r="B514" s="19"/>
      <c r="C514" s="19"/>
      <c r="D514" s="19"/>
      <c r="E514" s="20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>
      <c r="A515" s="19"/>
      <c r="B515" s="19"/>
      <c r="C515" s="19"/>
      <c r="D515" s="19"/>
      <c r="E515" s="20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>
      <c r="A516" s="19"/>
      <c r="B516" s="19"/>
      <c r="C516" s="19"/>
      <c r="D516" s="19"/>
      <c r="E516" s="20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>
      <c r="A517" s="19"/>
      <c r="B517" s="19"/>
      <c r="C517" s="19"/>
      <c r="D517" s="19"/>
      <c r="E517" s="20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>
      <c r="A518" s="19"/>
      <c r="B518" s="19"/>
      <c r="C518" s="19"/>
      <c r="D518" s="19"/>
      <c r="E518" s="20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>
      <c r="A519" s="19"/>
      <c r="B519" s="19"/>
      <c r="C519" s="19"/>
      <c r="D519" s="19"/>
      <c r="E519" s="20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>
      <c r="A520" s="19"/>
      <c r="B520" s="19"/>
      <c r="C520" s="19"/>
      <c r="D520" s="19"/>
      <c r="E520" s="20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>
      <c r="A521" s="19"/>
      <c r="B521" s="19"/>
      <c r="C521" s="19"/>
      <c r="D521" s="19"/>
      <c r="E521" s="20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>
      <c r="A522" s="19"/>
      <c r="B522" s="19"/>
      <c r="C522" s="19"/>
      <c r="D522" s="19"/>
      <c r="E522" s="20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>
      <c r="A523" s="19"/>
      <c r="B523" s="19"/>
      <c r="C523" s="19"/>
      <c r="D523" s="19"/>
      <c r="E523" s="20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>
      <c r="A524" s="19"/>
      <c r="B524" s="19"/>
      <c r="C524" s="19"/>
      <c r="D524" s="19"/>
      <c r="E524" s="20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>
      <c r="A525" s="19"/>
      <c r="B525" s="19"/>
      <c r="C525" s="19"/>
      <c r="D525" s="19"/>
      <c r="E525" s="20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>
      <c r="A526" s="19"/>
      <c r="B526" s="19"/>
      <c r="C526" s="19"/>
      <c r="D526" s="19"/>
      <c r="E526" s="20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>
      <c r="A527" s="19"/>
      <c r="B527" s="19"/>
      <c r="C527" s="19"/>
      <c r="D527" s="19"/>
      <c r="E527" s="20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>
      <c r="A528" s="19"/>
      <c r="B528" s="19"/>
      <c r="C528" s="19"/>
      <c r="D528" s="19"/>
      <c r="E528" s="20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>
      <c r="A529" s="19"/>
      <c r="B529" s="19"/>
      <c r="C529" s="19"/>
      <c r="D529" s="19"/>
      <c r="E529" s="20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>
      <c r="A530" s="19"/>
      <c r="B530" s="19"/>
      <c r="C530" s="19"/>
      <c r="D530" s="19"/>
      <c r="E530" s="20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>
      <c r="A531" s="19"/>
      <c r="B531" s="19"/>
      <c r="C531" s="19"/>
      <c r="D531" s="19"/>
      <c r="E531" s="20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>
      <c r="A532" s="19"/>
      <c r="B532" s="19"/>
      <c r="C532" s="19"/>
      <c r="D532" s="19"/>
      <c r="E532" s="20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>
      <c r="A533" s="19"/>
      <c r="B533" s="19"/>
      <c r="C533" s="19"/>
      <c r="D533" s="19"/>
      <c r="E533" s="20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>
      <c r="A534" s="19"/>
      <c r="B534" s="19"/>
      <c r="C534" s="19"/>
      <c r="D534" s="19"/>
      <c r="E534" s="20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>
      <c r="A535" s="19"/>
      <c r="B535" s="19"/>
      <c r="C535" s="19"/>
      <c r="D535" s="19"/>
      <c r="E535" s="20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>
      <c r="A536" s="19"/>
      <c r="B536" s="19"/>
      <c r="C536" s="19"/>
      <c r="D536" s="19"/>
      <c r="E536" s="20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>
      <c r="A537" s="19"/>
      <c r="B537" s="19"/>
      <c r="C537" s="19"/>
      <c r="D537" s="19"/>
      <c r="E537" s="20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>
      <c r="A538" s="19"/>
      <c r="B538" s="19"/>
      <c r="C538" s="19"/>
      <c r="D538" s="19"/>
      <c r="E538" s="20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>
      <c r="A539" s="19"/>
      <c r="B539" s="19"/>
      <c r="C539" s="19"/>
      <c r="D539" s="19"/>
      <c r="E539" s="20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>
      <c r="A540" s="19"/>
      <c r="B540" s="19"/>
      <c r="C540" s="19"/>
      <c r="D540" s="19"/>
      <c r="E540" s="20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>
      <c r="A541" s="19"/>
      <c r="B541" s="19"/>
      <c r="C541" s="19"/>
      <c r="D541" s="19"/>
      <c r="E541" s="20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>
      <c r="A542" s="19"/>
      <c r="B542" s="19"/>
      <c r="C542" s="19"/>
      <c r="D542" s="19"/>
      <c r="E542" s="20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>
      <c r="A543" s="19"/>
      <c r="B543" s="19"/>
      <c r="C543" s="19"/>
      <c r="D543" s="19"/>
      <c r="E543" s="20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>
      <c r="A544" s="19"/>
      <c r="B544" s="19"/>
      <c r="C544" s="19"/>
      <c r="D544" s="19"/>
      <c r="E544" s="20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>
      <c r="A545" s="19"/>
      <c r="B545" s="19"/>
      <c r="C545" s="19"/>
      <c r="D545" s="19"/>
      <c r="E545" s="20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>
      <c r="A546" s="19"/>
      <c r="B546" s="19"/>
      <c r="C546" s="19"/>
      <c r="D546" s="19"/>
      <c r="E546" s="20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>
      <c r="A547" s="19"/>
      <c r="B547" s="19"/>
      <c r="C547" s="19"/>
      <c r="D547" s="19"/>
      <c r="E547" s="20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>
      <c r="A548" s="19"/>
      <c r="B548" s="19"/>
      <c r="C548" s="19"/>
      <c r="D548" s="19"/>
      <c r="E548" s="20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>
      <c r="A549" s="19"/>
      <c r="B549" s="19"/>
      <c r="C549" s="19"/>
      <c r="D549" s="19"/>
      <c r="E549" s="20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>
      <c r="A550" s="19"/>
      <c r="B550" s="19"/>
      <c r="C550" s="19"/>
      <c r="D550" s="19"/>
      <c r="E550" s="20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>
      <c r="A551" s="19"/>
      <c r="B551" s="19"/>
      <c r="C551" s="19"/>
      <c r="D551" s="19"/>
      <c r="E551" s="20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>
      <c r="A552" s="19"/>
      <c r="B552" s="19"/>
      <c r="C552" s="19"/>
      <c r="D552" s="19"/>
      <c r="E552" s="20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>
      <c r="A553" s="19"/>
      <c r="B553" s="19"/>
      <c r="C553" s="19"/>
      <c r="D553" s="19"/>
      <c r="E553" s="20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>
      <c r="A554" s="19"/>
      <c r="B554" s="19"/>
      <c r="C554" s="19"/>
      <c r="D554" s="19"/>
      <c r="E554" s="20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>
      <c r="A555" s="19"/>
      <c r="B555" s="19"/>
      <c r="C555" s="19"/>
      <c r="D555" s="19"/>
      <c r="E555" s="20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>
      <c r="A556" s="19"/>
      <c r="B556" s="19"/>
      <c r="C556" s="19"/>
      <c r="D556" s="19"/>
      <c r="E556" s="20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>
      <c r="A557" s="19"/>
      <c r="B557" s="19"/>
      <c r="C557" s="19"/>
      <c r="D557" s="19"/>
      <c r="E557" s="20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>
      <c r="A558" s="19"/>
      <c r="B558" s="19"/>
      <c r="C558" s="19"/>
      <c r="D558" s="19"/>
      <c r="E558" s="20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>
      <c r="A559" s="19"/>
      <c r="B559" s="19"/>
      <c r="C559" s="19"/>
      <c r="D559" s="19"/>
      <c r="E559" s="20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>
      <c r="A560" s="19"/>
      <c r="B560" s="19"/>
      <c r="C560" s="19"/>
      <c r="D560" s="19"/>
      <c r="E560" s="20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>
      <c r="A561" s="19"/>
      <c r="B561" s="19"/>
      <c r="C561" s="19"/>
      <c r="D561" s="19"/>
      <c r="E561" s="20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>
      <c r="A562" s="19"/>
      <c r="B562" s="19"/>
      <c r="C562" s="19"/>
      <c r="D562" s="19"/>
      <c r="E562" s="20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>
      <c r="A563" s="19"/>
      <c r="B563" s="19"/>
      <c r="C563" s="19"/>
      <c r="D563" s="19"/>
      <c r="E563" s="20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>
      <c r="A564" s="19"/>
      <c r="B564" s="19"/>
      <c r="C564" s="19"/>
      <c r="D564" s="19"/>
      <c r="E564" s="20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>
      <c r="A565" s="19"/>
      <c r="B565" s="19"/>
      <c r="C565" s="19"/>
      <c r="D565" s="19"/>
      <c r="E565" s="20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>
      <c r="A566" s="19"/>
      <c r="B566" s="19"/>
      <c r="C566" s="19"/>
      <c r="D566" s="19"/>
      <c r="E566" s="20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>
      <c r="A567" s="19"/>
      <c r="B567" s="19"/>
      <c r="C567" s="19"/>
      <c r="D567" s="19"/>
      <c r="E567" s="20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>
      <c r="A568" s="19"/>
      <c r="B568" s="19"/>
      <c r="C568" s="19"/>
      <c r="D568" s="19"/>
      <c r="E568" s="20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>
      <c r="A569" s="19"/>
      <c r="B569" s="19"/>
      <c r="C569" s="19"/>
      <c r="D569" s="19"/>
      <c r="E569" s="20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>
      <c r="A570" s="19"/>
      <c r="B570" s="19"/>
      <c r="C570" s="19"/>
      <c r="D570" s="19"/>
      <c r="E570" s="20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>
      <c r="A571" s="19"/>
      <c r="B571" s="19"/>
      <c r="C571" s="19"/>
      <c r="D571" s="19"/>
      <c r="E571" s="20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>
      <c r="A572" s="19"/>
      <c r="B572" s="19"/>
      <c r="C572" s="19"/>
      <c r="D572" s="19"/>
      <c r="E572" s="20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>
      <c r="A573" s="19"/>
      <c r="B573" s="19"/>
      <c r="C573" s="19"/>
      <c r="D573" s="19"/>
      <c r="E573" s="20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>
      <c r="A574" s="19"/>
      <c r="B574" s="19"/>
      <c r="C574" s="19"/>
      <c r="D574" s="19"/>
      <c r="E574" s="20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>
      <c r="A575" s="19"/>
      <c r="B575" s="19"/>
      <c r="C575" s="19"/>
      <c r="D575" s="19"/>
      <c r="E575" s="20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>
      <c r="A576" s="19"/>
      <c r="B576" s="19"/>
      <c r="C576" s="19"/>
      <c r="D576" s="19"/>
      <c r="E576" s="20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>
      <c r="A577" s="19"/>
      <c r="B577" s="19"/>
      <c r="C577" s="19"/>
      <c r="D577" s="19"/>
      <c r="E577" s="20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>
      <c r="A578" s="19"/>
      <c r="B578" s="19"/>
      <c r="C578" s="19"/>
      <c r="D578" s="19"/>
      <c r="E578" s="20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>
      <c r="A579" s="19"/>
      <c r="B579" s="19"/>
      <c r="C579" s="19"/>
      <c r="D579" s="19"/>
      <c r="E579" s="20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>
      <c r="A580" s="19"/>
      <c r="B580" s="19"/>
      <c r="C580" s="19"/>
      <c r="D580" s="19"/>
      <c r="E580" s="20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>
      <c r="A581" s="19"/>
      <c r="B581" s="19"/>
      <c r="C581" s="19"/>
      <c r="D581" s="19"/>
      <c r="E581" s="20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>
      <c r="A582" s="19"/>
      <c r="B582" s="19"/>
      <c r="C582" s="19"/>
      <c r="D582" s="19"/>
      <c r="E582" s="20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>
      <c r="A583" s="19"/>
      <c r="B583" s="19"/>
      <c r="C583" s="19"/>
      <c r="D583" s="19"/>
      <c r="E583" s="20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>
      <c r="A584" s="19"/>
      <c r="B584" s="19"/>
      <c r="C584" s="19"/>
      <c r="D584" s="19"/>
      <c r="E584" s="20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>
      <c r="A585" s="19"/>
      <c r="B585" s="19"/>
      <c r="C585" s="19"/>
      <c r="D585" s="19"/>
      <c r="E585" s="20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>
      <c r="A586" s="19"/>
      <c r="B586" s="19"/>
      <c r="C586" s="19"/>
      <c r="D586" s="19"/>
      <c r="E586" s="20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>
      <c r="A587" s="19"/>
      <c r="B587" s="19"/>
      <c r="C587" s="19"/>
      <c r="D587" s="19"/>
      <c r="E587" s="20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>
      <c r="A588" s="19"/>
      <c r="B588" s="19"/>
      <c r="C588" s="19"/>
      <c r="D588" s="19"/>
      <c r="E588" s="20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>
      <c r="A589" s="19"/>
      <c r="B589" s="19"/>
      <c r="C589" s="19"/>
      <c r="D589" s="19"/>
      <c r="E589" s="20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>
      <c r="A590" s="19"/>
      <c r="B590" s="19"/>
      <c r="C590" s="19"/>
      <c r="D590" s="19"/>
      <c r="E590" s="20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>
      <c r="A591" s="19"/>
      <c r="B591" s="19"/>
      <c r="C591" s="19"/>
      <c r="D591" s="19"/>
      <c r="E591" s="20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>
      <c r="A592" s="19"/>
      <c r="B592" s="19"/>
      <c r="C592" s="19"/>
      <c r="D592" s="19"/>
      <c r="E592" s="20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>
      <c r="A593" s="19"/>
      <c r="B593" s="19"/>
      <c r="C593" s="19"/>
      <c r="D593" s="19"/>
      <c r="E593" s="20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>
      <c r="A594" s="19"/>
      <c r="B594" s="19"/>
      <c r="C594" s="19"/>
      <c r="D594" s="19"/>
      <c r="E594" s="20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>
      <c r="A595" s="19"/>
      <c r="B595" s="19"/>
      <c r="C595" s="19"/>
      <c r="D595" s="19"/>
      <c r="E595" s="20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>
      <c r="A596" s="19"/>
      <c r="B596" s="19"/>
      <c r="C596" s="19"/>
      <c r="D596" s="19"/>
      <c r="E596" s="20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>
      <c r="A597" s="19"/>
      <c r="B597" s="19"/>
      <c r="C597" s="19"/>
      <c r="D597" s="19"/>
      <c r="E597" s="20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>
      <c r="A598" s="19"/>
      <c r="B598" s="19"/>
      <c r="C598" s="19"/>
      <c r="D598" s="19"/>
      <c r="E598" s="20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>
      <c r="A599" s="19"/>
      <c r="B599" s="19"/>
      <c r="C599" s="19"/>
      <c r="D599" s="19"/>
      <c r="E599" s="20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>
      <c r="A600" s="19"/>
      <c r="B600" s="19"/>
      <c r="C600" s="19"/>
      <c r="D600" s="19"/>
      <c r="E600" s="20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>
      <c r="A601" s="19"/>
      <c r="B601" s="19"/>
      <c r="C601" s="19"/>
      <c r="D601" s="19"/>
      <c r="E601" s="20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>
      <c r="A602" s="19"/>
      <c r="B602" s="19"/>
      <c r="C602" s="19"/>
      <c r="D602" s="19"/>
      <c r="E602" s="20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>
      <c r="A603" s="19"/>
      <c r="B603" s="19"/>
      <c r="C603" s="19"/>
      <c r="D603" s="19"/>
      <c r="E603" s="20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>
      <c r="A604" s="19"/>
      <c r="B604" s="19"/>
      <c r="C604" s="19"/>
      <c r="D604" s="19"/>
      <c r="E604" s="20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>
      <c r="A605" s="19"/>
      <c r="B605" s="19"/>
      <c r="C605" s="19"/>
      <c r="D605" s="19"/>
      <c r="E605" s="20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>
      <c r="A606" s="19"/>
      <c r="B606" s="19"/>
      <c r="C606" s="19"/>
      <c r="D606" s="19"/>
      <c r="E606" s="20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>
      <c r="A607" s="19"/>
      <c r="B607" s="19"/>
      <c r="C607" s="19"/>
      <c r="D607" s="19"/>
      <c r="E607" s="20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>
      <c r="A608" s="19"/>
      <c r="B608" s="19"/>
      <c r="C608" s="19"/>
      <c r="D608" s="19"/>
      <c r="E608" s="20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>
      <c r="A609" s="19"/>
      <c r="B609" s="19"/>
      <c r="C609" s="19"/>
      <c r="D609" s="19"/>
      <c r="E609" s="20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>
      <c r="A610" s="19"/>
      <c r="B610" s="19"/>
      <c r="C610" s="19"/>
      <c r="D610" s="19"/>
      <c r="E610" s="20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>
      <c r="A611" s="19"/>
      <c r="B611" s="19"/>
      <c r="C611" s="19"/>
      <c r="D611" s="19"/>
      <c r="E611" s="20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>
      <c r="A612" s="19"/>
      <c r="B612" s="19"/>
      <c r="C612" s="19"/>
      <c r="D612" s="19"/>
      <c r="E612" s="20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>
      <c r="A613" s="19"/>
      <c r="B613" s="19"/>
      <c r="C613" s="19"/>
      <c r="D613" s="19"/>
      <c r="E613" s="20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>
      <c r="A614" s="19"/>
      <c r="B614" s="19"/>
      <c r="C614" s="19"/>
      <c r="D614" s="19"/>
      <c r="E614" s="20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>
      <c r="A615" s="19"/>
      <c r="B615" s="19"/>
      <c r="C615" s="19"/>
      <c r="D615" s="19"/>
      <c r="E615" s="20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>
      <c r="A616" s="19"/>
      <c r="B616" s="19"/>
      <c r="C616" s="19"/>
      <c r="D616" s="19"/>
      <c r="E616" s="20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>
      <c r="A617" s="19"/>
      <c r="B617" s="19"/>
      <c r="C617" s="19"/>
      <c r="D617" s="19"/>
      <c r="E617" s="20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>
      <c r="A618" s="19"/>
      <c r="B618" s="19"/>
      <c r="C618" s="19"/>
      <c r="D618" s="19"/>
      <c r="E618" s="20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>
      <c r="A619" s="19"/>
      <c r="B619" s="19"/>
      <c r="C619" s="19"/>
      <c r="D619" s="19"/>
      <c r="E619" s="20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>
      <c r="A620" s="19"/>
      <c r="B620" s="19"/>
      <c r="C620" s="19"/>
      <c r="D620" s="19"/>
      <c r="E620" s="20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>
      <c r="A621" s="19"/>
      <c r="B621" s="19"/>
      <c r="C621" s="19"/>
      <c r="D621" s="19"/>
      <c r="E621" s="20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>
      <c r="A622" s="19"/>
      <c r="B622" s="19"/>
      <c r="C622" s="19"/>
      <c r="D622" s="19"/>
      <c r="E622" s="20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>
      <c r="A623" s="19"/>
      <c r="B623" s="19"/>
      <c r="C623" s="19"/>
      <c r="D623" s="19"/>
      <c r="E623" s="20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>
      <c r="A624" s="19"/>
      <c r="B624" s="19"/>
      <c r="C624" s="19"/>
      <c r="D624" s="19"/>
      <c r="E624" s="20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>
      <c r="A625" s="19"/>
      <c r="B625" s="19"/>
      <c r="C625" s="19"/>
      <c r="D625" s="19"/>
      <c r="E625" s="20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>
      <c r="A626" s="19"/>
      <c r="B626" s="19"/>
      <c r="C626" s="19"/>
      <c r="D626" s="19"/>
      <c r="E626" s="20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>
      <c r="A627" s="19"/>
      <c r="B627" s="19"/>
      <c r="C627" s="19"/>
      <c r="D627" s="19"/>
      <c r="E627" s="20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>
      <c r="A628" s="19"/>
      <c r="B628" s="19"/>
      <c r="C628" s="19"/>
      <c r="D628" s="19"/>
      <c r="E628" s="20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>
      <c r="A629" s="19"/>
      <c r="B629" s="19"/>
      <c r="C629" s="19"/>
      <c r="D629" s="19"/>
      <c r="E629" s="20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>
      <c r="A630" s="19"/>
      <c r="B630" s="19"/>
      <c r="C630" s="19"/>
      <c r="D630" s="19"/>
      <c r="E630" s="20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>
      <c r="A631" s="19"/>
      <c r="B631" s="19"/>
      <c r="C631" s="19"/>
      <c r="D631" s="19"/>
      <c r="E631" s="20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>
      <c r="A632" s="19"/>
      <c r="B632" s="19"/>
      <c r="C632" s="19"/>
      <c r="D632" s="19"/>
      <c r="E632" s="20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>
      <c r="A633" s="19"/>
      <c r="B633" s="19"/>
      <c r="C633" s="19"/>
      <c r="D633" s="19"/>
      <c r="E633" s="20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>
      <c r="A634" s="19"/>
      <c r="B634" s="19"/>
      <c r="C634" s="19"/>
      <c r="D634" s="19"/>
      <c r="E634" s="20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>
      <c r="A635" s="19"/>
      <c r="B635" s="19"/>
      <c r="C635" s="19"/>
      <c r="D635" s="19"/>
      <c r="E635" s="20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>
      <c r="A636" s="19"/>
      <c r="B636" s="19"/>
      <c r="C636" s="19"/>
      <c r="D636" s="19"/>
      <c r="E636" s="20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>
      <c r="A637" s="19"/>
      <c r="B637" s="19"/>
      <c r="C637" s="19"/>
      <c r="D637" s="19"/>
      <c r="E637" s="20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>
      <c r="A638" s="19"/>
      <c r="B638" s="19"/>
      <c r="C638" s="19"/>
      <c r="D638" s="19"/>
      <c r="E638" s="20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>
      <c r="A639" s="19"/>
      <c r="B639" s="19"/>
      <c r="C639" s="19"/>
      <c r="D639" s="19"/>
      <c r="E639" s="20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>
      <c r="A640" s="19"/>
      <c r="B640" s="19"/>
      <c r="C640" s="19"/>
      <c r="D640" s="19"/>
      <c r="E640" s="20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>
      <c r="A641" s="19"/>
      <c r="B641" s="19"/>
      <c r="C641" s="19"/>
      <c r="D641" s="19"/>
      <c r="E641" s="20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>
      <c r="A642" s="19"/>
      <c r="B642" s="19"/>
      <c r="C642" s="19"/>
      <c r="D642" s="19"/>
      <c r="E642" s="20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>
      <c r="A643" s="19"/>
      <c r="B643" s="19"/>
      <c r="C643" s="19"/>
      <c r="D643" s="19"/>
      <c r="E643" s="20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>
      <c r="A644" s="19"/>
      <c r="B644" s="19"/>
      <c r="C644" s="19"/>
      <c r="D644" s="19"/>
      <c r="E644" s="20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>
      <c r="A645" s="19"/>
      <c r="B645" s="19"/>
      <c r="C645" s="19"/>
      <c r="D645" s="19"/>
      <c r="E645" s="20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>
      <c r="A646" s="19"/>
      <c r="B646" s="19"/>
      <c r="C646" s="19"/>
      <c r="D646" s="19"/>
      <c r="E646" s="20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>
      <c r="A647" s="19"/>
      <c r="B647" s="19"/>
      <c r="C647" s="19"/>
      <c r="D647" s="19"/>
      <c r="E647" s="20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>
      <c r="A648" s="19"/>
      <c r="B648" s="19"/>
      <c r="C648" s="19"/>
      <c r="D648" s="19"/>
      <c r="E648" s="20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>
      <c r="A649" s="19"/>
      <c r="B649" s="19"/>
      <c r="C649" s="19"/>
      <c r="D649" s="19"/>
      <c r="E649" s="20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>
      <c r="A650" s="19"/>
      <c r="B650" s="19"/>
      <c r="C650" s="19"/>
      <c r="D650" s="19"/>
      <c r="E650" s="20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>
      <c r="A651" s="19"/>
      <c r="B651" s="19"/>
      <c r="C651" s="19"/>
      <c r="D651" s="19"/>
      <c r="E651" s="20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>
      <c r="A652" s="19"/>
      <c r="B652" s="19"/>
      <c r="C652" s="19"/>
      <c r="D652" s="19"/>
      <c r="E652" s="20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>
      <c r="A653" s="19"/>
      <c r="B653" s="19"/>
      <c r="C653" s="19"/>
      <c r="D653" s="19"/>
      <c r="E653" s="20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>
      <c r="A654" s="19"/>
      <c r="B654" s="19"/>
      <c r="C654" s="19"/>
      <c r="D654" s="19"/>
      <c r="E654" s="20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>
      <c r="A655" s="19"/>
      <c r="B655" s="19"/>
      <c r="C655" s="19"/>
      <c r="D655" s="19"/>
      <c r="E655" s="20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>
      <c r="A656" s="19"/>
      <c r="B656" s="19"/>
      <c r="C656" s="19"/>
      <c r="D656" s="19"/>
      <c r="E656" s="20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>
      <c r="A657" s="19"/>
      <c r="B657" s="19"/>
      <c r="C657" s="19"/>
      <c r="D657" s="19"/>
      <c r="E657" s="20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>
      <c r="A658" s="19"/>
      <c r="B658" s="19"/>
      <c r="C658" s="19"/>
      <c r="D658" s="19"/>
      <c r="E658" s="20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>
      <c r="A659" s="19"/>
      <c r="B659" s="19"/>
      <c r="C659" s="19"/>
      <c r="D659" s="19"/>
      <c r="E659" s="20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>
      <c r="A660" s="19"/>
      <c r="B660" s="19"/>
      <c r="C660" s="19"/>
      <c r="D660" s="19"/>
      <c r="E660" s="20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>
      <c r="A661" s="19"/>
      <c r="B661" s="19"/>
      <c r="C661" s="19"/>
      <c r="D661" s="19"/>
      <c r="E661" s="20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>
      <c r="A662" s="19"/>
      <c r="B662" s="19"/>
      <c r="C662" s="19"/>
      <c r="D662" s="19"/>
      <c r="E662" s="20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>
      <c r="A663" s="19"/>
      <c r="B663" s="19"/>
      <c r="C663" s="19"/>
      <c r="D663" s="19"/>
      <c r="E663" s="20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>
      <c r="A664" s="19"/>
      <c r="B664" s="19"/>
      <c r="C664" s="19"/>
      <c r="D664" s="19"/>
      <c r="E664" s="20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>
      <c r="A665" s="19"/>
      <c r="B665" s="19"/>
      <c r="C665" s="19"/>
      <c r="D665" s="19"/>
      <c r="E665" s="20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>
      <c r="A666" s="19"/>
      <c r="B666" s="19"/>
      <c r="C666" s="19"/>
      <c r="D666" s="19"/>
      <c r="E666" s="20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>
      <c r="A667" s="19"/>
      <c r="B667" s="19"/>
      <c r="C667" s="19"/>
      <c r="D667" s="19"/>
      <c r="E667" s="20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>
      <c r="A668" s="19"/>
      <c r="B668" s="19"/>
      <c r="C668" s="19"/>
      <c r="D668" s="19"/>
      <c r="E668" s="20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>
      <c r="A669" s="19"/>
      <c r="B669" s="19"/>
      <c r="C669" s="19"/>
      <c r="D669" s="19"/>
      <c r="E669" s="20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>
      <c r="A670" s="19"/>
      <c r="B670" s="19"/>
      <c r="C670" s="19"/>
      <c r="D670" s="19"/>
      <c r="E670" s="20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>
      <c r="A671" s="19"/>
      <c r="B671" s="19"/>
      <c r="C671" s="19"/>
      <c r="D671" s="19"/>
      <c r="E671" s="20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>
      <c r="A672" s="19"/>
      <c r="B672" s="19"/>
      <c r="C672" s="19"/>
      <c r="D672" s="19"/>
      <c r="E672" s="20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>
      <c r="A673" s="19"/>
      <c r="B673" s="19"/>
      <c r="C673" s="19"/>
      <c r="D673" s="19"/>
      <c r="E673" s="20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>
      <c r="A674" s="19"/>
      <c r="B674" s="19"/>
      <c r="C674" s="19"/>
      <c r="D674" s="19"/>
      <c r="E674" s="20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>
      <c r="A675" s="19"/>
      <c r="B675" s="19"/>
      <c r="C675" s="19"/>
      <c r="D675" s="19"/>
      <c r="E675" s="20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>
      <c r="A676" s="19"/>
      <c r="B676" s="19"/>
      <c r="C676" s="19"/>
      <c r="D676" s="19"/>
      <c r="E676" s="20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>
      <c r="A677" s="19"/>
      <c r="B677" s="19"/>
      <c r="C677" s="19"/>
      <c r="D677" s="19"/>
      <c r="E677" s="20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>
      <c r="A678" s="19"/>
      <c r="B678" s="19"/>
      <c r="C678" s="19"/>
      <c r="D678" s="19"/>
      <c r="E678" s="20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>
      <c r="A679" s="19"/>
      <c r="B679" s="19"/>
      <c r="C679" s="19"/>
      <c r="D679" s="19"/>
      <c r="E679" s="20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>
      <c r="A680" s="19"/>
      <c r="B680" s="19"/>
      <c r="C680" s="19"/>
      <c r="D680" s="19"/>
      <c r="E680" s="20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>
      <c r="A681" s="19"/>
      <c r="B681" s="19"/>
      <c r="C681" s="19"/>
      <c r="D681" s="19"/>
      <c r="E681" s="20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>
      <c r="A682" s="19"/>
      <c r="B682" s="19"/>
      <c r="C682" s="19"/>
      <c r="D682" s="19"/>
      <c r="E682" s="20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>
      <c r="A683" s="19"/>
      <c r="B683" s="19"/>
      <c r="C683" s="19"/>
      <c r="D683" s="19"/>
      <c r="E683" s="20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>
      <c r="A684" s="19"/>
      <c r="B684" s="19"/>
      <c r="C684" s="19"/>
      <c r="D684" s="19"/>
      <c r="E684" s="20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>
      <c r="A685" s="19"/>
      <c r="B685" s="19"/>
      <c r="C685" s="19"/>
      <c r="D685" s="19"/>
      <c r="E685" s="20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>
      <c r="A686" s="19"/>
      <c r="B686" s="19"/>
      <c r="C686" s="19"/>
      <c r="D686" s="19"/>
      <c r="E686" s="20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>
      <c r="A687" s="19"/>
      <c r="B687" s="19"/>
      <c r="C687" s="19"/>
      <c r="D687" s="19"/>
      <c r="E687" s="20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>
      <c r="A688" s="19"/>
      <c r="B688" s="19"/>
      <c r="C688" s="19"/>
      <c r="D688" s="19"/>
      <c r="E688" s="20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>
      <c r="A689" s="19"/>
      <c r="B689" s="19"/>
      <c r="C689" s="19"/>
      <c r="D689" s="19"/>
      <c r="E689" s="20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>
      <c r="A690" s="19"/>
      <c r="B690" s="19"/>
      <c r="C690" s="19"/>
      <c r="D690" s="19"/>
      <c r="E690" s="20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>
      <c r="A691" s="19"/>
      <c r="B691" s="19"/>
      <c r="C691" s="19"/>
      <c r="D691" s="19"/>
      <c r="E691" s="20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>
      <c r="A692" s="19"/>
      <c r="B692" s="19"/>
      <c r="C692" s="19"/>
      <c r="D692" s="19"/>
      <c r="E692" s="20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>
      <c r="A693" s="19"/>
      <c r="B693" s="19"/>
      <c r="C693" s="19"/>
      <c r="D693" s="19"/>
      <c r="E693" s="20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>
      <c r="A694" s="19"/>
      <c r="B694" s="19"/>
      <c r="C694" s="19"/>
      <c r="D694" s="19"/>
      <c r="E694" s="20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>
      <c r="A695" s="19"/>
      <c r="B695" s="19"/>
      <c r="C695" s="19"/>
      <c r="D695" s="19"/>
      <c r="E695" s="20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>
      <c r="A696" s="19"/>
      <c r="B696" s="19"/>
      <c r="C696" s="19"/>
      <c r="D696" s="19"/>
      <c r="E696" s="20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>
      <c r="A697" s="19"/>
      <c r="B697" s="19"/>
      <c r="C697" s="19"/>
      <c r="D697" s="19"/>
      <c r="E697" s="20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>
      <c r="A698" s="19"/>
      <c r="B698" s="19"/>
      <c r="C698" s="19"/>
      <c r="D698" s="19"/>
      <c r="E698" s="20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>
      <c r="A699" s="19"/>
      <c r="B699" s="19"/>
      <c r="C699" s="19"/>
      <c r="D699" s="19"/>
      <c r="E699" s="20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>
      <c r="A700" s="19"/>
      <c r="B700" s="19"/>
      <c r="C700" s="19"/>
      <c r="D700" s="19"/>
      <c r="E700" s="20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>
      <c r="A701" s="19"/>
      <c r="B701" s="19"/>
      <c r="C701" s="19"/>
      <c r="D701" s="19"/>
      <c r="E701" s="20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>
      <c r="A702" s="19"/>
      <c r="B702" s="19"/>
      <c r="C702" s="19"/>
      <c r="D702" s="19"/>
      <c r="E702" s="20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>
      <c r="A703" s="19"/>
      <c r="B703" s="19"/>
      <c r="C703" s="19"/>
      <c r="D703" s="19"/>
      <c r="E703" s="20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>
      <c r="A704" s="19"/>
      <c r="B704" s="19"/>
      <c r="C704" s="19"/>
      <c r="D704" s="19"/>
      <c r="E704" s="20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>
      <c r="A705" s="19"/>
      <c r="B705" s="19"/>
      <c r="C705" s="19"/>
      <c r="D705" s="19"/>
      <c r="E705" s="20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>
      <c r="A706" s="19"/>
      <c r="B706" s="19"/>
      <c r="C706" s="19"/>
      <c r="D706" s="19"/>
      <c r="E706" s="20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>
      <c r="A707" s="19"/>
      <c r="B707" s="19"/>
      <c r="C707" s="19"/>
      <c r="D707" s="19"/>
      <c r="E707" s="20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>
      <c r="A708" s="19"/>
      <c r="B708" s="19"/>
      <c r="C708" s="19"/>
      <c r="D708" s="19"/>
      <c r="E708" s="20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>
      <c r="A709" s="19"/>
      <c r="B709" s="19"/>
      <c r="C709" s="19"/>
      <c r="D709" s="19"/>
      <c r="E709" s="20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>
      <c r="A710" s="19"/>
      <c r="B710" s="19"/>
      <c r="C710" s="19"/>
      <c r="D710" s="19"/>
      <c r="E710" s="20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>
      <c r="A711" s="19"/>
      <c r="B711" s="19"/>
      <c r="C711" s="19"/>
      <c r="D711" s="19"/>
      <c r="E711" s="20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>
      <c r="A712" s="19"/>
      <c r="B712" s="19"/>
      <c r="C712" s="19"/>
      <c r="D712" s="19"/>
      <c r="E712" s="20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>
      <c r="A713" s="19"/>
      <c r="B713" s="19"/>
      <c r="C713" s="19"/>
      <c r="D713" s="19"/>
      <c r="E713" s="20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>
      <c r="A714" s="19"/>
      <c r="B714" s="19"/>
      <c r="C714" s="19"/>
      <c r="D714" s="19"/>
      <c r="E714" s="20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>
      <c r="A715" s="19"/>
      <c r="B715" s="19"/>
      <c r="C715" s="19"/>
      <c r="D715" s="19"/>
      <c r="E715" s="20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>
      <c r="A716" s="19"/>
      <c r="B716" s="19"/>
      <c r="C716" s="19"/>
      <c r="D716" s="19"/>
      <c r="E716" s="20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>
      <c r="A717" s="19"/>
      <c r="B717" s="19"/>
      <c r="C717" s="19"/>
      <c r="D717" s="19"/>
      <c r="E717" s="20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>
      <c r="A718" s="19"/>
      <c r="B718" s="19"/>
      <c r="C718" s="19"/>
      <c r="D718" s="19"/>
      <c r="E718" s="20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>
      <c r="A719" s="19"/>
      <c r="B719" s="19"/>
      <c r="C719" s="19"/>
      <c r="D719" s="19"/>
      <c r="E719" s="20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>
      <c r="A720" s="19"/>
      <c r="B720" s="19"/>
      <c r="C720" s="19"/>
      <c r="D720" s="19"/>
      <c r="E720" s="20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>
      <c r="A721" s="19"/>
      <c r="B721" s="19"/>
      <c r="C721" s="19"/>
      <c r="D721" s="19"/>
      <c r="E721" s="20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>
      <c r="A722" s="19"/>
      <c r="B722" s="19"/>
      <c r="C722" s="19"/>
      <c r="D722" s="19"/>
      <c r="E722" s="20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>
      <c r="A723" s="19"/>
      <c r="B723" s="19"/>
      <c r="C723" s="19"/>
      <c r="D723" s="19"/>
      <c r="E723" s="20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>
      <c r="A724" s="19"/>
      <c r="B724" s="19"/>
      <c r="C724" s="19"/>
      <c r="D724" s="19"/>
      <c r="E724" s="20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>
      <c r="A725" s="19"/>
      <c r="B725" s="19"/>
      <c r="C725" s="19"/>
      <c r="D725" s="19"/>
      <c r="E725" s="20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>
      <c r="A726" s="19"/>
      <c r="B726" s="19"/>
      <c r="C726" s="19"/>
      <c r="D726" s="19"/>
      <c r="E726" s="20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>
      <c r="A727" s="19"/>
      <c r="B727" s="19"/>
      <c r="C727" s="19"/>
      <c r="D727" s="19"/>
      <c r="E727" s="20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>
      <c r="A728" s="19"/>
      <c r="B728" s="19"/>
      <c r="C728" s="19"/>
      <c r="D728" s="19"/>
      <c r="E728" s="20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>
      <c r="A729" s="19"/>
      <c r="B729" s="19"/>
      <c r="C729" s="19"/>
      <c r="D729" s="19"/>
      <c r="E729" s="20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>
      <c r="A730" s="19"/>
      <c r="B730" s="19"/>
      <c r="C730" s="19"/>
      <c r="D730" s="19"/>
      <c r="E730" s="20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>
      <c r="A731" s="19"/>
      <c r="B731" s="19"/>
      <c r="C731" s="19"/>
      <c r="D731" s="19"/>
      <c r="E731" s="20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>
      <c r="A732" s="19"/>
      <c r="B732" s="19"/>
      <c r="C732" s="19"/>
      <c r="D732" s="19"/>
      <c r="E732" s="20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>
      <c r="A733" s="19"/>
      <c r="B733" s="19"/>
      <c r="C733" s="19"/>
      <c r="D733" s="19"/>
      <c r="E733" s="20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>
      <c r="A734" s="19"/>
      <c r="B734" s="19"/>
      <c r="C734" s="19"/>
      <c r="D734" s="19"/>
      <c r="E734" s="20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>
      <c r="A735" s="19"/>
      <c r="B735" s="19"/>
      <c r="C735" s="19"/>
      <c r="D735" s="19"/>
      <c r="E735" s="20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>
      <c r="A736" s="19"/>
      <c r="B736" s="19"/>
      <c r="C736" s="19"/>
      <c r="D736" s="19"/>
      <c r="E736" s="20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>
      <c r="A737" s="19"/>
      <c r="B737" s="19"/>
      <c r="C737" s="19"/>
      <c r="D737" s="19"/>
      <c r="E737" s="20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>
      <c r="A738" s="19"/>
      <c r="B738" s="19"/>
      <c r="C738" s="19"/>
      <c r="D738" s="19"/>
      <c r="E738" s="20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>
      <c r="A739" s="19"/>
      <c r="B739" s="19"/>
      <c r="C739" s="19"/>
      <c r="D739" s="19"/>
      <c r="E739" s="20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>
      <c r="A740" s="19"/>
      <c r="B740" s="19"/>
      <c r="C740" s="19"/>
      <c r="D740" s="19"/>
      <c r="E740" s="20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>
      <c r="A741" s="19"/>
      <c r="B741" s="19"/>
      <c r="C741" s="19"/>
      <c r="D741" s="19"/>
      <c r="E741" s="20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>
      <c r="A742" s="19"/>
      <c r="B742" s="19"/>
      <c r="C742" s="19"/>
      <c r="D742" s="19"/>
      <c r="E742" s="20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>
      <c r="A743" s="19"/>
      <c r="B743" s="19"/>
      <c r="C743" s="19"/>
      <c r="D743" s="19"/>
      <c r="E743" s="20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>
      <c r="A744" s="19"/>
      <c r="B744" s="19"/>
      <c r="C744" s="19"/>
      <c r="D744" s="19"/>
      <c r="E744" s="20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>
      <c r="A745" s="19"/>
      <c r="B745" s="19"/>
      <c r="C745" s="19"/>
      <c r="D745" s="19"/>
      <c r="E745" s="20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>
      <c r="A746" s="19"/>
      <c r="B746" s="19"/>
      <c r="C746" s="19"/>
      <c r="D746" s="19"/>
      <c r="E746" s="20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>
      <c r="A747" s="19"/>
      <c r="B747" s="19"/>
      <c r="C747" s="19"/>
      <c r="D747" s="19"/>
      <c r="E747" s="20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>
      <c r="A748" s="19"/>
      <c r="B748" s="19"/>
      <c r="C748" s="19"/>
      <c r="D748" s="19"/>
      <c r="E748" s="20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>
      <c r="A749" s="19"/>
      <c r="B749" s="19"/>
      <c r="C749" s="19"/>
      <c r="D749" s="19"/>
      <c r="E749" s="20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>
      <c r="A750" s="19"/>
      <c r="B750" s="19"/>
      <c r="C750" s="19"/>
      <c r="D750" s="19"/>
      <c r="E750" s="20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>
      <c r="A751" s="19"/>
      <c r="B751" s="19"/>
      <c r="C751" s="19"/>
      <c r="D751" s="19"/>
      <c r="E751" s="20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>
      <c r="A752" s="19"/>
      <c r="B752" s="19"/>
      <c r="C752" s="19"/>
      <c r="D752" s="19"/>
      <c r="E752" s="20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>
      <c r="A753" s="19"/>
      <c r="B753" s="19"/>
      <c r="C753" s="19"/>
      <c r="D753" s="19"/>
      <c r="E753" s="20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>
      <c r="A754" s="19"/>
      <c r="B754" s="19"/>
      <c r="C754" s="19"/>
      <c r="D754" s="19"/>
      <c r="E754" s="20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>
      <c r="A755" s="19"/>
      <c r="B755" s="19"/>
      <c r="C755" s="19"/>
      <c r="D755" s="19"/>
      <c r="E755" s="20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>
      <c r="A756" s="19"/>
      <c r="B756" s="19"/>
      <c r="C756" s="19"/>
      <c r="D756" s="19"/>
      <c r="E756" s="20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>
      <c r="A757" s="19"/>
      <c r="B757" s="19"/>
      <c r="C757" s="19"/>
      <c r="D757" s="19"/>
      <c r="E757" s="20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>
      <c r="A758" s="19"/>
      <c r="B758" s="19"/>
      <c r="C758" s="19"/>
      <c r="D758" s="19"/>
      <c r="E758" s="20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>
      <c r="A759" s="19"/>
      <c r="B759" s="19"/>
      <c r="C759" s="19"/>
      <c r="D759" s="19"/>
      <c r="E759" s="20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>
      <c r="A760" s="19"/>
      <c r="B760" s="19"/>
      <c r="C760" s="19"/>
      <c r="D760" s="19"/>
      <c r="E760" s="20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>
      <c r="A761" s="19"/>
      <c r="B761" s="19"/>
      <c r="C761" s="19"/>
      <c r="D761" s="19"/>
      <c r="E761" s="20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>
      <c r="A762" s="19"/>
      <c r="B762" s="19"/>
      <c r="C762" s="19"/>
      <c r="D762" s="19"/>
      <c r="E762" s="20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>
      <c r="A763" s="19"/>
      <c r="B763" s="19"/>
      <c r="C763" s="19"/>
      <c r="D763" s="19"/>
      <c r="E763" s="20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>
      <c r="A764" s="19"/>
      <c r="B764" s="19"/>
      <c r="C764" s="19"/>
      <c r="D764" s="19"/>
      <c r="E764" s="20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>
      <c r="A765" s="19"/>
      <c r="B765" s="19"/>
      <c r="C765" s="19"/>
      <c r="D765" s="19"/>
      <c r="E765" s="20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>
      <c r="A766" s="19"/>
      <c r="B766" s="19"/>
      <c r="C766" s="19"/>
      <c r="D766" s="19"/>
      <c r="E766" s="20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>
      <c r="A767" s="19"/>
      <c r="B767" s="19"/>
      <c r="C767" s="19"/>
      <c r="D767" s="19"/>
      <c r="E767" s="20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>
      <c r="A768" s="19"/>
      <c r="B768" s="19"/>
      <c r="C768" s="19"/>
      <c r="D768" s="19"/>
      <c r="E768" s="20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>
      <c r="A769" s="19"/>
      <c r="B769" s="19"/>
      <c r="C769" s="19"/>
      <c r="D769" s="19"/>
      <c r="E769" s="20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>
      <c r="A770" s="19"/>
      <c r="B770" s="19"/>
      <c r="C770" s="19"/>
      <c r="D770" s="19"/>
      <c r="E770" s="20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>
      <c r="A771" s="19"/>
      <c r="B771" s="19"/>
      <c r="C771" s="19"/>
      <c r="D771" s="19"/>
      <c r="E771" s="20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>
      <c r="A772" s="19"/>
      <c r="B772" s="19"/>
      <c r="C772" s="19"/>
      <c r="D772" s="19"/>
      <c r="E772" s="20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>
      <c r="A773" s="19"/>
      <c r="B773" s="19"/>
      <c r="C773" s="19"/>
      <c r="D773" s="19"/>
      <c r="E773" s="20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>
      <c r="A774" s="19"/>
      <c r="B774" s="19"/>
      <c r="C774" s="19"/>
      <c r="D774" s="19"/>
      <c r="E774" s="20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>
      <c r="A775" s="19"/>
      <c r="B775" s="19"/>
      <c r="C775" s="19"/>
      <c r="D775" s="19"/>
      <c r="E775" s="20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>
      <c r="A776" s="19"/>
      <c r="B776" s="19"/>
      <c r="C776" s="19"/>
      <c r="D776" s="19"/>
      <c r="E776" s="20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>
      <c r="A777" s="19"/>
      <c r="B777" s="19"/>
      <c r="C777" s="19"/>
      <c r="D777" s="19"/>
      <c r="E777" s="20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>
      <c r="A778" s="19"/>
      <c r="B778" s="19"/>
      <c r="C778" s="19"/>
      <c r="D778" s="19"/>
      <c r="E778" s="20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>
      <c r="A779" s="19"/>
      <c r="B779" s="19"/>
      <c r="C779" s="19"/>
      <c r="D779" s="19"/>
      <c r="E779" s="20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>
      <c r="A780" s="19"/>
      <c r="B780" s="19"/>
      <c r="C780" s="19"/>
      <c r="D780" s="19"/>
      <c r="E780" s="20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>
      <c r="A781" s="19"/>
      <c r="B781" s="19"/>
      <c r="C781" s="19"/>
      <c r="D781" s="19"/>
      <c r="E781" s="20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>
      <c r="A782" s="19"/>
      <c r="B782" s="19"/>
      <c r="C782" s="19"/>
      <c r="D782" s="19"/>
      <c r="E782" s="20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>
      <c r="A783" s="19"/>
      <c r="B783" s="19"/>
      <c r="C783" s="19"/>
      <c r="D783" s="19"/>
      <c r="E783" s="20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>
      <c r="A784" s="19"/>
      <c r="B784" s="19"/>
      <c r="C784" s="19"/>
      <c r="D784" s="19"/>
      <c r="E784" s="20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>
      <c r="A785" s="19"/>
      <c r="B785" s="19"/>
      <c r="C785" s="19"/>
      <c r="D785" s="19"/>
      <c r="E785" s="20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>
      <c r="A786" s="19"/>
      <c r="B786" s="19"/>
      <c r="C786" s="19"/>
      <c r="D786" s="19"/>
      <c r="E786" s="20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>
      <c r="A787" s="19"/>
      <c r="B787" s="19"/>
      <c r="C787" s="19"/>
      <c r="D787" s="19"/>
      <c r="E787" s="20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>
      <c r="A788" s="19"/>
      <c r="B788" s="19"/>
      <c r="C788" s="19"/>
      <c r="D788" s="19"/>
      <c r="E788" s="20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>
      <c r="A789" s="19"/>
      <c r="B789" s="19"/>
      <c r="C789" s="19"/>
      <c r="D789" s="19"/>
      <c r="E789" s="20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>
      <c r="A790" s="19"/>
      <c r="B790" s="19"/>
      <c r="C790" s="19"/>
      <c r="D790" s="19"/>
      <c r="E790" s="20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>
      <c r="A791" s="19"/>
      <c r="B791" s="19"/>
      <c r="C791" s="19"/>
      <c r="D791" s="19"/>
      <c r="E791" s="20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>
      <c r="A792" s="19"/>
      <c r="B792" s="19"/>
      <c r="C792" s="19"/>
      <c r="D792" s="19"/>
      <c r="E792" s="20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>
      <c r="A793" s="19"/>
      <c r="B793" s="19"/>
      <c r="C793" s="19"/>
      <c r="D793" s="19"/>
      <c r="E793" s="20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>
      <c r="A794" s="19"/>
      <c r="B794" s="19"/>
      <c r="C794" s="19"/>
      <c r="D794" s="19"/>
      <c r="E794" s="20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>
      <c r="A795" s="19"/>
      <c r="B795" s="19"/>
      <c r="C795" s="19"/>
      <c r="D795" s="19"/>
      <c r="E795" s="20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>
      <c r="A796" s="19"/>
      <c r="B796" s="19"/>
      <c r="C796" s="19"/>
      <c r="D796" s="19"/>
      <c r="E796" s="20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>
      <c r="A797" s="19"/>
      <c r="B797" s="19"/>
      <c r="C797" s="19"/>
      <c r="D797" s="19"/>
      <c r="E797" s="20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>
      <c r="A798" s="19"/>
      <c r="B798" s="19"/>
      <c r="C798" s="19"/>
      <c r="D798" s="19"/>
      <c r="E798" s="20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>
      <c r="A799" s="19"/>
      <c r="B799" s="19"/>
      <c r="C799" s="19"/>
      <c r="D799" s="19"/>
      <c r="E799" s="20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>
      <c r="A800" s="19"/>
      <c r="B800" s="19"/>
      <c r="C800" s="19"/>
      <c r="D800" s="19"/>
      <c r="E800" s="20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>
      <c r="A801" s="19"/>
      <c r="B801" s="19"/>
      <c r="C801" s="19"/>
      <c r="D801" s="19"/>
      <c r="E801" s="20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>
      <c r="A802" s="19"/>
      <c r="B802" s="19"/>
      <c r="C802" s="19"/>
      <c r="D802" s="19"/>
      <c r="E802" s="20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>
      <c r="A803" s="19"/>
      <c r="B803" s="19"/>
      <c r="C803" s="19"/>
      <c r="D803" s="19"/>
      <c r="E803" s="20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>
      <c r="A804" s="19"/>
      <c r="B804" s="19"/>
      <c r="C804" s="19"/>
      <c r="D804" s="19"/>
      <c r="E804" s="20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>
      <c r="A805" s="19"/>
      <c r="B805" s="19"/>
      <c r="C805" s="19"/>
      <c r="D805" s="19"/>
      <c r="E805" s="20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>
      <c r="A806" s="19"/>
      <c r="B806" s="19"/>
      <c r="C806" s="19"/>
      <c r="D806" s="19"/>
      <c r="E806" s="20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>
      <c r="A807" s="19"/>
      <c r="B807" s="19"/>
      <c r="C807" s="19"/>
      <c r="D807" s="19"/>
      <c r="E807" s="20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>
      <c r="A808" s="19"/>
      <c r="B808" s="19"/>
      <c r="C808" s="19"/>
      <c r="D808" s="19"/>
      <c r="E808" s="20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>
      <c r="A809" s="19"/>
      <c r="B809" s="19"/>
      <c r="C809" s="19"/>
      <c r="D809" s="19"/>
      <c r="E809" s="20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>
      <c r="A810" s="19"/>
      <c r="B810" s="19"/>
      <c r="C810" s="19"/>
      <c r="D810" s="19"/>
      <c r="E810" s="20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>
      <c r="A811" s="19"/>
      <c r="B811" s="19"/>
      <c r="C811" s="19"/>
      <c r="D811" s="19"/>
      <c r="E811" s="20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>
      <c r="A812" s="19"/>
      <c r="B812" s="19"/>
      <c r="C812" s="19"/>
      <c r="D812" s="19"/>
      <c r="E812" s="20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>
      <c r="A813" s="19"/>
      <c r="B813" s="19"/>
      <c r="C813" s="19"/>
      <c r="D813" s="19"/>
      <c r="E813" s="20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>
      <c r="A814" s="19"/>
      <c r="B814" s="19"/>
      <c r="C814" s="19"/>
      <c r="D814" s="19"/>
      <c r="E814" s="20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>
      <c r="A815" s="19"/>
      <c r="B815" s="19"/>
      <c r="C815" s="19"/>
      <c r="D815" s="19"/>
      <c r="E815" s="20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>
      <c r="A816" s="19"/>
      <c r="B816" s="19"/>
      <c r="C816" s="19"/>
      <c r="D816" s="19"/>
      <c r="E816" s="20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>
      <c r="A817" s="19"/>
      <c r="B817" s="19"/>
      <c r="C817" s="19"/>
      <c r="D817" s="19"/>
      <c r="E817" s="20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>
      <c r="A818" s="19"/>
      <c r="B818" s="19"/>
      <c r="C818" s="19"/>
      <c r="D818" s="19"/>
      <c r="E818" s="20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>
      <c r="A819" s="19"/>
      <c r="B819" s="19"/>
      <c r="C819" s="19"/>
      <c r="D819" s="19"/>
      <c r="E819" s="20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>
      <c r="A820" s="19"/>
      <c r="B820" s="19"/>
      <c r="C820" s="19"/>
      <c r="D820" s="19"/>
      <c r="E820" s="20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>
      <c r="A821" s="19"/>
      <c r="B821" s="19"/>
      <c r="C821" s="19"/>
      <c r="D821" s="19"/>
      <c r="E821" s="20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>
      <c r="A822" s="19"/>
      <c r="B822" s="19"/>
      <c r="C822" s="19"/>
      <c r="D822" s="19"/>
      <c r="E822" s="20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>
      <c r="A823" s="19"/>
      <c r="B823" s="19"/>
      <c r="C823" s="19"/>
      <c r="D823" s="19"/>
      <c r="E823" s="20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>
      <c r="A824" s="19"/>
      <c r="B824" s="19"/>
      <c r="C824" s="19"/>
      <c r="D824" s="19"/>
      <c r="E824" s="20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>
      <c r="A825" s="19"/>
      <c r="B825" s="19"/>
      <c r="C825" s="19"/>
      <c r="D825" s="19"/>
      <c r="E825" s="20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>
      <c r="A826" s="19"/>
      <c r="B826" s="19"/>
      <c r="C826" s="19"/>
      <c r="D826" s="19"/>
      <c r="E826" s="20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>
      <c r="A827" s="19"/>
      <c r="B827" s="19"/>
      <c r="C827" s="19"/>
      <c r="D827" s="19"/>
      <c r="E827" s="20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>
      <c r="A828" s="19"/>
      <c r="B828" s="19"/>
      <c r="C828" s="19"/>
      <c r="D828" s="19"/>
      <c r="E828" s="20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>
      <c r="A829" s="19"/>
      <c r="B829" s="19"/>
      <c r="C829" s="19"/>
      <c r="D829" s="19"/>
      <c r="E829" s="20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>
      <c r="A830" s="19"/>
      <c r="B830" s="19"/>
      <c r="C830" s="19"/>
      <c r="D830" s="19"/>
      <c r="E830" s="20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>
      <c r="A831" s="19"/>
      <c r="B831" s="19"/>
      <c r="C831" s="19"/>
      <c r="D831" s="19"/>
      <c r="E831" s="20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>
      <c r="A832" s="19"/>
      <c r="B832" s="19"/>
      <c r="C832" s="19"/>
      <c r="D832" s="19"/>
      <c r="E832" s="20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>
      <c r="A833" s="19"/>
      <c r="B833" s="19"/>
      <c r="C833" s="19"/>
      <c r="D833" s="19"/>
      <c r="E833" s="20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>
      <c r="A834" s="19"/>
      <c r="B834" s="19"/>
      <c r="C834" s="19"/>
      <c r="D834" s="19"/>
      <c r="E834" s="20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>
      <c r="A835" s="19"/>
      <c r="B835" s="19"/>
      <c r="C835" s="19"/>
      <c r="D835" s="19"/>
      <c r="E835" s="20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>
      <c r="A836" s="19"/>
      <c r="B836" s="19"/>
      <c r="C836" s="19"/>
      <c r="D836" s="19"/>
      <c r="E836" s="20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>
      <c r="A837" s="19"/>
      <c r="B837" s="19"/>
      <c r="C837" s="19"/>
      <c r="D837" s="19"/>
      <c r="E837" s="20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>
      <c r="A838" s="19"/>
      <c r="B838" s="19"/>
      <c r="C838" s="19"/>
      <c r="D838" s="19"/>
      <c r="E838" s="20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>
      <c r="A839" s="19"/>
      <c r="B839" s="19"/>
      <c r="C839" s="19"/>
      <c r="D839" s="19"/>
      <c r="E839" s="20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>
      <c r="A840" s="19"/>
      <c r="B840" s="19"/>
      <c r="C840" s="19"/>
      <c r="D840" s="19"/>
      <c r="E840" s="20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>
      <c r="A841" s="19"/>
      <c r="B841" s="19"/>
      <c r="C841" s="19"/>
      <c r="D841" s="19"/>
      <c r="E841" s="20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>
      <c r="A842" s="19"/>
      <c r="B842" s="19"/>
      <c r="C842" s="19"/>
      <c r="D842" s="19"/>
      <c r="E842" s="20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>
      <c r="A843" s="19"/>
      <c r="B843" s="19"/>
      <c r="C843" s="19"/>
      <c r="D843" s="19"/>
      <c r="E843" s="20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>
      <c r="A844" s="19"/>
      <c r="B844" s="19"/>
      <c r="C844" s="19"/>
      <c r="D844" s="19"/>
      <c r="E844" s="20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>
      <c r="A845" s="19"/>
      <c r="B845" s="19"/>
      <c r="C845" s="19"/>
      <c r="D845" s="19"/>
      <c r="E845" s="20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>
      <c r="A846" s="19"/>
      <c r="B846" s="19"/>
      <c r="C846" s="19"/>
      <c r="D846" s="19"/>
      <c r="E846" s="20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>
      <c r="A847" s="19"/>
      <c r="B847" s="19"/>
      <c r="C847" s="19"/>
      <c r="D847" s="19"/>
      <c r="E847" s="20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>
      <c r="A848" s="19"/>
      <c r="B848" s="19"/>
      <c r="C848" s="19"/>
      <c r="D848" s="19"/>
      <c r="E848" s="20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>
      <c r="A849" s="19"/>
      <c r="B849" s="19"/>
      <c r="C849" s="19"/>
      <c r="D849" s="19"/>
      <c r="E849" s="20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>
      <c r="A850" s="19"/>
      <c r="B850" s="19"/>
      <c r="C850" s="19"/>
      <c r="D850" s="19"/>
      <c r="E850" s="20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>
      <c r="A851" s="19"/>
      <c r="B851" s="19"/>
      <c r="C851" s="19"/>
      <c r="D851" s="19"/>
      <c r="E851" s="20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>
      <c r="A852" s="19"/>
      <c r="B852" s="19"/>
      <c r="C852" s="19"/>
      <c r="D852" s="19"/>
      <c r="E852" s="20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>
      <c r="A853" s="19"/>
      <c r="B853" s="19"/>
      <c r="C853" s="19"/>
      <c r="D853" s="19"/>
      <c r="E853" s="20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>
      <c r="A854" s="19"/>
      <c r="B854" s="19"/>
      <c r="C854" s="19"/>
      <c r="D854" s="19"/>
      <c r="E854" s="20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>
      <c r="A855" s="19"/>
      <c r="B855" s="19"/>
      <c r="C855" s="19"/>
      <c r="D855" s="19"/>
      <c r="E855" s="20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>
      <c r="A856" s="19"/>
      <c r="B856" s="19"/>
      <c r="C856" s="19"/>
      <c r="D856" s="19"/>
      <c r="E856" s="20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>
      <c r="A857" s="19"/>
      <c r="B857" s="19"/>
      <c r="C857" s="19"/>
      <c r="D857" s="19"/>
      <c r="E857" s="20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>
      <c r="A858" s="19"/>
      <c r="B858" s="19"/>
      <c r="C858" s="19"/>
      <c r="D858" s="19"/>
      <c r="E858" s="20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>
      <c r="A859" s="19"/>
      <c r="B859" s="19"/>
      <c r="C859" s="19"/>
      <c r="D859" s="19"/>
      <c r="E859" s="20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>
      <c r="A860" s="19"/>
      <c r="B860" s="19"/>
      <c r="C860" s="19"/>
      <c r="D860" s="19"/>
      <c r="E860" s="20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>
      <c r="A861" s="19"/>
      <c r="B861" s="19"/>
      <c r="C861" s="19"/>
      <c r="D861" s="19"/>
      <c r="E861" s="20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>
      <c r="A862" s="19"/>
      <c r="B862" s="19"/>
      <c r="C862" s="19"/>
      <c r="D862" s="19"/>
      <c r="E862" s="20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>
      <c r="A863" s="19"/>
      <c r="B863" s="19"/>
      <c r="C863" s="19"/>
      <c r="D863" s="19"/>
      <c r="E863" s="20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>
      <c r="A864" s="19"/>
      <c r="B864" s="19"/>
      <c r="C864" s="19"/>
      <c r="D864" s="19"/>
      <c r="E864" s="20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>
      <c r="A865" s="19"/>
      <c r="B865" s="19"/>
      <c r="C865" s="19"/>
      <c r="D865" s="19"/>
      <c r="E865" s="20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>
      <c r="A866" s="19"/>
      <c r="B866" s="19"/>
      <c r="C866" s="19"/>
      <c r="D866" s="19"/>
      <c r="E866" s="20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>
      <c r="A867" s="19"/>
      <c r="B867" s="19"/>
      <c r="C867" s="19"/>
      <c r="D867" s="19"/>
      <c r="E867" s="20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>
      <c r="A868" s="19"/>
      <c r="B868" s="19"/>
      <c r="C868" s="19"/>
      <c r="D868" s="19"/>
      <c r="E868" s="20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>
      <c r="A869" s="19"/>
      <c r="B869" s="19"/>
      <c r="C869" s="19"/>
      <c r="D869" s="19"/>
      <c r="E869" s="20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>
      <c r="A870" s="19"/>
      <c r="B870" s="19"/>
      <c r="C870" s="19"/>
      <c r="D870" s="19"/>
      <c r="E870" s="20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>
      <c r="A871" s="19"/>
      <c r="B871" s="19"/>
      <c r="C871" s="19"/>
      <c r="D871" s="19"/>
      <c r="E871" s="20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>
      <c r="A872" s="19"/>
      <c r="B872" s="19"/>
      <c r="C872" s="19"/>
      <c r="D872" s="19"/>
      <c r="E872" s="20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>
      <c r="A873" s="19"/>
      <c r="B873" s="19"/>
      <c r="C873" s="19"/>
      <c r="D873" s="19"/>
      <c r="E873" s="20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>
      <c r="A874" s="19"/>
      <c r="B874" s="19"/>
      <c r="C874" s="19"/>
      <c r="D874" s="19"/>
      <c r="E874" s="20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>
      <c r="A875" s="19"/>
      <c r="B875" s="19"/>
      <c r="C875" s="19"/>
      <c r="D875" s="19"/>
      <c r="E875" s="20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>
      <c r="A876" s="19"/>
      <c r="B876" s="19"/>
      <c r="C876" s="19"/>
      <c r="D876" s="19"/>
      <c r="E876" s="20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>
      <c r="A877" s="19"/>
      <c r="B877" s="19"/>
      <c r="C877" s="19"/>
      <c r="D877" s="19"/>
      <c r="E877" s="20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>
      <c r="A878" s="19"/>
      <c r="B878" s="19"/>
      <c r="C878" s="19"/>
      <c r="D878" s="19"/>
      <c r="E878" s="20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>
      <c r="A879" s="19"/>
      <c r="B879" s="19"/>
      <c r="C879" s="19"/>
      <c r="D879" s="19"/>
      <c r="E879" s="20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>
      <c r="A880" s="19"/>
      <c r="B880" s="19"/>
      <c r="C880" s="19"/>
      <c r="D880" s="19"/>
      <c r="E880" s="20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>
      <c r="A881" s="19"/>
      <c r="B881" s="19"/>
      <c r="C881" s="19"/>
      <c r="D881" s="19"/>
      <c r="E881" s="20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>
      <c r="A882" s="19"/>
      <c r="B882" s="19"/>
      <c r="C882" s="19"/>
      <c r="D882" s="19"/>
      <c r="E882" s="20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>
      <c r="A883" s="19"/>
      <c r="B883" s="19"/>
      <c r="C883" s="19"/>
      <c r="D883" s="19"/>
      <c r="E883" s="20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>
      <c r="A884" s="19"/>
      <c r="B884" s="19"/>
      <c r="C884" s="19"/>
      <c r="D884" s="19"/>
      <c r="E884" s="20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>
      <c r="A885" s="19"/>
      <c r="B885" s="19"/>
      <c r="C885" s="19"/>
      <c r="D885" s="19"/>
      <c r="E885" s="20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>
      <c r="A886" s="19"/>
      <c r="B886" s="19"/>
      <c r="C886" s="19"/>
      <c r="D886" s="19"/>
      <c r="E886" s="20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>
      <c r="A887" s="19"/>
      <c r="B887" s="19"/>
      <c r="C887" s="19"/>
      <c r="D887" s="19"/>
      <c r="E887" s="20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>
      <c r="A888" s="19"/>
      <c r="B888" s="19"/>
      <c r="C888" s="19"/>
      <c r="D888" s="19"/>
      <c r="E888" s="20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>
      <c r="A889" s="19"/>
      <c r="B889" s="19"/>
      <c r="C889" s="19"/>
      <c r="D889" s="19"/>
      <c r="E889" s="20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>
      <c r="A890" s="19"/>
      <c r="B890" s="19"/>
      <c r="C890" s="19"/>
      <c r="D890" s="19"/>
      <c r="E890" s="20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>
      <c r="A891" s="19"/>
      <c r="B891" s="19"/>
      <c r="C891" s="19"/>
      <c r="D891" s="19"/>
      <c r="E891" s="20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>
      <c r="A892" s="19"/>
      <c r="B892" s="19"/>
      <c r="C892" s="19"/>
      <c r="D892" s="19"/>
      <c r="E892" s="20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>
      <c r="A893" s="19"/>
      <c r="B893" s="19"/>
      <c r="C893" s="19"/>
      <c r="D893" s="19"/>
      <c r="E893" s="20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>
      <c r="A894" s="19"/>
      <c r="B894" s="19"/>
      <c r="C894" s="19"/>
      <c r="D894" s="19"/>
      <c r="E894" s="20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>
      <c r="A895" s="19"/>
      <c r="B895" s="19"/>
      <c r="C895" s="19"/>
      <c r="D895" s="19"/>
      <c r="E895" s="20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>
      <c r="A896" s="19"/>
      <c r="B896" s="19"/>
      <c r="C896" s="19"/>
      <c r="D896" s="19"/>
      <c r="E896" s="20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>
      <c r="A897" s="19"/>
      <c r="B897" s="19"/>
      <c r="C897" s="19"/>
      <c r="D897" s="19"/>
      <c r="E897" s="20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>
      <c r="A898" s="19"/>
      <c r="B898" s="19"/>
      <c r="C898" s="19"/>
      <c r="D898" s="19"/>
      <c r="E898" s="20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>
      <c r="A899" s="19"/>
      <c r="B899" s="19"/>
      <c r="C899" s="19"/>
      <c r="D899" s="19"/>
      <c r="E899" s="20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>
      <c r="A900" s="19"/>
      <c r="B900" s="19"/>
      <c r="C900" s="19"/>
      <c r="D900" s="19"/>
      <c r="E900" s="20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>
      <c r="A901" s="19"/>
      <c r="B901" s="19"/>
      <c r="C901" s="19"/>
      <c r="D901" s="19"/>
      <c r="E901" s="20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>
      <c r="A902" s="19"/>
      <c r="B902" s="19"/>
      <c r="C902" s="19"/>
      <c r="D902" s="19"/>
      <c r="E902" s="20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>
      <c r="A903" s="19"/>
      <c r="B903" s="19"/>
      <c r="C903" s="19"/>
      <c r="D903" s="19"/>
      <c r="E903" s="20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>
      <c r="A904" s="19"/>
      <c r="B904" s="19"/>
      <c r="C904" s="19"/>
      <c r="D904" s="19"/>
      <c r="E904" s="20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>
      <c r="A905" s="19"/>
      <c r="B905" s="19"/>
      <c r="C905" s="19"/>
      <c r="D905" s="19"/>
      <c r="E905" s="20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>
      <c r="A906" s="19"/>
      <c r="B906" s="19"/>
      <c r="C906" s="19"/>
      <c r="D906" s="19"/>
      <c r="E906" s="20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>
      <c r="A907" s="19"/>
      <c r="B907" s="19"/>
      <c r="C907" s="19"/>
      <c r="D907" s="19"/>
      <c r="E907" s="20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>
      <c r="A908" s="19"/>
      <c r="B908" s="19"/>
      <c r="C908" s="19"/>
      <c r="D908" s="19"/>
      <c r="E908" s="20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>
      <c r="A909" s="19"/>
      <c r="B909" s="19"/>
      <c r="C909" s="19"/>
      <c r="D909" s="19"/>
      <c r="E909" s="20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>
      <c r="A910" s="19"/>
      <c r="B910" s="19"/>
      <c r="C910" s="19"/>
      <c r="D910" s="19"/>
      <c r="E910" s="20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>
      <c r="A911" s="19"/>
      <c r="B911" s="19"/>
      <c r="C911" s="19"/>
      <c r="D911" s="19"/>
      <c r="E911" s="20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>
      <c r="A912" s="19"/>
      <c r="B912" s="19"/>
      <c r="C912" s="19"/>
      <c r="D912" s="19"/>
      <c r="E912" s="20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>
      <c r="A913" s="19"/>
      <c r="B913" s="19"/>
      <c r="C913" s="19"/>
      <c r="D913" s="19"/>
      <c r="E913" s="20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>
      <c r="A914" s="19"/>
      <c r="B914" s="19"/>
      <c r="C914" s="19"/>
      <c r="D914" s="19"/>
      <c r="E914" s="20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>
      <c r="A915" s="19"/>
      <c r="B915" s="19"/>
      <c r="C915" s="19"/>
      <c r="D915" s="19"/>
      <c r="E915" s="20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>
      <c r="A916" s="19"/>
      <c r="B916" s="19"/>
      <c r="C916" s="19"/>
      <c r="D916" s="19"/>
      <c r="E916" s="20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>
      <c r="A917" s="19"/>
      <c r="B917" s="19"/>
      <c r="C917" s="19"/>
      <c r="D917" s="19"/>
      <c r="E917" s="20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>
      <c r="A918" s="19"/>
      <c r="B918" s="19"/>
      <c r="C918" s="19"/>
      <c r="D918" s="19"/>
      <c r="E918" s="20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>
      <c r="A919" s="19"/>
      <c r="B919" s="19"/>
      <c r="C919" s="19"/>
      <c r="D919" s="19"/>
      <c r="E919" s="20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>
      <c r="A920" s="19"/>
      <c r="B920" s="19"/>
      <c r="C920" s="19"/>
      <c r="D920" s="19"/>
      <c r="E920" s="20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>
      <c r="A921" s="19"/>
      <c r="B921" s="19"/>
      <c r="C921" s="19"/>
      <c r="D921" s="19"/>
      <c r="E921" s="20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>
      <c r="A922" s="19"/>
      <c r="B922" s="19"/>
      <c r="C922" s="19"/>
      <c r="D922" s="19"/>
      <c r="E922" s="20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>
      <c r="A923" s="19"/>
      <c r="B923" s="19"/>
      <c r="C923" s="19"/>
      <c r="D923" s="19"/>
      <c r="E923" s="20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>
      <c r="A924" s="19"/>
      <c r="B924" s="19"/>
      <c r="C924" s="19"/>
      <c r="D924" s="19"/>
      <c r="E924" s="20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>
      <c r="A925" s="19"/>
      <c r="B925" s="19"/>
      <c r="C925" s="19"/>
      <c r="D925" s="19"/>
      <c r="E925" s="20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>
      <c r="A926" s="19"/>
      <c r="B926" s="19"/>
      <c r="C926" s="19"/>
      <c r="D926" s="19"/>
      <c r="E926" s="20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>
      <c r="A927" s="19"/>
      <c r="B927" s="19"/>
      <c r="C927" s="19"/>
      <c r="D927" s="19"/>
      <c r="E927" s="20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>
      <c r="A928" s="19"/>
      <c r="B928" s="19"/>
      <c r="C928" s="19"/>
      <c r="D928" s="19"/>
      <c r="E928" s="20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>
      <c r="A929" s="19"/>
      <c r="B929" s="19"/>
      <c r="C929" s="19"/>
      <c r="D929" s="19"/>
      <c r="E929" s="20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>
      <c r="A930" s="19"/>
      <c r="B930" s="19"/>
      <c r="C930" s="19"/>
      <c r="D930" s="19"/>
      <c r="E930" s="20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>
      <c r="A931" s="19"/>
      <c r="B931" s="19"/>
      <c r="C931" s="19"/>
      <c r="D931" s="19"/>
      <c r="E931" s="20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>
      <c r="A932" s="19"/>
      <c r="B932" s="19"/>
      <c r="C932" s="19"/>
      <c r="D932" s="19"/>
      <c r="E932" s="20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>
      <c r="A933" s="19"/>
      <c r="B933" s="19"/>
      <c r="C933" s="19"/>
      <c r="D933" s="19"/>
      <c r="E933" s="20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>
      <c r="A934" s="19"/>
      <c r="B934" s="19"/>
      <c r="C934" s="19"/>
      <c r="D934" s="19"/>
      <c r="E934" s="20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>
      <c r="A935" s="19"/>
      <c r="B935" s="19"/>
      <c r="C935" s="19"/>
      <c r="D935" s="19"/>
      <c r="E935" s="20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>
      <c r="A936" s="19"/>
      <c r="B936" s="19"/>
      <c r="C936" s="19"/>
      <c r="D936" s="19"/>
      <c r="E936" s="20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>
      <c r="A937" s="19"/>
      <c r="B937" s="19"/>
      <c r="C937" s="19"/>
      <c r="D937" s="19"/>
      <c r="E937" s="20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>
      <c r="A938" s="19"/>
      <c r="B938" s="19"/>
      <c r="C938" s="19"/>
      <c r="D938" s="19"/>
      <c r="E938" s="20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>
      <c r="A939" s="19"/>
      <c r="B939" s="19"/>
      <c r="C939" s="19"/>
      <c r="D939" s="19"/>
      <c r="E939" s="20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>
      <c r="A940" s="19"/>
      <c r="B940" s="19"/>
      <c r="C940" s="19"/>
      <c r="D940" s="19"/>
      <c r="E940" s="20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>
      <c r="A941" s="19"/>
      <c r="B941" s="19"/>
      <c r="C941" s="19"/>
      <c r="D941" s="19"/>
      <c r="E941" s="20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>
      <c r="A942" s="19"/>
      <c r="B942" s="19"/>
      <c r="C942" s="19"/>
      <c r="D942" s="19"/>
      <c r="E942" s="20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>
      <c r="A943" s="19"/>
      <c r="B943" s="19"/>
      <c r="C943" s="19"/>
      <c r="D943" s="19"/>
      <c r="E943" s="20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>
      <c r="A944" s="19"/>
      <c r="B944" s="19"/>
      <c r="C944" s="19"/>
      <c r="D944" s="19"/>
      <c r="E944" s="20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>
      <c r="A945" s="19"/>
      <c r="B945" s="19"/>
      <c r="C945" s="19"/>
      <c r="D945" s="19"/>
      <c r="E945" s="20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>
      <c r="A946" s="19"/>
      <c r="B946" s="19"/>
      <c r="C946" s="19"/>
      <c r="D946" s="19"/>
      <c r="E946" s="20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>
      <c r="A947" s="19"/>
      <c r="B947" s="19"/>
      <c r="C947" s="19"/>
      <c r="D947" s="19"/>
      <c r="E947" s="20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>
      <c r="A948" s="19"/>
      <c r="B948" s="19"/>
      <c r="C948" s="19"/>
      <c r="D948" s="19"/>
      <c r="E948" s="20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>
      <c r="A949" s="19"/>
      <c r="B949" s="19"/>
      <c r="C949" s="19"/>
      <c r="D949" s="19"/>
      <c r="E949" s="20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>
      <c r="A950" s="19"/>
      <c r="B950" s="19"/>
      <c r="C950" s="19"/>
      <c r="D950" s="19"/>
      <c r="E950" s="20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>
      <c r="A951" s="19"/>
      <c r="B951" s="19"/>
      <c r="C951" s="19"/>
      <c r="D951" s="19"/>
      <c r="E951" s="20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>
      <c r="A952" s="19"/>
      <c r="B952" s="19"/>
      <c r="C952" s="19"/>
      <c r="D952" s="19"/>
      <c r="E952" s="20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>
      <c r="A953" s="19"/>
      <c r="B953" s="19"/>
      <c r="C953" s="19"/>
      <c r="D953" s="19"/>
      <c r="E953" s="20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>
      <c r="A954" s="19"/>
      <c r="B954" s="19"/>
      <c r="C954" s="19"/>
      <c r="D954" s="19"/>
      <c r="E954" s="20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>
      <c r="A955" s="19"/>
      <c r="B955" s="19"/>
      <c r="C955" s="19"/>
      <c r="D955" s="19"/>
      <c r="E955" s="20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>
      <c r="A956" s="19"/>
      <c r="B956" s="19"/>
      <c r="C956" s="19"/>
      <c r="D956" s="19"/>
      <c r="E956" s="20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>
      <c r="A957" s="19"/>
      <c r="B957" s="19"/>
      <c r="C957" s="19"/>
      <c r="D957" s="19"/>
      <c r="E957" s="20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>
      <c r="A958" s="19"/>
      <c r="B958" s="19"/>
      <c r="C958" s="19"/>
      <c r="D958" s="19"/>
      <c r="E958" s="20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>
      <c r="A959" s="19"/>
      <c r="B959" s="19"/>
      <c r="C959" s="19"/>
      <c r="D959" s="19"/>
      <c r="E959" s="20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>
      <c r="A960" s="19"/>
      <c r="B960" s="19"/>
      <c r="C960" s="19"/>
      <c r="D960" s="19"/>
      <c r="E960" s="20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>
      <c r="A961" s="19"/>
      <c r="B961" s="19"/>
      <c r="C961" s="19"/>
      <c r="D961" s="19"/>
      <c r="E961" s="20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>
      <c r="A962" s="19"/>
      <c r="B962" s="19"/>
      <c r="C962" s="19"/>
      <c r="D962" s="19"/>
      <c r="E962" s="20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>
      <c r="A963" s="19"/>
      <c r="B963" s="19"/>
      <c r="C963" s="19"/>
      <c r="D963" s="19"/>
      <c r="E963" s="20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>
      <c r="A964" s="19"/>
      <c r="B964" s="19"/>
      <c r="C964" s="19"/>
      <c r="D964" s="19"/>
      <c r="E964" s="20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>
      <c r="A965" s="19"/>
      <c r="B965" s="19"/>
      <c r="C965" s="19"/>
      <c r="D965" s="19"/>
      <c r="E965" s="20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>
      <c r="A966" s="19"/>
      <c r="B966" s="19"/>
      <c r="C966" s="19"/>
      <c r="D966" s="19"/>
      <c r="E966" s="20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>
      <c r="A967" s="19"/>
      <c r="B967" s="19"/>
      <c r="C967" s="19"/>
      <c r="D967" s="19"/>
      <c r="E967" s="20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>
      <c r="A968" s="19"/>
      <c r="B968" s="19"/>
      <c r="C968" s="19"/>
      <c r="D968" s="19"/>
      <c r="E968" s="20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>
      <c r="A969" s="19"/>
      <c r="B969" s="19"/>
      <c r="C969" s="19"/>
      <c r="D969" s="19"/>
      <c r="E969" s="20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>
      <c r="A970" s="19"/>
      <c r="B970" s="19"/>
      <c r="C970" s="19"/>
      <c r="D970" s="19"/>
      <c r="E970" s="20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>
      <c r="A971" s="19"/>
      <c r="B971" s="19"/>
      <c r="C971" s="19"/>
      <c r="D971" s="19"/>
      <c r="E971" s="20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>
      <c r="A972" s="19"/>
      <c r="B972" s="19"/>
      <c r="C972" s="19"/>
      <c r="D972" s="19"/>
      <c r="E972" s="20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>
      <c r="A973" s="19"/>
      <c r="B973" s="19"/>
      <c r="C973" s="19"/>
      <c r="D973" s="19"/>
      <c r="E973" s="20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>
      <c r="A974" s="19"/>
      <c r="B974" s="19"/>
      <c r="C974" s="19"/>
      <c r="D974" s="19"/>
      <c r="E974" s="20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>
      <c r="A975" s="19"/>
      <c r="B975" s="19"/>
      <c r="C975" s="19"/>
      <c r="D975" s="19"/>
      <c r="E975" s="20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>
      <c r="A976" s="19"/>
      <c r="B976" s="19"/>
      <c r="C976" s="19"/>
      <c r="D976" s="19"/>
      <c r="E976" s="20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>
      <c r="A977" s="19"/>
      <c r="B977" s="19"/>
      <c r="C977" s="19"/>
      <c r="D977" s="19"/>
      <c r="E977" s="20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>
      <c r="A978" s="19"/>
      <c r="B978" s="19"/>
      <c r="C978" s="19"/>
      <c r="D978" s="19"/>
      <c r="E978" s="20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>
      <c r="A979" s="19"/>
      <c r="B979" s="19"/>
      <c r="C979" s="19"/>
      <c r="D979" s="19"/>
      <c r="E979" s="20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>
      <c r="A980" s="19"/>
      <c r="B980" s="19"/>
      <c r="C980" s="19"/>
      <c r="D980" s="19"/>
      <c r="E980" s="20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>
      <c r="A981" s="19"/>
      <c r="B981" s="19"/>
      <c r="C981" s="19"/>
      <c r="D981" s="19"/>
      <c r="E981" s="20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>
      <c r="A982" s="19"/>
      <c r="B982" s="19"/>
      <c r="C982" s="19"/>
      <c r="D982" s="19"/>
      <c r="E982" s="20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>
      <c r="A983" s="19"/>
      <c r="B983" s="19"/>
      <c r="C983" s="19"/>
      <c r="D983" s="19"/>
      <c r="E983" s="20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>
      <c r="A984" s="19"/>
      <c r="B984" s="19"/>
      <c r="C984" s="19"/>
      <c r="D984" s="19"/>
      <c r="E984" s="20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>
      <c r="A985" s="19"/>
      <c r="B985" s="19"/>
      <c r="C985" s="19"/>
      <c r="D985" s="19"/>
      <c r="E985" s="20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>
      <c r="A986" s="19"/>
      <c r="B986" s="19"/>
      <c r="C986" s="19"/>
      <c r="D986" s="19"/>
      <c r="E986" s="20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>
      <c r="A987" s="19"/>
      <c r="B987" s="19"/>
      <c r="C987" s="19"/>
      <c r="D987" s="19"/>
      <c r="E987" s="20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>
      <c r="A988" s="19"/>
      <c r="B988" s="19"/>
      <c r="C988" s="19"/>
      <c r="D988" s="19"/>
      <c r="E988" s="20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>
      <c r="A989" s="19"/>
      <c r="B989" s="19"/>
      <c r="C989" s="19"/>
      <c r="D989" s="19"/>
      <c r="E989" s="20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>
      <c r="A990" s="19"/>
      <c r="B990" s="19"/>
      <c r="C990" s="19"/>
      <c r="D990" s="19"/>
      <c r="E990" s="20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>
      <c r="A991" s="19"/>
      <c r="B991" s="19"/>
      <c r="C991" s="19"/>
      <c r="D991" s="19"/>
      <c r="E991" s="20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>
      <c r="A992" s="19"/>
      <c r="B992" s="19"/>
      <c r="C992" s="19"/>
      <c r="D992" s="19"/>
      <c r="E992" s="20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>
      <c r="A993" s="19"/>
      <c r="B993" s="19"/>
      <c r="C993" s="19"/>
      <c r="D993" s="19"/>
      <c r="E993" s="20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>
      <c r="A994" s="19"/>
      <c r="B994" s="19"/>
      <c r="C994" s="19"/>
      <c r="D994" s="19"/>
      <c r="E994" s="20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>
      <c r="A995" s="19"/>
      <c r="B995" s="19"/>
      <c r="C995" s="19"/>
      <c r="D995" s="19"/>
      <c r="E995" s="20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>
      <c r="A996" s="19"/>
      <c r="B996" s="19"/>
      <c r="C996" s="19"/>
      <c r="D996" s="19"/>
      <c r="E996" s="20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>
      <c r="A997" s="19"/>
      <c r="B997" s="19"/>
      <c r="C997" s="19"/>
      <c r="D997" s="19"/>
      <c r="E997" s="20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>
      <c r="A998" s="19"/>
      <c r="B998" s="19"/>
      <c r="C998" s="19"/>
      <c r="D998" s="19"/>
      <c r="E998" s="20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75" customHeight="1">
      <c r="A999" s="19"/>
      <c r="B999" s="19"/>
      <c r="C999" s="19"/>
      <c r="D999" s="19"/>
      <c r="E999" s="20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75" customHeight="1">
      <c r="A1000" s="19"/>
      <c r="B1000" s="19"/>
      <c r="C1000" s="19"/>
      <c r="D1000" s="19"/>
      <c r="E1000" s="20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4">
    <mergeCell ref="B6:E6"/>
    <mergeCell ref="B24:E24"/>
    <mergeCell ref="B45:E45"/>
    <mergeCell ref="B64:B66"/>
  </mergeCells>
  <pageMargins left="0.7" right="0.7" top="0.75" bottom="0.75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329"/>
  <sheetViews>
    <sheetView topLeftCell="A26" workbookViewId="0">
      <selection activeCell="C11" sqref="C11:C17"/>
    </sheetView>
  </sheetViews>
  <sheetFormatPr baseColWidth="10" defaultColWidth="14.5" defaultRowHeight="15" customHeight="1"/>
  <cols>
    <col min="1" max="1" width="10.1640625" customWidth="1"/>
    <col min="2" max="2" width="18.5" customWidth="1"/>
    <col min="3" max="4" width="13.6640625" customWidth="1"/>
    <col min="5" max="5" width="21.6640625" customWidth="1"/>
    <col min="6" max="6" width="13" customWidth="1"/>
    <col min="7" max="24" width="8.6640625" customWidth="1"/>
    <col min="25" max="16384" width="14.5" style="41"/>
  </cols>
  <sheetData>
    <row r="1" spans="1:24" ht="16">
      <c r="A1" s="19"/>
      <c r="B1" s="19"/>
      <c r="C1" s="19"/>
      <c r="D1" s="19"/>
      <c r="E1" s="20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18">
      <c r="A2" s="19"/>
      <c r="B2" s="21" t="s">
        <v>33</v>
      </c>
      <c r="C2" s="21"/>
      <c r="D2" s="21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16">
      <c r="A3" s="19"/>
      <c r="B3" s="19" t="s">
        <v>55</v>
      </c>
      <c r="C3" s="19"/>
      <c r="D3" s="19"/>
      <c r="E3" s="20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ht="16">
      <c r="A4" s="19"/>
      <c r="B4" s="19"/>
      <c r="C4" s="19"/>
      <c r="D4" s="19"/>
      <c r="E4" s="20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6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ht="25.5" customHeight="1">
      <c r="A6" s="19"/>
      <c r="B6" s="49" t="s">
        <v>35</v>
      </c>
      <c r="C6" s="50"/>
      <c r="D6" s="50"/>
      <c r="E6" s="5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ht="16">
      <c r="A7" s="19"/>
      <c r="B7" s="22" t="s">
        <v>36</v>
      </c>
      <c r="C7" s="22" t="s">
        <v>37</v>
      </c>
      <c r="D7" s="23" t="s">
        <v>6</v>
      </c>
      <c r="E7" s="22" t="s">
        <v>7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ht="16">
      <c r="A8" s="19"/>
      <c r="B8" s="24" t="s">
        <v>8</v>
      </c>
      <c r="C8" s="24" t="s">
        <v>9</v>
      </c>
      <c r="D8" s="25" t="s">
        <v>10</v>
      </c>
      <c r="E8" s="24" t="s">
        <v>11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6">
      <c r="A9" s="19"/>
      <c r="B9" s="26">
        <v>0</v>
      </c>
      <c r="C9" s="26">
        <v>0</v>
      </c>
      <c r="D9" s="27">
        <v>0</v>
      </c>
      <c r="E9" s="28">
        <v>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16">
      <c r="A10" s="19" t="s">
        <v>25</v>
      </c>
      <c r="B10" s="26">
        <v>15.5</v>
      </c>
      <c r="C10" s="29">
        <v>28.5</v>
      </c>
      <c r="D10" s="27">
        <f t="shared" ref="D10:D17" si="0">C10/(B10-B9)</f>
        <v>1.8387096774193548</v>
      </c>
      <c r="E10" s="28">
        <f t="shared" ref="E10:E17" si="1">E9+C10</f>
        <v>28.5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ht="16">
      <c r="A11" s="19"/>
      <c r="B11" s="26">
        <v>24.2</v>
      </c>
      <c r="C11" s="26">
        <v>22.04</v>
      </c>
      <c r="D11" s="27">
        <f t="shared" si="0"/>
        <v>2.5333333333333337</v>
      </c>
      <c r="E11" s="28">
        <f t="shared" si="1"/>
        <v>50.54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6">
      <c r="A12" s="19"/>
      <c r="B12" s="26">
        <v>32.200000000000003</v>
      </c>
      <c r="C12" s="26">
        <v>22.04</v>
      </c>
      <c r="D12" s="27">
        <f t="shared" si="0"/>
        <v>2.7549999999999986</v>
      </c>
      <c r="E12" s="28">
        <f t="shared" si="1"/>
        <v>72.58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ht="16">
      <c r="A13" s="19"/>
      <c r="B13" s="26">
        <v>40.700000000000003</v>
      </c>
      <c r="C13" s="26">
        <v>23.5</v>
      </c>
      <c r="D13" s="27">
        <f t="shared" si="0"/>
        <v>2.7647058823529411</v>
      </c>
      <c r="E13" s="28">
        <f t="shared" si="1"/>
        <v>96.08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ht="16">
      <c r="A14" s="19"/>
      <c r="B14" s="26">
        <v>49</v>
      </c>
      <c r="C14" s="26">
        <v>23.3</v>
      </c>
      <c r="D14" s="27">
        <f t="shared" si="0"/>
        <v>2.8072289156626518</v>
      </c>
      <c r="E14" s="28">
        <f t="shared" si="1"/>
        <v>119.38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ht="16">
      <c r="A15" s="19"/>
      <c r="B15" s="26">
        <v>58.1</v>
      </c>
      <c r="C15" s="26">
        <v>24.23</v>
      </c>
      <c r="D15" s="27">
        <f t="shared" si="0"/>
        <v>2.6626373626373621</v>
      </c>
      <c r="E15" s="28">
        <f t="shared" si="1"/>
        <v>143.60999999999999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ht="16">
      <c r="A16" s="19"/>
      <c r="B16" s="26">
        <v>70.599999999999994</v>
      </c>
      <c r="C16" s="26">
        <v>24.35</v>
      </c>
      <c r="D16" s="27">
        <f t="shared" si="0"/>
        <v>1.9480000000000013</v>
      </c>
      <c r="E16" s="28">
        <f t="shared" si="1"/>
        <v>167.95999999999998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ht="16">
      <c r="A17" s="19"/>
      <c r="B17" s="26">
        <v>100</v>
      </c>
      <c r="C17" s="26">
        <v>19.2</v>
      </c>
      <c r="D17" s="27">
        <f t="shared" si="0"/>
        <v>0.65306122448979576</v>
      </c>
      <c r="E17" s="28">
        <f t="shared" si="1"/>
        <v>187.15999999999997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6">
      <c r="A18" s="19"/>
      <c r="B18" s="19"/>
      <c r="C18" s="31">
        <f>SUM(C9:C17)</f>
        <v>187.15999999999997</v>
      </c>
      <c r="D18" s="32" t="s">
        <v>9</v>
      </c>
      <c r="E18" s="33">
        <f>C18-C10</f>
        <v>158.65999999999997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6">
      <c r="A19" s="19"/>
      <c r="B19" s="19"/>
      <c r="C19" s="31">
        <f>C18/100</f>
        <v>1.8715999999999997</v>
      </c>
      <c r="D19" s="32" t="s">
        <v>12</v>
      </c>
      <c r="E19" s="34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6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ht="15.7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5.7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15.75" customHeight="1">
      <c r="A23" s="19"/>
      <c r="B23" s="19"/>
      <c r="C23" s="19"/>
      <c r="D23" s="19"/>
      <c r="E23" s="20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ht="22.5" customHeight="1">
      <c r="A24" s="19"/>
      <c r="B24" s="49" t="s">
        <v>39</v>
      </c>
      <c r="C24" s="50"/>
      <c r="D24" s="50"/>
      <c r="E24" s="51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ht="15.75" customHeight="1">
      <c r="A25" s="19"/>
      <c r="B25" s="22" t="s">
        <v>36</v>
      </c>
      <c r="C25" s="22" t="s">
        <v>37</v>
      </c>
      <c r="D25" s="23" t="s">
        <v>6</v>
      </c>
      <c r="E25" s="22" t="s">
        <v>7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5.75" customHeight="1">
      <c r="A26" s="19"/>
      <c r="B26" s="24" t="s">
        <v>8</v>
      </c>
      <c r="C26" s="24" t="s">
        <v>9</v>
      </c>
      <c r="D26" s="25" t="s">
        <v>10</v>
      </c>
      <c r="E26" s="24" t="s">
        <v>11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ht="15.75" customHeight="1">
      <c r="A27" s="19"/>
      <c r="B27" s="26">
        <v>0</v>
      </c>
      <c r="C27" s="26">
        <v>0</v>
      </c>
      <c r="D27" s="27">
        <v>0</v>
      </c>
      <c r="E27" s="28">
        <v>0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5.75" customHeight="1">
      <c r="A28" s="19" t="s">
        <v>25</v>
      </c>
      <c r="B28" s="26">
        <v>43.2</v>
      </c>
      <c r="C28" s="29">
        <v>203.6</v>
      </c>
      <c r="D28" s="27">
        <f t="shared" ref="D28:D36" si="2">C28/(B28-B27)</f>
        <v>4.7129629629629628</v>
      </c>
      <c r="E28" s="28">
        <f t="shared" ref="E28:E36" si="3">E27+C28</f>
        <v>203.6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ht="15.75" customHeight="1">
      <c r="A29" s="19"/>
      <c r="B29" s="26">
        <v>46.4</v>
      </c>
      <c r="C29" s="26">
        <v>20.13</v>
      </c>
      <c r="D29" s="27">
        <f t="shared" si="2"/>
        <v>6.2906250000000083</v>
      </c>
      <c r="E29" s="28">
        <f t="shared" si="3"/>
        <v>223.73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ht="15.75" customHeight="1">
      <c r="A30" s="19"/>
      <c r="B30" s="26">
        <v>51.1</v>
      </c>
      <c r="C30" s="26">
        <v>24.55</v>
      </c>
      <c r="D30" s="27">
        <f t="shared" si="2"/>
        <v>5.2234042553191458</v>
      </c>
      <c r="E30" s="28">
        <f t="shared" si="3"/>
        <v>248.28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ht="15.75" customHeight="1">
      <c r="A31" s="19"/>
      <c r="B31" s="26">
        <v>55.1</v>
      </c>
      <c r="C31" s="26">
        <v>20.239999999999998</v>
      </c>
      <c r="D31" s="27">
        <f t="shared" si="2"/>
        <v>5.0599999999999996</v>
      </c>
      <c r="E31" s="28">
        <f t="shared" si="3"/>
        <v>268.52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 ht="15.75" customHeight="1">
      <c r="A32" s="19"/>
      <c r="B32" s="26">
        <v>60.2</v>
      </c>
      <c r="C32" s="26">
        <v>23.5</v>
      </c>
      <c r="D32" s="27">
        <f t="shared" si="2"/>
        <v>4.6078431372549007</v>
      </c>
      <c r="E32" s="28">
        <f t="shared" si="3"/>
        <v>292.02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ht="15.75" customHeight="1">
      <c r="A33" s="19"/>
      <c r="B33" s="26">
        <v>65.400000000000006</v>
      </c>
      <c r="C33" s="26">
        <v>20.59</v>
      </c>
      <c r="D33" s="27">
        <f t="shared" si="2"/>
        <v>3.9596153846153825</v>
      </c>
      <c r="E33" s="28">
        <f t="shared" si="3"/>
        <v>312.60999999999996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5.75" customHeight="1">
      <c r="A34" s="19"/>
      <c r="B34" s="26">
        <v>72.400000000000006</v>
      </c>
      <c r="C34" s="26">
        <v>23.8</v>
      </c>
      <c r="D34" s="27">
        <f t="shared" si="2"/>
        <v>3.4</v>
      </c>
      <c r="E34" s="28">
        <f t="shared" si="3"/>
        <v>336.40999999999997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 ht="15.75" customHeight="1">
      <c r="A35" s="19"/>
      <c r="B35" s="26">
        <v>81.599999999999994</v>
      </c>
      <c r="C35" s="26">
        <v>20.95</v>
      </c>
      <c r="D35" s="27">
        <f t="shared" si="2"/>
        <v>2.2771739130434812</v>
      </c>
      <c r="E35" s="28">
        <f t="shared" si="3"/>
        <v>357.35999999999996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spans="1:24" ht="15.75" customHeight="1">
      <c r="A36" s="19"/>
      <c r="B36" s="26">
        <v>100</v>
      </c>
      <c r="C36" s="26">
        <v>14.4</v>
      </c>
      <c r="D36" s="27">
        <f t="shared" si="2"/>
        <v>0.78260869565217372</v>
      </c>
      <c r="E36" s="28">
        <f t="shared" si="3"/>
        <v>371.75999999999993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 ht="15.75" customHeight="1">
      <c r="A37" s="19"/>
      <c r="B37" s="19"/>
      <c r="C37" s="35">
        <f>SUM(C28:C35)</f>
        <v>357.35999999999996</v>
      </c>
      <c r="D37" s="32" t="s">
        <v>9</v>
      </c>
      <c r="E37" s="35">
        <f>C37-C28</f>
        <v>153.75999999999996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spans="1:24" ht="15.75" customHeight="1">
      <c r="A38" s="19"/>
      <c r="B38" s="19"/>
      <c r="C38" s="33">
        <f>C37/100</f>
        <v>3.5735999999999994</v>
      </c>
      <c r="D38" s="32" t="s">
        <v>12</v>
      </c>
      <c r="E38" s="34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1:24" ht="15.75" customHeight="1">
      <c r="A39" s="19"/>
      <c r="B39" s="19"/>
      <c r="C39" s="19"/>
      <c r="D39" s="20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ht="15.7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ht="15.7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ht="15.7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ht="15.75" customHeight="1">
      <c r="A43" s="19"/>
      <c r="B43" s="19"/>
      <c r="C43" s="19"/>
      <c r="D43" s="19"/>
      <c r="E43" s="20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1:24" ht="15.75" customHeight="1">
      <c r="A44" s="19"/>
      <c r="B44" s="19"/>
      <c r="C44" s="19"/>
      <c r="D44" s="19"/>
      <c r="E44" s="20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ht="15.75" customHeight="1">
      <c r="A45" s="19"/>
      <c r="B45" s="19"/>
      <c r="C45" s="19"/>
      <c r="D45" s="19"/>
      <c r="E45" s="20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1:24" ht="22.5" customHeight="1">
      <c r="A46" s="19"/>
      <c r="B46" s="49" t="s">
        <v>40</v>
      </c>
      <c r="C46" s="50"/>
      <c r="D46" s="50"/>
      <c r="E46" s="51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1:24" ht="15.75" customHeight="1">
      <c r="A47" s="19"/>
      <c r="B47" s="22" t="s">
        <v>36</v>
      </c>
      <c r="C47" s="22" t="s">
        <v>37</v>
      </c>
      <c r="D47" s="23" t="s">
        <v>6</v>
      </c>
      <c r="E47" s="22" t="s">
        <v>7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spans="1:24" ht="15.75" customHeight="1">
      <c r="A48" s="19"/>
      <c r="B48" s="24" t="s">
        <v>8</v>
      </c>
      <c r="C48" s="24" t="s">
        <v>9</v>
      </c>
      <c r="D48" s="25" t="s">
        <v>10</v>
      </c>
      <c r="E48" s="24" t="s">
        <v>11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 ht="15.75" customHeight="1">
      <c r="A49" s="19"/>
      <c r="B49" s="26">
        <v>0</v>
      </c>
      <c r="C49" s="26">
        <v>0</v>
      </c>
      <c r="D49" s="27">
        <v>0</v>
      </c>
      <c r="E49" s="28">
        <v>0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spans="1:24" ht="15.75" customHeight="1">
      <c r="A50" s="19" t="s">
        <v>25</v>
      </c>
      <c r="B50" s="26">
        <v>40.700000000000003</v>
      </c>
      <c r="C50" s="29">
        <v>202.57</v>
      </c>
      <c r="D50" s="27">
        <f t="shared" ref="D50:D57" si="4">C50/(B50-B49)</f>
        <v>4.977149877149877</v>
      </c>
      <c r="E50" s="28">
        <f t="shared" ref="E50:E57" si="5">E49+C50</f>
        <v>202.57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spans="1:24" ht="15.75" customHeight="1">
      <c r="A51" s="19"/>
      <c r="B51" s="26">
        <v>44.3</v>
      </c>
      <c r="C51" s="26">
        <v>20.8</v>
      </c>
      <c r="D51" s="27">
        <f t="shared" si="4"/>
        <v>5.7777777777777874</v>
      </c>
      <c r="E51" s="28">
        <f t="shared" si="5"/>
        <v>223.37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spans="1:24" ht="15.75" customHeight="1">
      <c r="A52" s="19"/>
      <c r="B52" s="26">
        <v>48.5</v>
      </c>
      <c r="C52" s="26">
        <v>20.76</v>
      </c>
      <c r="D52" s="27">
        <f t="shared" si="4"/>
        <v>4.9428571428571395</v>
      </c>
      <c r="E52" s="28">
        <f t="shared" si="5"/>
        <v>244.13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spans="1:24" ht="15.75" customHeight="1">
      <c r="A53" s="19"/>
      <c r="B53" s="26">
        <v>53.4</v>
      </c>
      <c r="C53" s="26">
        <v>23.71</v>
      </c>
      <c r="D53" s="27">
        <f t="shared" si="4"/>
        <v>4.8387755102040835</v>
      </c>
      <c r="E53" s="28">
        <f t="shared" si="5"/>
        <v>267.83999999999997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1:24" ht="15.75" customHeight="1">
      <c r="A54" s="19"/>
      <c r="B54" s="26">
        <v>58.9</v>
      </c>
      <c r="C54" s="26">
        <v>22.67</v>
      </c>
      <c r="D54" s="27">
        <f t="shared" si="4"/>
        <v>4.121818181818182</v>
      </c>
      <c r="E54" s="28">
        <f t="shared" si="5"/>
        <v>290.51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ht="15.75" customHeight="1">
      <c r="A55" s="19"/>
      <c r="B55" s="26">
        <v>65.3</v>
      </c>
      <c r="C55" s="26">
        <v>22.96</v>
      </c>
      <c r="D55" s="27">
        <f t="shared" si="4"/>
        <v>3.5875000000000008</v>
      </c>
      <c r="E55" s="28">
        <f t="shared" si="5"/>
        <v>313.46999999999997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spans="1:24" ht="15.75" customHeight="1">
      <c r="A56" s="19"/>
      <c r="B56" s="26">
        <v>74.099999999999994</v>
      </c>
      <c r="C56" s="26">
        <v>20.97</v>
      </c>
      <c r="D56" s="27">
        <f t="shared" si="4"/>
        <v>2.3829545454545462</v>
      </c>
      <c r="E56" s="28">
        <f t="shared" si="5"/>
        <v>334.43999999999994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spans="1:24" ht="15.75" customHeight="1">
      <c r="A57" s="19"/>
      <c r="B57" s="26">
        <v>100</v>
      </c>
      <c r="C57" s="26">
        <v>22.68</v>
      </c>
      <c r="D57" s="27">
        <f t="shared" si="4"/>
        <v>0.8756756756756755</v>
      </c>
      <c r="E57" s="28">
        <f t="shared" si="5"/>
        <v>357.11999999999995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spans="1:24" ht="15.75" customHeight="1">
      <c r="A58" s="19"/>
      <c r="B58" s="19"/>
      <c r="C58" s="33">
        <f>SUM(C49:C57)</f>
        <v>357.11999999999995</v>
      </c>
      <c r="D58" s="32" t="s">
        <v>9</v>
      </c>
      <c r="E58" s="33">
        <f>C58-C50</f>
        <v>154.54999999999995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 spans="1:24" ht="15.75" customHeight="1">
      <c r="A59" s="19"/>
      <c r="B59" s="19"/>
      <c r="C59" s="33">
        <f>C58/100</f>
        <v>3.5711999999999993</v>
      </c>
      <c r="D59" s="32" t="s">
        <v>12</v>
      </c>
      <c r="E59" s="34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spans="1:24" ht="15.75" customHeight="1">
      <c r="A60" s="19"/>
      <c r="B60" s="19"/>
      <c r="C60" s="34"/>
      <c r="D60" s="37"/>
      <c r="E60" s="32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spans="1:24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spans="1:24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spans="1:24" ht="15.75" customHeight="1">
      <c r="A63" s="19"/>
      <c r="B63" s="19"/>
      <c r="C63" s="31" t="s">
        <v>26</v>
      </c>
      <c r="D63" s="31" t="s">
        <v>27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spans="1:24" ht="15.75" customHeight="1">
      <c r="A64" s="19"/>
      <c r="B64" s="33" t="s">
        <v>15</v>
      </c>
      <c r="C64" s="38">
        <f>C58+C37+C18</f>
        <v>901.63999999999987</v>
      </c>
      <c r="D64" s="28">
        <f t="shared" ref="D64:D69" si="6">C64/100</f>
        <v>9.0163999999999991</v>
      </c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 spans="1:24" ht="15.75" customHeight="1">
      <c r="A65" s="19"/>
      <c r="B65" s="52" t="s">
        <v>16</v>
      </c>
      <c r="C65" s="38">
        <f>C18-C10</f>
        <v>158.65999999999997</v>
      </c>
      <c r="D65" s="28">
        <f t="shared" si="6"/>
        <v>1.5865999999999998</v>
      </c>
      <c r="E65" s="27" t="s">
        <v>41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spans="1:24" ht="15.75" customHeight="1">
      <c r="A66" s="19"/>
      <c r="B66" s="53"/>
      <c r="C66" s="38">
        <f>C37-C28</f>
        <v>153.75999999999996</v>
      </c>
      <c r="D66" s="28">
        <f t="shared" si="6"/>
        <v>1.5375999999999996</v>
      </c>
      <c r="E66" s="27" t="s">
        <v>42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spans="1:24" ht="15.75" customHeight="1">
      <c r="A67" s="19"/>
      <c r="B67" s="54"/>
      <c r="C67" s="38">
        <f>C58-C50</f>
        <v>154.54999999999995</v>
      </c>
      <c r="D67" s="28">
        <f t="shared" si="6"/>
        <v>1.5454999999999997</v>
      </c>
      <c r="E67" s="27" t="s">
        <v>43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spans="1:24" ht="15.75" customHeight="1">
      <c r="A68" s="19"/>
      <c r="B68" s="33" t="s">
        <v>20</v>
      </c>
      <c r="C68" s="38">
        <f>C64-C69-AVERAGE(C65:C67)</f>
        <v>388.62333333333333</v>
      </c>
      <c r="D68" s="28">
        <f t="shared" si="6"/>
        <v>3.8862333333333332</v>
      </c>
      <c r="E68" s="20"/>
      <c r="F68" s="19" t="s">
        <v>56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spans="1:24" ht="15.75" customHeight="1">
      <c r="A69" s="19"/>
      <c r="B69" s="33" t="s">
        <v>21</v>
      </c>
      <c r="C69" s="38">
        <f>C37</f>
        <v>357.35999999999996</v>
      </c>
      <c r="D69" s="28">
        <f t="shared" si="6"/>
        <v>3.5735999999999994</v>
      </c>
      <c r="E69" s="20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spans="1:24" ht="15.7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spans="1:24" ht="15.7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spans="1:24" ht="15.7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spans="1:24" ht="15.7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spans="1:24" ht="15.7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spans="1:24" ht="15.7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spans="1:24" ht="15.75" customHeight="1">
      <c r="A76" s="19"/>
      <c r="B76" s="19"/>
      <c r="C76" s="19"/>
      <c r="D76" s="19"/>
      <c r="E76" s="20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</row>
    <row r="77" spans="1:24" ht="15.75" customHeight="1">
      <c r="A77" s="19"/>
      <c r="B77" s="19"/>
      <c r="C77" s="19"/>
      <c r="D77" s="19"/>
      <c r="E77" s="20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</row>
    <row r="78" spans="1:24" ht="15.75" customHeight="1">
      <c r="A78" s="19"/>
      <c r="B78" s="19"/>
      <c r="C78" s="19"/>
      <c r="D78" s="19"/>
      <c r="E78" s="20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</row>
    <row r="79" spans="1:24" ht="1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</row>
    <row r="80" spans="1:24" ht="1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</row>
    <row r="81" s="41" customFormat="1" ht="15" customHeight="1"/>
    <row r="82" s="41" customFormat="1" ht="15" customHeight="1"/>
    <row r="83" s="41" customFormat="1" ht="15" customHeight="1"/>
    <row r="84" s="41" customFormat="1" ht="15" customHeight="1"/>
    <row r="85" s="41" customFormat="1" ht="15" customHeight="1"/>
    <row r="86" s="41" customFormat="1" ht="15" customHeight="1"/>
    <row r="87" s="41" customFormat="1" ht="15" customHeight="1"/>
    <row r="88" s="41" customFormat="1" ht="15" customHeight="1"/>
    <row r="89" s="41" customFormat="1" ht="15" customHeight="1"/>
    <row r="90" s="41" customFormat="1" ht="15" customHeight="1"/>
    <row r="91" s="41" customFormat="1" ht="15" customHeight="1"/>
    <row r="92" s="41" customFormat="1" ht="15" customHeight="1"/>
    <row r="93" s="41" customFormat="1" ht="15" customHeight="1"/>
    <row r="94" s="41" customFormat="1" ht="15" customHeight="1"/>
    <row r="95" s="41" customFormat="1" ht="15" customHeight="1"/>
    <row r="96" s="41" customFormat="1" ht="15" customHeight="1"/>
    <row r="97" s="41" customFormat="1" ht="15" customHeight="1"/>
    <row r="98" s="41" customFormat="1" ht="15" customHeight="1"/>
    <row r="99" s="41" customFormat="1" ht="15" customHeight="1"/>
    <row r="100" s="41" customFormat="1" ht="15" customHeight="1"/>
    <row r="101" s="41" customFormat="1" ht="15" customHeight="1"/>
    <row r="102" s="41" customFormat="1" ht="15" customHeight="1"/>
    <row r="103" s="41" customFormat="1" ht="15" customHeight="1"/>
    <row r="104" s="41" customFormat="1" ht="15" customHeight="1"/>
    <row r="105" s="41" customFormat="1" ht="15" customHeight="1"/>
    <row r="106" s="41" customFormat="1" ht="15" customHeight="1"/>
    <row r="107" s="41" customFormat="1" ht="15" customHeight="1"/>
    <row r="108" s="41" customFormat="1" ht="15" customHeight="1"/>
    <row r="109" s="41" customFormat="1" ht="15" customHeight="1"/>
    <row r="110" s="41" customFormat="1" ht="15" customHeight="1"/>
    <row r="111" s="41" customFormat="1" ht="15" customHeight="1"/>
    <row r="112" s="41" customFormat="1" ht="15" customHeight="1"/>
    <row r="113" s="41" customFormat="1" ht="15" customHeight="1"/>
    <row r="114" s="41" customFormat="1" ht="15" customHeight="1"/>
    <row r="115" s="41" customFormat="1" ht="15" customHeight="1"/>
    <row r="116" s="41" customFormat="1" ht="15" customHeight="1"/>
    <row r="117" s="41" customFormat="1" ht="15" customHeight="1"/>
    <row r="118" s="41" customFormat="1" ht="15" customHeight="1"/>
    <row r="119" s="41" customFormat="1" ht="15" customHeight="1"/>
    <row r="120" s="41" customFormat="1" ht="15" customHeight="1"/>
    <row r="121" s="41" customFormat="1" ht="15" customHeight="1"/>
    <row r="122" s="41" customFormat="1" ht="15" customHeight="1"/>
    <row r="123" s="41" customFormat="1" ht="15" customHeight="1"/>
    <row r="124" s="41" customFormat="1" ht="15" customHeight="1"/>
    <row r="125" s="41" customFormat="1" ht="15" customHeight="1"/>
    <row r="126" s="41" customFormat="1" ht="15" customHeight="1"/>
    <row r="127" s="41" customFormat="1" ht="15" customHeight="1"/>
    <row r="128" s="41" customFormat="1" ht="15" customHeight="1"/>
    <row r="129" s="41" customFormat="1" ht="15" customHeight="1"/>
    <row r="130" s="41" customFormat="1" ht="15" customHeight="1"/>
    <row r="131" s="41" customFormat="1" ht="15" customHeight="1"/>
    <row r="132" s="41" customFormat="1" ht="15" customHeight="1"/>
    <row r="133" s="41" customFormat="1" ht="15" customHeight="1"/>
    <row r="134" s="41" customFormat="1" ht="15" customHeight="1"/>
    <row r="135" s="41" customFormat="1" ht="15" customHeight="1"/>
    <row r="136" s="41" customFormat="1" ht="15" customHeight="1"/>
    <row r="137" s="41" customFormat="1" ht="15" customHeight="1"/>
    <row r="138" s="41" customFormat="1" ht="15" customHeight="1"/>
    <row r="139" s="41" customFormat="1" ht="15" customHeight="1"/>
    <row r="140" s="41" customFormat="1" ht="15" customHeight="1"/>
    <row r="141" s="41" customFormat="1" ht="15" customHeight="1"/>
    <row r="142" s="41" customFormat="1" ht="15" customHeight="1"/>
    <row r="143" s="41" customFormat="1" ht="15" customHeight="1"/>
    <row r="144" s="41" customFormat="1" ht="15" customHeight="1"/>
    <row r="145" s="41" customFormat="1" ht="15" customHeight="1"/>
    <row r="146" s="41" customFormat="1" ht="15" customHeight="1"/>
    <row r="147" s="41" customFormat="1" ht="15" customHeight="1"/>
    <row r="148" s="41" customFormat="1" ht="15" customHeight="1"/>
    <row r="149" s="41" customFormat="1" ht="15" customHeight="1"/>
    <row r="150" s="41" customFormat="1" ht="15" customHeight="1"/>
    <row r="151" s="41" customFormat="1" ht="15" customHeight="1"/>
    <row r="152" s="41" customFormat="1" ht="15" customHeight="1"/>
    <row r="153" s="41" customFormat="1" ht="15" customHeight="1"/>
    <row r="154" s="41" customFormat="1" ht="15" customHeight="1"/>
    <row r="155" s="41" customFormat="1" ht="15" customHeight="1"/>
    <row r="156" s="41" customFormat="1" ht="15" customHeight="1"/>
    <row r="157" s="41" customFormat="1" ht="15" customHeight="1"/>
    <row r="158" s="41" customFormat="1" ht="15" customHeight="1"/>
    <row r="159" s="41" customFormat="1" ht="15" customHeight="1"/>
    <row r="160" s="41" customFormat="1" ht="15" customHeight="1"/>
    <row r="161" s="41" customFormat="1" ht="15" customHeight="1"/>
    <row r="162" s="41" customFormat="1" ht="15" customHeight="1"/>
    <row r="163" s="41" customFormat="1" ht="15" customHeight="1"/>
    <row r="164" s="41" customFormat="1" ht="15" customHeight="1"/>
    <row r="165" s="41" customFormat="1" ht="15" customHeight="1"/>
    <row r="166" s="41" customFormat="1" ht="15" customHeight="1"/>
    <row r="167" s="41" customFormat="1" ht="15" customHeight="1"/>
    <row r="168" s="41" customFormat="1" ht="15" customHeight="1"/>
    <row r="169" s="41" customFormat="1" ht="15" customHeight="1"/>
    <row r="170" s="41" customFormat="1" ht="15" customHeight="1"/>
    <row r="171" s="41" customFormat="1" ht="15" customHeight="1"/>
    <row r="172" s="41" customFormat="1" ht="15" customHeight="1"/>
    <row r="173" s="41" customFormat="1" ht="15" customHeight="1"/>
    <row r="174" s="41" customFormat="1" ht="15" customHeight="1"/>
    <row r="175" s="41" customFormat="1" ht="15" customHeight="1"/>
    <row r="176" s="41" customFormat="1" ht="15" customHeight="1"/>
    <row r="177" s="41" customFormat="1" ht="15" customHeight="1"/>
    <row r="178" s="41" customFormat="1" ht="15" customHeight="1"/>
    <row r="179" s="41" customFormat="1" ht="15" customHeight="1"/>
    <row r="180" s="41" customFormat="1" ht="15" customHeight="1"/>
    <row r="181" s="41" customFormat="1" ht="15" customHeight="1"/>
    <row r="182" s="41" customFormat="1" ht="15" customHeight="1"/>
    <row r="183" s="41" customFormat="1" ht="15" customHeight="1"/>
    <row r="184" s="41" customFormat="1" ht="15" customHeight="1"/>
    <row r="185" s="41" customFormat="1" ht="15" customHeight="1"/>
    <row r="186" s="41" customFormat="1" ht="15" customHeight="1"/>
    <row r="187" s="41" customFormat="1" ht="15" customHeight="1"/>
    <row r="188" s="41" customFormat="1" ht="15" customHeight="1"/>
    <row r="189" s="41" customFormat="1" ht="15" customHeight="1"/>
    <row r="190" s="41" customFormat="1" ht="15" customHeight="1"/>
    <row r="191" s="41" customFormat="1" ht="15" customHeight="1"/>
    <row r="192" s="41" customFormat="1" ht="15" customHeight="1"/>
    <row r="193" s="41" customFormat="1" ht="15" customHeight="1"/>
    <row r="194" s="41" customFormat="1" ht="15" customHeight="1"/>
    <row r="195" s="41" customFormat="1" ht="15" customHeight="1"/>
    <row r="196" s="41" customFormat="1" ht="15" customHeight="1"/>
    <row r="197" s="41" customFormat="1" ht="15" customHeight="1"/>
    <row r="198" s="41" customFormat="1" ht="15" customHeight="1"/>
    <row r="199" s="41" customFormat="1" ht="15" customHeight="1"/>
    <row r="200" s="41" customFormat="1" ht="15" customHeight="1"/>
    <row r="201" s="41" customFormat="1" ht="15" customHeight="1"/>
    <row r="202" s="41" customFormat="1" ht="15" customHeight="1"/>
    <row r="203" s="41" customFormat="1" ht="15" customHeight="1"/>
    <row r="204" s="41" customFormat="1" ht="15" customHeight="1"/>
    <row r="205" s="41" customFormat="1" ht="15" customHeight="1"/>
    <row r="206" s="41" customFormat="1" ht="15" customHeight="1"/>
    <row r="207" s="41" customFormat="1" ht="15" customHeight="1"/>
    <row r="208" s="41" customFormat="1" ht="15" customHeight="1"/>
    <row r="209" s="41" customFormat="1" ht="15" customHeight="1"/>
    <row r="210" s="41" customFormat="1" ht="15" customHeight="1"/>
    <row r="211" s="41" customFormat="1" ht="15" customHeight="1"/>
    <row r="212" s="41" customFormat="1" ht="15" customHeight="1"/>
    <row r="213" s="41" customFormat="1" ht="15" customHeight="1"/>
    <row r="214" s="41" customFormat="1" ht="15" customHeight="1"/>
    <row r="215" s="41" customFormat="1" ht="15" customHeight="1"/>
    <row r="216" s="41" customFormat="1" ht="15" customHeight="1"/>
    <row r="217" s="41" customFormat="1" ht="15" customHeight="1"/>
    <row r="218" s="41" customFormat="1" ht="15" customHeight="1"/>
    <row r="219" s="41" customFormat="1" ht="15" customHeight="1"/>
    <row r="220" s="41" customFormat="1" ht="15" customHeight="1"/>
    <row r="221" s="41" customFormat="1" ht="15" customHeight="1"/>
    <row r="222" s="41" customFormat="1" ht="15" customHeight="1"/>
    <row r="223" s="41" customFormat="1" ht="15" customHeight="1"/>
    <row r="224" s="41" customFormat="1" ht="15" customHeight="1"/>
    <row r="225" s="41" customFormat="1" ht="15" customHeight="1"/>
    <row r="226" s="41" customFormat="1" ht="15" customHeight="1"/>
    <row r="227" s="41" customFormat="1" ht="15" customHeight="1"/>
    <row r="228" s="41" customFormat="1" ht="15" customHeight="1"/>
    <row r="229" s="41" customFormat="1" ht="15" customHeight="1"/>
    <row r="230" s="41" customFormat="1" ht="15" customHeight="1"/>
    <row r="231" s="41" customFormat="1" ht="15" customHeight="1"/>
    <row r="232" s="41" customFormat="1" ht="15" customHeight="1"/>
    <row r="233" s="41" customFormat="1" ht="15" customHeight="1"/>
    <row r="234" s="41" customFormat="1" ht="15" customHeight="1"/>
    <row r="235" s="41" customFormat="1" ht="15" customHeight="1"/>
    <row r="236" s="41" customFormat="1" ht="15" customHeight="1"/>
    <row r="237" s="41" customFormat="1" ht="15" customHeight="1"/>
    <row r="238" s="41" customFormat="1" ht="15" customHeight="1"/>
    <row r="239" s="41" customFormat="1" ht="15" customHeight="1"/>
    <row r="240" s="41" customFormat="1" ht="15" customHeight="1"/>
    <row r="241" s="41" customFormat="1" ht="15" customHeight="1"/>
    <row r="242" s="41" customFormat="1" ht="15" customHeight="1"/>
    <row r="243" s="41" customFormat="1" ht="15" customHeight="1"/>
    <row r="244" s="41" customFormat="1" ht="15" customHeight="1"/>
    <row r="245" s="41" customFormat="1" ht="15" customHeight="1"/>
    <row r="246" s="41" customFormat="1" ht="15" customHeight="1"/>
    <row r="247" s="41" customFormat="1" ht="15" customHeight="1"/>
    <row r="248" s="41" customFormat="1" ht="15" customHeight="1"/>
    <row r="249" s="41" customFormat="1" ht="15" customHeight="1"/>
    <row r="250" s="41" customFormat="1" ht="15" customHeight="1"/>
    <row r="251" s="41" customFormat="1" ht="15" customHeight="1"/>
    <row r="252" s="41" customFormat="1" ht="15" customHeight="1"/>
    <row r="253" s="41" customFormat="1" ht="15" customHeight="1"/>
    <row r="254" s="41" customFormat="1" ht="15" customHeight="1"/>
    <row r="255" s="41" customFormat="1" ht="15" customHeight="1"/>
    <row r="256" s="41" customFormat="1" ht="15" customHeight="1"/>
    <row r="257" s="41" customFormat="1" ht="15" customHeight="1"/>
    <row r="258" s="41" customFormat="1" ht="15" customHeight="1"/>
    <row r="259" s="41" customFormat="1" ht="15" customHeight="1"/>
    <row r="260" s="41" customFormat="1" ht="15" customHeight="1"/>
    <row r="261" s="41" customFormat="1" ht="15" customHeight="1"/>
    <row r="262" s="41" customFormat="1" ht="15" customHeight="1"/>
    <row r="263" s="41" customFormat="1" ht="15" customHeight="1"/>
    <row r="264" s="41" customFormat="1" ht="15" customHeight="1"/>
    <row r="265" s="41" customFormat="1" ht="15" customHeight="1"/>
    <row r="266" s="41" customFormat="1" ht="15" customHeight="1"/>
    <row r="267" s="41" customFormat="1" ht="15" customHeight="1"/>
    <row r="268" s="41" customFormat="1" ht="15" customHeight="1"/>
    <row r="269" s="41" customFormat="1" ht="15" customHeight="1"/>
    <row r="270" s="41" customFormat="1" ht="15" customHeight="1"/>
    <row r="271" s="41" customFormat="1" ht="15" customHeight="1"/>
    <row r="272" s="41" customFormat="1" ht="15" customHeight="1"/>
    <row r="273" s="41" customFormat="1" ht="15" customHeight="1"/>
    <row r="274" s="41" customFormat="1" ht="15" customHeight="1"/>
    <row r="275" s="41" customFormat="1" ht="15" customHeight="1"/>
    <row r="276" s="41" customFormat="1" ht="15" customHeight="1"/>
    <row r="277" s="41" customFormat="1" ht="15" customHeight="1"/>
    <row r="278" s="41" customFormat="1" ht="15" customHeight="1"/>
    <row r="279" s="41" customFormat="1" ht="15" customHeight="1"/>
    <row r="280" s="41" customFormat="1" ht="15" customHeight="1"/>
    <row r="281" s="41" customFormat="1" ht="15" customHeight="1"/>
    <row r="282" s="41" customFormat="1" ht="15" customHeight="1"/>
    <row r="283" s="41" customFormat="1" ht="15" customHeight="1"/>
    <row r="284" s="41" customFormat="1" ht="15" customHeight="1"/>
    <row r="285" s="41" customFormat="1" ht="15" customHeight="1"/>
    <row r="286" s="41" customFormat="1" ht="15" customHeight="1"/>
    <row r="287" s="41" customFormat="1" ht="15" customHeight="1"/>
    <row r="288" s="41" customFormat="1" ht="15" customHeight="1"/>
    <row r="289" s="41" customFormat="1" ht="15" customHeight="1"/>
    <row r="290" s="41" customFormat="1" ht="15" customHeight="1"/>
    <row r="291" s="41" customFormat="1" ht="15" customHeight="1"/>
    <row r="292" s="41" customFormat="1" ht="15" customHeight="1"/>
    <row r="293" s="41" customFormat="1" ht="15" customHeight="1"/>
    <row r="294" s="41" customFormat="1" ht="15" customHeight="1"/>
    <row r="295" s="41" customFormat="1" ht="15" customHeight="1"/>
    <row r="296" s="41" customFormat="1" ht="15" customHeight="1"/>
    <row r="297" s="41" customFormat="1" ht="15" customHeight="1"/>
    <row r="298" s="41" customFormat="1" ht="15" customHeight="1"/>
    <row r="299" s="41" customFormat="1" ht="15" customHeight="1"/>
    <row r="300" s="41" customFormat="1" ht="15" customHeight="1"/>
    <row r="301" s="41" customFormat="1" ht="15" customHeight="1"/>
    <row r="302" s="41" customFormat="1" ht="15" customHeight="1"/>
    <row r="303" s="41" customFormat="1" ht="15" customHeight="1"/>
    <row r="304" s="41" customFormat="1" ht="15" customHeight="1"/>
    <row r="305" s="41" customFormat="1" ht="15" customHeight="1"/>
    <row r="306" s="41" customFormat="1" ht="15" customHeight="1"/>
    <row r="307" s="41" customFormat="1" ht="15" customHeight="1"/>
    <row r="308" s="41" customFormat="1" ht="15" customHeight="1"/>
    <row r="309" s="41" customFormat="1" ht="15" customHeight="1"/>
    <row r="310" s="41" customFormat="1" ht="15" customHeight="1"/>
    <row r="311" s="41" customFormat="1" ht="15" customHeight="1"/>
    <row r="312" s="41" customFormat="1" ht="15" customHeight="1"/>
    <row r="313" s="41" customFormat="1" ht="15" customHeight="1"/>
    <row r="314" s="41" customFormat="1" ht="15" customHeight="1"/>
    <row r="315" s="41" customFormat="1" ht="15" customHeight="1"/>
    <row r="316" s="41" customFormat="1" ht="15" customHeight="1"/>
    <row r="317" s="41" customFormat="1" ht="15" customHeight="1"/>
    <row r="318" s="41" customFormat="1" ht="15" customHeight="1"/>
    <row r="319" s="41" customFormat="1" ht="15" customHeight="1"/>
    <row r="320" s="41" customFormat="1" ht="15" customHeight="1"/>
    <row r="321" s="41" customFormat="1" ht="15" customHeight="1"/>
    <row r="322" s="41" customFormat="1" ht="15" customHeight="1"/>
    <row r="323" s="41" customFormat="1" ht="15" customHeight="1"/>
    <row r="324" s="41" customFormat="1" ht="15" customHeight="1"/>
    <row r="325" s="41" customFormat="1" ht="15" customHeight="1"/>
    <row r="326" s="41" customFormat="1" ht="15" customHeight="1"/>
    <row r="327" s="41" customFormat="1" ht="15" customHeight="1"/>
    <row r="328" s="41" customFormat="1" ht="15" customHeight="1"/>
    <row r="329" s="41" customFormat="1" ht="15" customHeight="1"/>
    <row r="330" s="41" customFormat="1" ht="15" customHeight="1"/>
    <row r="331" s="41" customFormat="1" ht="15" customHeight="1"/>
    <row r="332" s="41" customFormat="1" ht="15" customHeight="1"/>
    <row r="333" s="41" customFormat="1" ht="15" customHeight="1"/>
    <row r="334" s="41" customFormat="1" ht="15" customHeight="1"/>
    <row r="335" s="41" customFormat="1" ht="15" customHeight="1"/>
    <row r="336" s="41" customFormat="1" ht="15" customHeight="1"/>
    <row r="337" s="41" customFormat="1" ht="15" customHeight="1"/>
    <row r="338" s="41" customFormat="1" ht="15" customHeight="1"/>
    <row r="339" s="41" customFormat="1" ht="15" customHeight="1"/>
    <row r="340" s="41" customFormat="1" ht="15" customHeight="1"/>
    <row r="341" s="41" customFormat="1" ht="15" customHeight="1"/>
    <row r="342" s="41" customFormat="1" ht="15" customHeight="1"/>
    <row r="343" s="41" customFormat="1" ht="15" customHeight="1"/>
    <row r="344" s="41" customFormat="1" ht="15" customHeight="1"/>
    <row r="345" s="41" customFormat="1" ht="15" customHeight="1"/>
    <row r="346" s="41" customFormat="1" ht="15" customHeight="1"/>
    <row r="347" s="41" customFormat="1" ht="15" customHeight="1"/>
    <row r="348" s="41" customFormat="1" ht="15" customHeight="1"/>
    <row r="349" s="41" customFormat="1" ht="15" customHeight="1"/>
    <row r="350" s="41" customFormat="1" ht="15" customHeight="1"/>
    <row r="351" s="41" customFormat="1" ht="15" customHeight="1"/>
    <row r="352" s="41" customFormat="1" ht="15" customHeight="1"/>
    <row r="353" s="41" customFormat="1" ht="15" customHeight="1"/>
    <row r="354" s="41" customFormat="1" ht="15" customHeight="1"/>
    <row r="355" s="41" customFormat="1" ht="15" customHeight="1"/>
    <row r="356" s="41" customFormat="1" ht="15" customHeight="1"/>
    <row r="357" s="41" customFormat="1" ht="15" customHeight="1"/>
    <row r="358" s="41" customFormat="1" ht="15" customHeight="1"/>
    <row r="359" s="41" customFormat="1" ht="15" customHeight="1"/>
    <row r="360" s="41" customFormat="1" ht="15" customHeight="1"/>
    <row r="361" s="41" customFormat="1" ht="15" customHeight="1"/>
    <row r="362" s="41" customFormat="1" ht="15" customHeight="1"/>
    <row r="363" s="41" customFormat="1" ht="15" customHeight="1"/>
    <row r="364" s="41" customFormat="1" ht="15" customHeight="1"/>
    <row r="365" s="41" customFormat="1" ht="15" customHeight="1"/>
    <row r="366" s="41" customFormat="1" ht="15" customHeight="1"/>
    <row r="367" s="41" customFormat="1" ht="15" customHeight="1"/>
    <row r="368" s="41" customFormat="1" ht="15" customHeight="1"/>
    <row r="369" s="41" customFormat="1" ht="15" customHeight="1"/>
    <row r="370" s="41" customFormat="1" ht="15" customHeight="1"/>
    <row r="371" s="41" customFormat="1" ht="15" customHeight="1"/>
    <row r="372" s="41" customFormat="1" ht="15" customHeight="1"/>
    <row r="373" s="41" customFormat="1" ht="15" customHeight="1"/>
    <row r="374" s="41" customFormat="1" ht="15" customHeight="1"/>
    <row r="375" s="41" customFormat="1" ht="15" customHeight="1"/>
    <row r="376" s="41" customFormat="1" ht="15" customHeight="1"/>
    <row r="377" s="41" customFormat="1" ht="15" customHeight="1"/>
    <row r="378" s="41" customFormat="1" ht="15" customHeight="1"/>
    <row r="379" s="41" customFormat="1" ht="15" customHeight="1"/>
    <row r="380" s="41" customFormat="1" ht="15" customHeight="1"/>
    <row r="381" s="41" customFormat="1" ht="15" customHeight="1"/>
    <row r="382" s="41" customFormat="1" ht="15" customHeight="1"/>
    <row r="383" s="41" customFormat="1" ht="15" customHeight="1"/>
    <row r="384" s="41" customFormat="1" ht="15" customHeight="1"/>
    <row r="385" s="41" customFormat="1" ht="15" customHeight="1"/>
    <row r="386" s="41" customFormat="1" ht="15" customHeight="1"/>
    <row r="387" s="41" customFormat="1" ht="15" customHeight="1"/>
    <row r="388" s="41" customFormat="1" ht="15" customHeight="1"/>
    <row r="389" s="41" customFormat="1" ht="15" customHeight="1"/>
    <row r="390" s="41" customFormat="1" ht="15" customHeight="1"/>
    <row r="391" s="41" customFormat="1" ht="15" customHeight="1"/>
    <row r="392" s="41" customFormat="1" ht="15" customHeight="1"/>
    <row r="393" s="41" customFormat="1" ht="15" customHeight="1"/>
    <row r="394" s="41" customFormat="1" ht="15" customHeight="1"/>
    <row r="395" s="41" customFormat="1" ht="15" customHeight="1"/>
    <row r="396" s="41" customFormat="1" ht="15" customHeight="1"/>
    <row r="397" s="41" customFormat="1" ht="15" customHeight="1"/>
    <row r="398" s="41" customFormat="1" ht="15" customHeight="1"/>
    <row r="399" s="41" customFormat="1" ht="15" customHeight="1"/>
    <row r="400" s="41" customFormat="1" ht="15" customHeight="1"/>
    <row r="401" s="41" customFormat="1" ht="15" customHeight="1"/>
    <row r="402" s="41" customFormat="1" ht="15" customHeight="1"/>
    <row r="403" s="41" customFormat="1" ht="15" customHeight="1"/>
    <row r="404" s="41" customFormat="1" ht="15" customHeight="1"/>
    <row r="405" s="41" customFormat="1" ht="15" customHeight="1"/>
    <row r="406" s="41" customFormat="1" ht="15" customHeight="1"/>
    <row r="407" s="41" customFormat="1" ht="15" customHeight="1"/>
    <row r="408" s="41" customFormat="1" ht="15" customHeight="1"/>
    <row r="409" s="41" customFormat="1" ht="15" customHeight="1"/>
    <row r="410" s="41" customFormat="1" ht="15" customHeight="1"/>
    <row r="411" s="41" customFormat="1" ht="15" customHeight="1"/>
    <row r="412" s="41" customFormat="1" ht="15" customHeight="1"/>
    <row r="413" s="41" customFormat="1" ht="15" customHeight="1"/>
    <row r="414" s="41" customFormat="1" ht="15" customHeight="1"/>
    <row r="415" s="41" customFormat="1" ht="15" customHeight="1"/>
    <row r="416" s="41" customFormat="1" ht="15" customHeight="1"/>
    <row r="417" s="41" customFormat="1" ht="15" customHeight="1"/>
    <row r="418" s="41" customFormat="1" ht="15" customHeight="1"/>
    <row r="419" s="41" customFormat="1" ht="15" customHeight="1"/>
    <row r="420" s="41" customFormat="1" ht="15" customHeight="1"/>
    <row r="421" s="41" customFormat="1" ht="15" customHeight="1"/>
    <row r="422" s="41" customFormat="1" ht="15" customHeight="1"/>
    <row r="423" s="41" customFormat="1" ht="15" customHeight="1"/>
    <row r="424" s="41" customFormat="1" ht="15" customHeight="1"/>
    <row r="425" s="41" customFormat="1" ht="15" customHeight="1"/>
    <row r="426" s="41" customFormat="1" ht="15" customHeight="1"/>
    <row r="427" s="41" customFormat="1" ht="15" customHeight="1"/>
    <row r="428" s="41" customFormat="1" ht="15" customHeight="1"/>
    <row r="429" s="41" customFormat="1" ht="15" customHeight="1"/>
    <row r="430" s="41" customFormat="1" ht="15" customHeight="1"/>
    <row r="431" s="41" customFormat="1" ht="15" customHeight="1"/>
    <row r="432" s="41" customFormat="1" ht="15" customHeight="1"/>
    <row r="433" s="41" customFormat="1" ht="15" customHeight="1"/>
    <row r="434" s="41" customFormat="1" ht="15" customHeight="1"/>
    <row r="435" s="41" customFormat="1" ht="15" customHeight="1"/>
    <row r="436" s="41" customFormat="1" ht="15" customHeight="1"/>
    <row r="437" s="41" customFormat="1" ht="15" customHeight="1"/>
    <row r="438" s="41" customFormat="1" ht="15" customHeight="1"/>
    <row r="439" s="41" customFormat="1" ht="15" customHeight="1"/>
    <row r="440" s="41" customFormat="1" ht="15" customHeight="1"/>
    <row r="441" s="41" customFormat="1" ht="15" customHeight="1"/>
    <row r="442" s="41" customFormat="1" ht="15" customHeight="1"/>
    <row r="443" s="41" customFormat="1" ht="15" customHeight="1"/>
    <row r="444" s="41" customFormat="1" ht="15" customHeight="1"/>
    <row r="445" s="41" customFormat="1" ht="15" customHeight="1"/>
    <row r="446" s="41" customFormat="1" ht="15" customHeight="1"/>
    <row r="447" s="41" customFormat="1" ht="15" customHeight="1"/>
    <row r="448" s="41" customFormat="1" ht="15" customHeight="1"/>
    <row r="449" s="41" customFormat="1" ht="15" customHeight="1"/>
    <row r="450" s="41" customFormat="1" ht="15" customHeight="1"/>
    <row r="451" s="41" customFormat="1" ht="15" customHeight="1"/>
    <row r="452" s="41" customFormat="1" ht="15" customHeight="1"/>
    <row r="453" s="41" customFormat="1" ht="15" customHeight="1"/>
    <row r="454" s="41" customFormat="1" ht="15" customHeight="1"/>
    <row r="455" s="41" customFormat="1" ht="15" customHeight="1"/>
    <row r="456" s="41" customFormat="1" ht="15" customHeight="1"/>
    <row r="457" s="41" customFormat="1" ht="15" customHeight="1"/>
    <row r="458" s="41" customFormat="1" ht="15" customHeight="1"/>
    <row r="459" s="41" customFormat="1" ht="15" customHeight="1"/>
    <row r="460" s="41" customFormat="1" ht="15" customHeight="1"/>
    <row r="461" s="41" customFormat="1" ht="15" customHeight="1"/>
    <row r="462" s="41" customFormat="1" ht="15" customHeight="1"/>
    <row r="463" s="41" customFormat="1" ht="15" customHeight="1"/>
    <row r="464" s="41" customFormat="1" ht="15" customHeight="1"/>
    <row r="465" s="41" customFormat="1" ht="15" customHeight="1"/>
    <row r="466" s="41" customFormat="1" ht="15" customHeight="1"/>
    <row r="467" s="41" customFormat="1" ht="15" customHeight="1"/>
    <row r="468" s="41" customFormat="1" ht="15" customHeight="1"/>
    <row r="469" s="41" customFormat="1" ht="15" customHeight="1"/>
    <row r="470" s="41" customFormat="1" ht="15" customHeight="1"/>
    <row r="471" s="41" customFormat="1" ht="15" customHeight="1"/>
    <row r="472" s="41" customFormat="1" ht="15" customHeight="1"/>
    <row r="473" s="41" customFormat="1" ht="15" customHeight="1"/>
    <row r="474" s="41" customFormat="1" ht="15" customHeight="1"/>
    <row r="475" s="41" customFormat="1" ht="15" customHeight="1"/>
    <row r="476" s="41" customFormat="1" ht="15" customHeight="1"/>
    <row r="477" s="41" customFormat="1" ht="15" customHeight="1"/>
    <row r="478" s="41" customFormat="1" ht="15" customHeight="1"/>
    <row r="479" s="41" customFormat="1" ht="15" customHeight="1"/>
    <row r="480" s="41" customFormat="1" ht="15" customHeight="1"/>
    <row r="481" s="41" customFormat="1" ht="15" customHeight="1"/>
    <row r="482" s="41" customFormat="1" ht="15" customHeight="1"/>
    <row r="483" s="41" customFormat="1" ht="15" customHeight="1"/>
    <row r="484" s="41" customFormat="1" ht="15" customHeight="1"/>
    <row r="485" s="41" customFormat="1" ht="15" customHeight="1"/>
    <row r="486" s="41" customFormat="1" ht="15" customHeight="1"/>
    <row r="487" s="41" customFormat="1" ht="15" customHeight="1"/>
    <row r="488" s="41" customFormat="1" ht="15" customHeight="1"/>
    <row r="489" s="41" customFormat="1" ht="15" customHeight="1"/>
    <row r="490" s="41" customFormat="1" ht="15" customHeight="1"/>
    <row r="491" s="41" customFormat="1" ht="15" customHeight="1"/>
    <row r="492" s="41" customFormat="1" ht="15" customHeight="1"/>
    <row r="493" s="41" customFormat="1" ht="15" customHeight="1"/>
    <row r="494" s="41" customFormat="1" ht="15" customHeight="1"/>
    <row r="495" s="41" customFormat="1" ht="15" customHeight="1"/>
    <row r="496" s="41" customFormat="1" ht="15" customHeight="1"/>
    <row r="497" s="41" customFormat="1" ht="15" customHeight="1"/>
    <row r="498" s="41" customFormat="1" ht="15" customHeight="1"/>
    <row r="499" s="41" customFormat="1" ht="15" customHeight="1"/>
    <row r="500" s="41" customFormat="1" ht="15" customHeight="1"/>
    <row r="501" s="41" customFormat="1" ht="15" customHeight="1"/>
    <row r="502" s="41" customFormat="1" ht="15" customHeight="1"/>
    <row r="503" s="41" customFormat="1" ht="15" customHeight="1"/>
    <row r="504" s="41" customFormat="1" ht="15" customHeight="1"/>
    <row r="505" s="41" customFormat="1" ht="15" customHeight="1"/>
    <row r="506" s="41" customFormat="1" ht="15" customHeight="1"/>
    <row r="507" s="41" customFormat="1" ht="15" customHeight="1"/>
    <row r="508" s="41" customFormat="1" ht="15" customHeight="1"/>
    <row r="509" s="41" customFormat="1" ht="15" customHeight="1"/>
    <row r="510" s="41" customFormat="1" ht="15" customHeight="1"/>
    <row r="511" s="41" customFormat="1" ht="15" customHeight="1"/>
    <row r="512" s="41" customFormat="1" ht="15" customHeight="1"/>
    <row r="513" s="41" customFormat="1" ht="15" customHeight="1"/>
    <row r="514" s="41" customFormat="1" ht="15" customHeight="1"/>
    <row r="515" s="41" customFormat="1" ht="15" customHeight="1"/>
    <row r="516" s="41" customFormat="1" ht="15" customHeight="1"/>
    <row r="517" s="41" customFormat="1" ht="15" customHeight="1"/>
    <row r="518" s="41" customFormat="1" ht="15" customHeight="1"/>
    <row r="519" s="41" customFormat="1" ht="15" customHeight="1"/>
    <row r="520" s="41" customFormat="1" ht="15" customHeight="1"/>
    <row r="521" s="41" customFormat="1" ht="15" customHeight="1"/>
    <row r="522" s="41" customFormat="1" ht="15" customHeight="1"/>
    <row r="523" s="41" customFormat="1" ht="15" customHeight="1"/>
    <row r="524" s="41" customFormat="1" ht="15" customHeight="1"/>
    <row r="525" s="41" customFormat="1" ht="15" customHeight="1"/>
    <row r="526" s="41" customFormat="1" ht="15" customHeight="1"/>
    <row r="527" s="41" customFormat="1" ht="15" customHeight="1"/>
    <row r="528" s="41" customFormat="1" ht="15" customHeight="1"/>
    <row r="529" s="41" customFormat="1" ht="15" customHeight="1"/>
    <row r="530" s="41" customFormat="1" ht="15" customHeight="1"/>
    <row r="531" s="41" customFormat="1" ht="15" customHeight="1"/>
    <row r="532" s="41" customFormat="1" ht="15" customHeight="1"/>
    <row r="533" s="41" customFormat="1" ht="15" customHeight="1"/>
    <row r="534" s="41" customFormat="1" ht="15" customHeight="1"/>
    <row r="535" s="41" customFormat="1" ht="15" customHeight="1"/>
    <row r="536" s="41" customFormat="1" ht="15" customHeight="1"/>
    <row r="537" s="41" customFormat="1" ht="15" customHeight="1"/>
    <row r="538" s="41" customFormat="1" ht="15" customHeight="1"/>
    <row r="539" s="41" customFormat="1" ht="15" customHeight="1"/>
    <row r="540" s="41" customFormat="1" ht="15" customHeight="1"/>
    <row r="541" s="41" customFormat="1" ht="15" customHeight="1"/>
    <row r="542" s="41" customFormat="1" ht="15" customHeight="1"/>
    <row r="543" s="41" customFormat="1" ht="15" customHeight="1"/>
    <row r="544" s="41" customFormat="1" ht="15" customHeight="1"/>
    <row r="545" s="41" customFormat="1" ht="15" customHeight="1"/>
    <row r="546" s="41" customFormat="1" ht="15" customHeight="1"/>
    <row r="547" s="41" customFormat="1" ht="15" customHeight="1"/>
    <row r="548" s="41" customFormat="1" ht="15" customHeight="1"/>
    <row r="549" s="41" customFormat="1" ht="15" customHeight="1"/>
    <row r="550" s="41" customFormat="1" ht="15" customHeight="1"/>
    <row r="551" s="41" customFormat="1" ht="15" customHeight="1"/>
    <row r="552" s="41" customFormat="1" ht="15" customHeight="1"/>
    <row r="553" s="41" customFormat="1" ht="15" customHeight="1"/>
    <row r="554" s="41" customFormat="1" ht="15" customHeight="1"/>
    <row r="555" s="41" customFormat="1" ht="15" customHeight="1"/>
    <row r="556" s="41" customFormat="1" ht="15" customHeight="1"/>
    <row r="557" s="41" customFormat="1" ht="15" customHeight="1"/>
    <row r="558" s="41" customFormat="1" ht="15" customHeight="1"/>
    <row r="559" s="41" customFormat="1" ht="15" customHeight="1"/>
    <row r="560" s="41" customFormat="1" ht="15" customHeight="1"/>
    <row r="561" s="41" customFormat="1" ht="15" customHeight="1"/>
    <row r="562" s="41" customFormat="1" ht="15" customHeight="1"/>
    <row r="563" s="41" customFormat="1" ht="15" customHeight="1"/>
    <row r="564" s="41" customFormat="1" ht="15" customHeight="1"/>
    <row r="565" s="41" customFormat="1" ht="15" customHeight="1"/>
    <row r="566" s="41" customFormat="1" ht="15" customHeight="1"/>
    <row r="567" s="41" customFormat="1" ht="15" customHeight="1"/>
    <row r="568" s="41" customFormat="1" ht="15" customHeight="1"/>
    <row r="569" s="41" customFormat="1" ht="15" customHeight="1"/>
    <row r="570" s="41" customFormat="1" ht="15" customHeight="1"/>
    <row r="571" s="41" customFormat="1" ht="15" customHeight="1"/>
    <row r="572" s="41" customFormat="1" ht="15" customHeight="1"/>
    <row r="573" s="41" customFormat="1" ht="15" customHeight="1"/>
    <row r="574" s="41" customFormat="1" ht="15" customHeight="1"/>
    <row r="575" s="41" customFormat="1" ht="15" customHeight="1"/>
    <row r="576" s="41" customFormat="1" ht="15" customHeight="1"/>
    <row r="577" s="41" customFormat="1" ht="15" customHeight="1"/>
    <row r="578" s="41" customFormat="1" ht="15" customHeight="1"/>
    <row r="579" s="41" customFormat="1" ht="15" customHeight="1"/>
    <row r="580" s="41" customFormat="1" ht="15" customHeight="1"/>
    <row r="581" s="41" customFormat="1" ht="15" customHeight="1"/>
    <row r="582" s="41" customFormat="1" ht="15" customHeight="1"/>
    <row r="583" s="41" customFormat="1" ht="15" customHeight="1"/>
    <row r="584" s="41" customFormat="1" ht="15" customHeight="1"/>
    <row r="585" s="41" customFormat="1" ht="15" customHeight="1"/>
    <row r="586" s="41" customFormat="1" ht="15" customHeight="1"/>
    <row r="587" s="41" customFormat="1" ht="15" customHeight="1"/>
    <row r="588" s="41" customFormat="1" ht="15" customHeight="1"/>
    <row r="589" s="41" customFormat="1" ht="15" customHeight="1"/>
    <row r="590" s="41" customFormat="1" ht="15" customHeight="1"/>
    <row r="591" s="41" customFormat="1" ht="15" customHeight="1"/>
    <row r="592" s="41" customFormat="1" ht="15" customHeight="1"/>
    <row r="593" s="41" customFormat="1" ht="15" customHeight="1"/>
    <row r="594" s="41" customFormat="1" ht="15" customHeight="1"/>
    <row r="595" s="41" customFormat="1" ht="15" customHeight="1"/>
    <row r="596" s="41" customFormat="1" ht="15" customHeight="1"/>
    <row r="597" s="41" customFormat="1" ht="15" customHeight="1"/>
    <row r="598" s="41" customFormat="1" ht="15" customHeight="1"/>
    <row r="599" s="41" customFormat="1" ht="15" customHeight="1"/>
    <row r="600" s="41" customFormat="1" ht="15" customHeight="1"/>
    <row r="601" s="41" customFormat="1" ht="15" customHeight="1"/>
    <row r="602" s="41" customFormat="1" ht="15" customHeight="1"/>
    <row r="603" s="41" customFormat="1" ht="15" customHeight="1"/>
    <row r="604" s="41" customFormat="1" ht="15" customHeight="1"/>
    <row r="605" s="41" customFormat="1" ht="15" customHeight="1"/>
    <row r="606" s="41" customFormat="1" ht="15" customHeight="1"/>
    <row r="607" s="41" customFormat="1" ht="15" customHeight="1"/>
    <row r="608" s="41" customFormat="1" ht="15" customHeight="1"/>
    <row r="609" s="41" customFormat="1" ht="15" customHeight="1"/>
    <row r="610" s="41" customFormat="1" ht="15" customHeight="1"/>
    <row r="611" s="41" customFormat="1" ht="15" customHeight="1"/>
    <row r="612" s="41" customFormat="1" ht="15" customHeight="1"/>
    <row r="613" s="41" customFormat="1" ht="15" customHeight="1"/>
    <row r="614" s="41" customFormat="1" ht="15" customHeight="1"/>
    <row r="615" s="41" customFormat="1" ht="15" customHeight="1"/>
    <row r="616" s="41" customFormat="1" ht="15" customHeight="1"/>
    <row r="617" s="41" customFormat="1" ht="15" customHeight="1"/>
    <row r="618" s="41" customFormat="1" ht="15" customHeight="1"/>
    <row r="619" s="41" customFormat="1" ht="15" customHeight="1"/>
    <row r="620" s="41" customFormat="1" ht="15" customHeight="1"/>
    <row r="621" s="41" customFormat="1" ht="15" customHeight="1"/>
    <row r="622" s="41" customFormat="1" ht="15" customHeight="1"/>
    <row r="623" s="41" customFormat="1" ht="15" customHeight="1"/>
    <row r="624" s="41" customFormat="1" ht="15" customHeight="1"/>
    <row r="625" s="41" customFormat="1" ht="15" customHeight="1"/>
    <row r="626" s="41" customFormat="1" ht="15" customHeight="1"/>
    <row r="627" s="41" customFormat="1" ht="15" customHeight="1"/>
    <row r="628" s="41" customFormat="1" ht="15" customHeight="1"/>
    <row r="629" s="41" customFormat="1" ht="15" customHeight="1"/>
    <row r="630" s="41" customFormat="1" ht="15" customHeight="1"/>
    <row r="631" s="41" customFormat="1" ht="15" customHeight="1"/>
    <row r="632" s="41" customFormat="1" ht="15" customHeight="1"/>
    <row r="633" s="41" customFormat="1" ht="15" customHeight="1"/>
    <row r="634" s="41" customFormat="1" ht="15" customHeight="1"/>
    <row r="635" s="41" customFormat="1" ht="15" customHeight="1"/>
    <row r="636" s="41" customFormat="1" ht="15" customHeight="1"/>
    <row r="637" s="41" customFormat="1" ht="15" customHeight="1"/>
    <row r="638" s="41" customFormat="1" ht="15" customHeight="1"/>
    <row r="639" s="41" customFormat="1" ht="15" customHeight="1"/>
    <row r="640" s="41" customFormat="1" ht="15" customHeight="1"/>
    <row r="641" s="41" customFormat="1" ht="15" customHeight="1"/>
    <row r="642" s="41" customFormat="1" ht="15" customHeight="1"/>
    <row r="643" s="41" customFormat="1" ht="15" customHeight="1"/>
    <row r="644" s="41" customFormat="1" ht="15" customHeight="1"/>
    <row r="645" s="41" customFormat="1" ht="15" customHeight="1"/>
    <row r="646" s="41" customFormat="1" ht="15" customHeight="1"/>
    <row r="647" s="41" customFormat="1" ht="15" customHeight="1"/>
    <row r="648" s="41" customFormat="1" ht="15" customHeight="1"/>
    <row r="649" s="41" customFormat="1" ht="15" customHeight="1"/>
    <row r="650" s="41" customFormat="1" ht="15" customHeight="1"/>
    <row r="651" s="41" customFormat="1" ht="15" customHeight="1"/>
    <row r="652" s="41" customFormat="1" ht="15" customHeight="1"/>
    <row r="653" s="41" customFormat="1" ht="15" customHeight="1"/>
    <row r="654" s="41" customFormat="1" ht="15" customHeight="1"/>
    <row r="655" s="41" customFormat="1" ht="15" customHeight="1"/>
    <row r="656" s="41" customFormat="1" ht="15" customHeight="1"/>
    <row r="657" s="41" customFormat="1" ht="15" customHeight="1"/>
    <row r="658" s="41" customFormat="1" ht="15" customHeight="1"/>
    <row r="659" s="41" customFormat="1" ht="15" customHeight="1"/>
    <row r="660" s="41" customFormat="1" ht="15" customHeight="1"/>
    <row r="661" s="41" customFormat="1" ht="15" customHeight="1"/>
    <row r="662" s="41" customFormat="1" ht="15" customHeight="1"/>
    <row r="663" s="41" customFormat="1" ht="15" customHeight="1"/>
    <row r="664" s="41" customFormat="1" ht="15" customHeight="1"/>
    <row r="665" s="41" customFormat="1" ht="15" customHeight="1"/>
    <row r="666" s="41" customFormat="1" ht="15" customHeight="1"/>
    <row r="667" s="41" customFormat="1" ht="15" customHeight="1"/>
    <row r="668" s="41" customFormat="1" ht="15" customHeight="1"/>
    <row r="669" s="41" customFormat="1" ht="15" customHeight="1"/>
    <row r="670" s="41" customFormat="1" ht="15" customHeight="1"/>
    <row r="671" s="41" customFormat="1" ht="15" customHeight="1"/>
    <row r="672" s="41" customFormat="1" ht="15" customHeight="1"/>
    <row r="673" s="41" customFormat="1" ht="15" customHeight="1"/>
    <row r="674" s="41" customFormat="1" ht="15" customHeight="1"/>
    <row r="675" s="41" customFormat="1" ht="15" customHeight="1"/>
    <row r="676" s="41" customFormat="1" ht="15" customHeight="1"/>
    <row r="677" s="41" customFormat="1" ht="15" customHeight="1"/>
    <row r="678" s="41" customFormat="1" ht="15" customHeight="1"/>
    <row r="679" s="41" customFormat="1" ht="15" customHeight="1"/>
    <row r="680" s="41" customFormat="1" ht="15" customHeight="1"/>
    <row r="681" s="41" customFormat="1" ht="15" customHeight="1"/>
    <row r="682" s="41" customFormat="1" ht="15" customHeight="1"/>
    <row r="683" s="41" customFormat="1" ht="15" customHeight="1"/>
    <row r="684" s="41" customFormat="1" ht="15" customHeight="1"/>
    <row r="685" s="41" customFormat="1" ht="15" customHeight="1"/>
    <row r="686" s="41" customFormat="1" ht="15" customHeight="1"/>
    <row r="687" s="41" customFormat="1" ht="15" customHeight="1"/>
    <row r="688" s="41" customFormat="1" ht="15" customHeight="1"/>
    <row r="689" s="41" customFormat="1" ht="15" customHeight="1"/>
    <row r="690" s="41" customFormat="1" ht="15" customHeight="1"/>
    <row r="691" s="41" customFormat="1" ht="15" customHeight="1"/>
    <row r="692" s="41" customFormat="1" ht="15" customHeight="1"/>
    <row r="693" s="41" customFormat="1" ht="15" customHeight="1"/>
    <row r="694" s="41" customFormat="1" ht="15" customHeight="1"/>
    <row r="695" s="41" customFormat="1" ht="15" customHeight="1"/>
    <row r="696" s="41" customFormat="1" ht="15" customHeight="1"/>
    <row r="697" s="41" customFormat="1" ht="15" customHeight="1"/>
    <row r="698" s="41" customFormat="1" ht="15" customHeight="1"/>
    <row r="699" s="41" customFormat="1" ht="15" customHeight="1"/>
    <row r="700" s="41" customFormat="1" ht="15" customHeight="1"/>
    <row r="701" s="41" customFormat="1" ht="15" customHeight="1"/>
    <row r="702" s="41" customFormat="1" ht="15" customHeight="1"/>
    <row r="703" s="41" customFormat="1" ht="15" customHeight="1"/>
    <row r="704" s="41" customFormat="1" ht="15" customHeight="1"/>
    <row r="705" s="41" customFormat="1" ht="15" customHeight="1"/>
    <row r="706" s="41" customFormat="1" ht="15" customHeight="1"/>
    <row r="707" s="41" customFormat="1" ht="15" customHeight="1"/>
    <row r="708" s="41" customFormat="1" ht="15" customHeight="1"/>
    <row r="709" s="41" customFormat="1" ht="15" customHeight="1"/>
    <row r="710" s="41" customFormat="1" ht="15" customHeight="1"/>
    <row r="711" s="41" customFormat="1" ht="15" customHeight="1"/>
    <row r="712" s="41" customFormat="1" ht="15" customHeight="1"/>
    <row r="713" s="41" customFormat="1" ht="15" customHeight="1"/>
    <row r="714" s="41" customFormat="1" ht="15" customHeight="1"/>
    <row r="715" s="41" customFormat="1" ht="15" customHeight="1"/>
    <row r="716" s="41" customFormat="1" ht="15" customHeight="1"/>
    <row r="717" s="41" customFormat="1" ht="15" customHeight="1"/>
    <row r="718" s="41" customFormat="1" ht="15" customHeight="1"/>
    <row r="719" s="41" customFormat="1" ht="15" customHeight="1"/>
    <row r="720" s="41" customFormat="1" ht="15" customHeight="1"/>
    <row r="721" s="41" customFormat="1" ht="15" customHeight="1"/>
    <row r="722" s="41" customFormat="1" ht="15" customHeight="1"/>
    <row r="723" s="41" customFormat="1" ht="15" customHeight="1"/>
    <row r="724" s="41" customFormat="1" ht="15" customHeight="1"/>
    <row r="725" s="41" customFormat="1" ht="15" customHeight="1"/>
    <row r="726" s="41" customFormat="1" ht="15" customHeight="1"/>
    <row r="727" s="41" customFormat="1" ht="15" customHeight="1"/>
    <row r="728" s="41" customFormat="1" ht="15" customHeight="1"/>
    <row r="729" s="41" customFormat="1" ht="15" customHeight="1"/>
    <row r="730" s="41" customFormat="1" ht="15" customHeight="1"/>
    <row r="731" s="41" customFormat="1" ht="15" customHeight="1"/>
    <row r="732" s="41" customFormat="1" ht="15" customHeight="1"/>
    <row r="733" s="41" customFormat="1" ht="15" customHeight="1"/>
    <row r="734" s="41" customFormat="1" ht="15" customHeight="1"/>
    <row r="735" s="41" customFormat="1" ht="15" customHeight="1"/>
    <row r="736" s="41" customFormat="1" ht="15" customHeight="1"/>
    <row r="737" s="41" customFormat="1" ht="15" customHeight="1"/>
    <row r="738" s="41" customFormat="1" ht="15" customHeight="1"/>
    <row r="739" s="41" customFormat="1" ht="15" customHeight="1"/>
    <row r="740" s="41" customFormat="1" ht="15" customHeight="1"/>
    <row r="741" s="41" customFormat="1" ht="15" customHeight="1"/>
    <row r="742" s="41" customFormat="1" ht="15" customHeight="1"/>
    <row r="743" s="41" customFormat="1" ht="15" customHeight="1"/>
    <row r="744" s="41" customFormat="1" ht="15" customHeight="1"/>
    <row r="745" s="41" customFormat="1" ht="15" customHeight="1"/>
    <row r="746" s="41" customFormat="1" ht="15" customHeight="1"/>
    <row r="747" s="41" customFormat="1" ht="15" customHeight="1"/>
    <row r="748" s="41" customFormat="1" ht="15" customHeight="1"/>
    <row r="749" s="41" customFormat="1" ht="15" customHeight="1"/>
    <row r="750" s="41" customFormat="1" ht="15" customHeight="1"/>
    <row r="751" s="41" customFormat="1" ht="15" customHeight="1"/>
    <row r="752" s="41" customFormat="1" ht="15" customHeight="1"/>
    <row r="753" s="41" customFormat="1" ht="15" customHeight="1"/>
    <row r="754" s="41" customFormat="1" ht="15" customHeight="1"/>
    <row r="755" s="41" customFormat="1" ht="15" customHeight="1"/>
    <row r="756" s="41" customFormat="1" ht="15" customHeight="1"/>
    <row r="757" s="41" customFormat="1" ht="15" customHeight="1"/>
    <row r="758" s="41" customFormat="1" ht="15" customHeight="1"/>
    <row r="759" s="41" customFormat="1" ht="15" customHeight="1"/>
    <row r="760" s="41" customFormat="1" ht="15" customHeight="1"/>
    <row r="761" s="41" customFormat="1" ht="15" customHeight="1"/>
    <row r="762" s="41" customFormat="1" ht="15" customHeight="1"/>
    <row r="763" s="41" customFormat="1" ht="15" customHeight="1"/>
    <row r="764" s="41" customFormat="1" ht="15" customHeight="1"/>
    <row r="765" s="41" customFormat="1" ht="15" customHeight="1"/>
    <row r="766" s="41" customFormat="1" ht="15" customHeight="1"/>
    <row r="767" s="41" customFormat="1" ht="15" customHeight="1"/>
    <row r="768" s="41" customFormat="1" ht="15" customHeight="1"/>
    <row r="769" s="41" customFormat="1" ht="15" customHeight="1"/>
    <row r="770" s="41" customFormat="1" ht="15" customHeight="1"/>
    <row r="771" s="41" customFormat="1" ht="15" customHeight="1"/>
    <row r="772" s="41" customFormat="1" ht="15" customHeight="1"/>
    <row r="773" s="41" customFormat="1" ht="15" customHeight="1"/>
    <row r="774" s="41" customFormat="1" ht="15" customHeight="1"/>
    <row r="775" s="41" customFormat="1" ht="15" customHeight="1"/>
    <row r="776" s="41" customFormat="1" ht="15" customHeight="1"/>
    <row r="777" s="41" customFormat="1" ht="15" customHeight="1"/>
    <row r="778" s="41" customFormat="1" ht="15" customHeight="1"/>
    <row r="779" s="41" customFormat="1" ht="15" customHeight="1"/>
    <row r="780" s="41" customFormat="1" ht="15" customHeight="1"/>
    <row r="781" s="41" customFormat="1" ht="15" customHeight="1"/>
    <row r="782" s="41" customFormat="1" ht="15" customHeight="1"/>
    <row r="783" s="41" customFormat="1" ht="15" customHeight="1"/>
    <row r="784" s="41" customFormat="1" ht="15" customHeight="1"/>
    <row r="785" s="41" customFormat="1" ht="15" customHeight="1"/>
    <row r="786" s="41" customFormat="1" ht="15" customHeight="1"/>
    <row r="787" s="41" customFormat="1" ht="15" customHeight="1"/>
    <row r="788" s="41" customFormat="1" ht="15" customHeight="1"/>
    <row r="789" s="41" customFormat="1" ht="15" customHeight="1"/>
    <row r="790" s="41" customFormat="1" ht="15" customHeight="1"/>
    <row r="791" s="41" customFormat="1" ht="15" customHeight="1"/>
    <row r="792" s="41" customFormat="1" ht="15" customHeight="1"/>
    <row r="793" s="41" customFormat="1" ht="15" customHeight="1"/>
    <row r="794" s="41" customFormat="1" ht="15" customHeight="1"/>
    <row r="795" s="41" customFormat="1" ht="15" customHeight="1"/>
    <row r="796" s="41" customFormat="1" ht="15" customHeight="1"/>
    <row r="797" s="41" customFormat="1" ht="15" customHeight="1"/>
    <row r="798" s="41" customFormat="1" ht="15" customHeight="1"/>
    <row r="799" s="41" customFormat="1" ht="15" customHeight="1"/>
    <row r="800" s="41" customFormat="1" ht="15" customHeight="1"/>
    <row r="801" s="41" customFormat="1" ht="15" customHeight="1"/>
    <row r="802" s="41" customFormat="1" ht="15" customHeight="1"/>
    <row r="803" s="41" customFormat="1" ht="15" customHeight="1"/>
    <row r="804" s="41" customFormat="1" ht="15" customHeight="1"/>
    <row r="805" s="41" customFormat="1" ht="15" customHeight="1"/>
    <row r="806" s="41" customFormat="1" ht="15" customHeight="1"/>
    <row r="807" s="41" customFormat="1" ht="15" customHeight="1"/>
    <row r="808" s="41" customFormat="1" ht="15" customHeight="1"/>
    <row r="809" s="41" customFormat="1" ht="15" customHeight="1"/>
    <row r="810" s="41" customFormat="1" ht="15" customHeight="1"/>
    <row r="811" s="41" customFormat="1" ht="15" customHeight="1"/>
    <row r="812" s="41" customFormat="1" ht="15" customHeight="1"/>
    <row r="813" s="41" customFormat="1" ht="15" customHeight="1"/>
    <row r="814" s="41" customFormat="1" ht="15" customHeight="1"/>
    <row r="815" s="41" customFormat="1" ht="15" customHeight="1"/>
    <row r="816" s="41" customFormat="1" ht="15" customHeight="1"/>
    <row r="817" s="41" customFormat="1" ht="15" customHeight="1"/>
    <row r="818" s="41" customFormat="1" ht="15" customHeight="1"/>
    <row r="819" s="41" customFormat="1" ht="15" customHeight="1"/>
    <row r="820" s="41" customFormat="1" ht="15" customHeight="1"/>
    <row r="821" s="41" customFormat="1" ht="15" customHeight="1"/>
    <row r="822" s="41" customFormat="1" ht="15" customHeight="1"/>
    <row r="823" s="41" customFormat="1" ht="15" customHeight="1"/>
    <row r="824" s="41" customFormat="1" ht="15" customHeight="1"/>
    <row r="825" s="41" customFormat="1" ht="15" customHeight="1"/>
    <row r="826" s="41" customFormat="1" ht="15" customHeight="1"/>
    <row r="827" s="41" customFormat="1" ht="15" customHeight="1"/>
    <row r="828" s="41" customFormat="1" ht="15" customHeight="1"/>
    <row r="829" s="41" customFormat="1" ht="15" customHeight="1"/>
    <row r="830" s="41" customFormat="1" ht="15" customHeight="1"/>
    <row r="831" s="41" customFormat="1" ht="15" customHeight="1"/>
    <row r="832" s="41" customFormat="1" ht="15" customHeight="1"/>
    <row r="833" s="41" customFormat="1" ht="15" customHeight="1"/>
    <row r="834" s="41" customFormat="1" ht="15" customHeight="1"/>
    <row r="835" s="41" customFormat="1" ht="15" customHeight="1"/>
    <row r="836" s="41" customFormat="1" ht="15" customHeight="1"/>
    <row r="837" s="41" customFormat="1" ht="15" customHeight="1"/>
    <row r="838" s="41" customFormat="1" ht="15" customHeight="1"/>
    <row r="839" s="41" customFormat="1" ht="15" customHeight="1"/>
    <row r="840" s="41" customFormat="1" ht="15" customHeight="1"/>
    <row r="841" s="41" customFormat="1" ht="15" customHeight="1"/>
    <row r="842" s="41" customFormat="1" ht="15" customHeight="1"/>
    <row r="843" s="41" customFormat="1" ht="15" customHeight="1"/>
    <row r="844" s="41" customFormat="1" ht="15" customHeight="1"/>
    <row r="845" s="41" customFormat="1" ht="15" customHeight="1"/>
    <row r="846" s="41" customFormat="1" ht="15" customHeight="1"/>
    <row r="847" s="41" customFormat="1" ht="15" customHeight="1"/>
    <row r="848" s="41" customFormat="1" ht="15" customHeight="1"/>
    <row r="849" s="41" customFormat="1" ht="15" customHeight="1"/>
    <row r="850" s="41" customFormat="1" ht="15" customHeight="1"/>
    <row r="851" s="41" customFormat="1" ht="15" customHeight="1"/>
    <row r="852" s="41" customFormat="1" ht="15" customHeight="1"/>
    <row r="853" s="41" customFormat="1" ht="15" customHeight="1"/>
    <row r="854" s="41" customFormat="1" ht="15" customHeight="1"/>
    <row r="855" s="41" customFormat="1" ht="15" customHeight="1"/>
    <row r="856" s="41" customFormat="1" ht="15" customHeight="1"/>
    <row r="857" s="41" customFormat="1" ht="15" customHeight="1"/>
    <row r="858" s="41" customFormat="1" ht="15" customHeight="1"/>
    <row r="859" s="41" customFormat="1" ht="15" customHeight="1"/>
    <row r="860" s="41" customFormat="1" ht="15" customHeight="1"/>
    <row r="861" s="41" customFormat="1" ht="15" customHeight="1"/>
    <row r="862" s="41" customFormat="1" ht="15" customHeight="1"/>
    <row r="863" s="41" customFormat="1" ht="15" customHeight="1"/>
    <row r="864" s="41" customFormat="1" ht="15" customHeight="1"/>
    <row r="865" s="41" customFormat="1" ht="15" customHeight="1"/>
    <row r="866" s="41" customFormat="1" ht="15" customHeight="1"/>
    <row r="867" s="41" customFormat="1" ht="15" customHeight="1"/>
    <row r="868" s="41" customFormat="1" ht="15" customHeight="1"/>
    <row r="869" s="41" customFormat="1" ht="15" customHeight="1"/>
    <row r="870" s="41" customFormat="1" ht="15" customHeight="1"/>
    <row r="871" s="41" customFormat="1" ht="15" customHeight="1"/>
    <row r="872" s="41" customFormat="1" ht="15" customHeight="1"/>
    <row r="873" s="41" customFormat="1" ht="15" customHeight="1"/>
    <row r="874" s="41" customFormat="1" ht="15" customHeight="1"/>
    <row r="875" s="41" customFormat="1" ht="15" customHeight="1"/>
    <row r="876" s="41" customFormat="1" ht="15" customHeight="1"/>
    <row r="877" s="41" customFormat="1" ht="15" customHeight="1"/>
    <row r="878" s="41" customFormat="1" ht="15" customHeight="1"/>
    <row r="879" s="41" customFormat="1" ht="15" customHeight="1"/>
    <row r="880" s="41" customFormat="1" ht="15" customHeight="1"/>
    <row r="881" s="41" customFormat="1" ht="15" customHeight="1"/>
    <row r="882" s="41" customFormat="1" ht="15" customHeight="1"/>
    <row r="883" s="41" customFormat="1" ht="15" customHeight="1"/>
    <row r="884" s="41" customFormat="1" ht="15" customHeight="1"/>
    <row r="885" s="41" customFormat="1" ht="15" customHeight="1"/>
    <row r="886" s="41" customFormat="1" ht="15" customHeight="1"/>
    <row r="887" s="41" customFormat="1" ht="15" customHeight="1"/>
    <row r="888" s="41" customFormat="1" ht="15" customHeight="1"/>
    <row r="889" s="41" customFormat="1" ht="15" customHeight="1"/>
    <row r="890" s="41" customFormat="1" ht="15" customHeight="1"/>
    <row r="891" s="41" customFormat="1" ht="15" customHeight="1"/>
    <row r="892" s="41" customFormat="1" ht="15" customHeight="1"/>
    <row r="893" s="41" customFormat="1" ht="15" customHeight="1"/>
    <row r="894" s="41" customFormat="1" ht="15" customHeight="1"/>
    <row r="895" s="41" customFormat="1" ht="15" customHeight="1"/>
    <row r="896" s="41" customFormat="1" ht="15" customHeight="1"/>
    <row r="897" s="41" customFormat="1" ht="15" customHeight="1"/>
    <row r="898" s="41" customFormat="1" ht="15" customHeight="1"/>
    <row r="899" s="41" customFormat="1" ht="15" customHeight="1"/>
    <row r="900" s="41" customFormat="1" ht="15" customHeight="1"/>
    <row r="901" s="41" customFormat="1" ht="15" customHeight="1"/>
    <row r="902" s="41" customFormat="1" ht="15" customHeight="1"/>
    <row r="903" s="41" customFormat="1" ht="15" customHeight="1"/>
    <row r="904" s="41" customFormat="1" ht="15" customHeight="1"/>
    <row r="905" s="41" customFormat="1" ht="15" customHeight="1"/>
    <row r="906" s="41" customFormat="1" ht="15" customHeight="1"/>
    <row r="907" s="41" customFormat="1" ht="15" customHeight="1"/>
    <row r="908" s="41" customFormat="1" ht="15" customHeight="1"/>
    <row r="909" s="41" customFormat="1" ht="15" customHeight="1"/>
    <row r="910" s="41" customFormat="1" ht="15" customHeight="1"/>
    <row r="911" s="41" customFormat="1" ht="15" customHeight="1"/>
    <row r="912" s="41" customFormat="1" ht="15" customHeight="1"/>
    <row r="913" s="41" customFormat="1" ht="15" customHeight="1"/>
    <row r="914" s="41" customFormat="1" ht="15" customHeight="1"/>
    <row r="915" s="41" customFormat="1" ht="15" customHeight="1"/>
    <row r="916" s="41" customFormat="1" ht="15" customHeight="1"/>
    <row r="917" s="41" customFormat="1" ht="15" customHeight="1"/>
    <row r="918" s="41" customFormat="1" ht="15" customHeight="1"/>
    <row r="919" s="41" customFormat="1" ht="15" customHeight="1"/>
    <row r="920" s="41" customFormat="1" ht="15" customHeight="1"/>
    <row r="921" s="41" customFormat="1" ht="15" customHeight="1"/>
    <row r="922" s="41" customFormat="1" ht="15" customHeight="1"/>
    <row r="923" s="41" customFormat="1" ht="15" customHeight="1"/>
    <row r="924" s="41" customFormat="1" ht="15" customHeight="1"/>
    <row r="925" s="41" customFormat="1" ht="15" customHeight="1"/>
    <row r="926" s="41" customFormat="1" ht="15" customHeight="1"/>
    <row r="927" s="41" customFormat="1" ht="15" customHeight="1"/>
    <row r="928" s="41" customFormat="1" ht="15" customHeight="1"/>
    <row r="929" s="41" customFormat="1" ht="15" customHeight="1"/>
    <row r="930" s="41" customFormat="1" ht="15" customHeight="1"/>
    <row r="931" s="41" customFormat="1" ht="15" customHeight="1"/>
    <row r="932" s="41" customFormat="1" ht="15" customHeight="1"/>
    <row r="933" s="41" customFormat="1" ht="15" customHeight="1"/>
    <row r="934" s="41" customFormat="1" ht="15" customHeight="1"/>
    <row r="935" s="41" customFormat="1" ht="15" customHeight="1"/>
    <row r="936" s="41" customFormat="1" ht="15" customHeight="1"/>
    <row r="937" s="41" customFormat="1" ht="15" customHeight="1"/>
    <row r="938" s="41" customFormat="1" ht="15" customHeight="1"/>
    <row r="939" s="41" customFormat="1" ht="15" customHeight="1"/>
    <row r="940" s="41" customFormat="1" ht="15" customHeight="1"/>
    <row r="941" s="41" customFormat="1" ht="15" customHeight="1"/>
    <row r="942" s="41" customFormat="1" ht="15" customHeight="1"/>
    <row r="943" s="41" customFormat="1" ht="15" customHeight="1"/>
    <row r="944" s="41" customFormat="1" ht="15" customHeight="1"/>
    <row r="945" s="41" customFormat="1" ht="15" customHeight="1"/>
    <row r="946" s="41" customFormat="1" ht="15" customHeight="1"/>
    <row r="947" s="41" customFormat="1" ht="15" customHeight="1"/>
    <row r="948" s="41" customFormat="1" ht="15" customHeight="1"/>
    <row r="949" s="41" customFormat="1" ht="15" customHeight="1"/>
    <row r="950" s="41" customFormat="1" ht="15" customHeight="1"/>
    <row r="951" s="41" customFormat="1" ht="15" customHeight="1"/>
    <row r="952" s="41" customFormat="1" ht="15" customHeight="1"/>
    <row r="953" s="41" customFormat="1" ht="15" customHeight="1"/>
    <row r="954" s="41" customFormat="1" ht="15" customHeight="1"/>
    <row r="955" s="41" customFormat="1" ht="15" customHeight="1"/>
    <row r="956" s="41" customFormat="1" ht="15" customHeight="1"/>
    <row r="957" s="41" customFormat="1" ht="15" customHeight="1"/>
    <row r="958" s="41" customFormat="1" ht="15" customHeight="1"/>
    <row r="959" s="41" customFormat="1" ht="15" customHeight="1"/>
    <row r="960" s="41" customFormat="1" ht="15" customHeight="1"/>
    <row r="961" s="41" customFormat="1" ht="15" customHeight="1"/>
    <row r="962" s="41" customFormat="1" ht="15" customHeight="1"/>
    <row r="963" s="41" customFormat="1" ht="15" customHeight="1"/>
    <row r="964" s="41" customFormat="1" ht="15" customHeight="1"/>
    <row r="965" s="41" customFormat="1" ht="15" customHeight="1"/>
    <row r="966" s="41" customFormat="1" ht="15" customHeight="1"/>
    <row r="967" s="41" customFormat="1" ht="15" customHeight="1"/>
    <row r="968" s="41" customFormat="1" ht="15" customHeight="1"/>
    <row r="969" s="41" customFormat="1" ht="15" customHeight="1"/>
    <row r="970" s="41" customFormat="1" ht="15" customHeight="1"/>
    <row r="971" s="41" customFormat="1" ht="15" customHeight="1"/>
    <row r="972" s="41" customFormat="1" ht="15" customHeight="1"/>
    <row r="973" s="41" customFormat="1" ht="15" customHeight="1"/>
    <row r="974" s="41" customFormat="1" ht="15" customHeight="1"/>
    <row r="975" s="41" customFormat="1" ht="15" customHeight="1"/>
    <row r="976" s="41" customFormat="1" ht="15" customHeight="1"/>
    <row r="977" s="41" customFormat="1" ht="15" customHeight="1"/>
    <row r="978" s="41" customFormat="1" ht="15" customHeight="1"/>
    <row r="979" s="41" customFormat="1" ht="15" customHeight="1"/>
    <row r="980" s="41" customFormat="1" ht="15" customHeight="1"/>
    <row r="981" s="41" customFormat="1" ht="15" customHeight="1"/>
    <row r="982" s="41" customFormat="1" ht="15" customHeight="1"/>
    <row r="983" s="41" customFormat="1" ht="15" customHeight="1"/>
    <row r="984" s="41" customFormat="1" ht="15" customHeight="1"/>
    <row r="985" s="41" customFormat="1" ht="15" customHeight="1"/>
    <row r="986" s="41" customFormat="1" ht="15" customHeight="1"/>
    <row r="987" s="41" customFormat="1" ht="15" customHeight="1"/>
    <row r="988" s="41" customFormat="1" ht="15" customHeight="1"/>
    <row r="989" s="41" customFormat="1" ht="15" customHeight="1"/>
    <row r="990" s="41" customFormat="1" ht="15" customHeight="1"/>
    <row r="991" s="41" customFormat="1" ht="15" customHeight="1"/>
    <row r="992" s="41" customFormat="1" ht="15" customHeight="1"/>
    <row r="993" s="41" customFormat="1" ht="15" customHeight="1"/>
    <row r="994" s="41" customFormat="1" ht="15" customHeight="1"/>
    <row r="995" s="41" customFormat="1" ht="15" customHeight="1"/>
    <row r="996" s="41" customFormat="1" ht="15" customHeight="1"/>
    <row r="997" s="41" customFormat="1" ht="15" customHeight="1"/>
    <row r="998" s="41" customFormat="1" ht="15" customHeight="1"/>
    <row r="999" s="41" customFormat="1" ht="15" customHeight="1"/>
    <row r="1000" s="41" customFormat="1" ht="15" customHeight="1"/>
    <row r="1001" s="41" customFormat="1" ht="15" customHeight="1"/>
    <row r="1002" s="41" customFormat="1" ht="15" customHeight="1"/>
    <row r="1003" s="41" customFormat="1" ht="15" customHeight="1"/>
    <row r="1004" s="41" customFormat="1" ht="15" customHeight="1"/>
    <row r="1005" s="41" customFormat="1" ht="15" customHeight="1"/>
    <row r="1006" s="41" customFormat="1" ht="15" customHeight="1"/>
    <row r="1007" s="41" customFormat="1" ht="15" customHeight="1"/>
    <row r="1008" s="41" customFormat="1" ht="15" customHeight="1"/>
    <row r="1009" s="41" customFormat="1" ht="15" customHeight="1"/>
    <row r="1010" s="41" customFormat="1" ht="15" customHeight="1"/>
    <row r="1011" s="41" customFormat="1" ht="15" customHeight="1"/>
    <row r="1012" s="41" customFormat="1" ht="15" customHeight="1"/>
    <row r="1013" s="41" customFormat="1" ht="15" customHeight="1"/>
    <row r="1014" s="41" customFormat="1" ht="15" customHeight="1"/>
    <row r="1015" s="41" customFormat="1" ht="15" customHeight="1"/>
    <row r="1016" s="41" customFormat="1" ht="15" customHeight="1"/>
    <row r="1017" s="41" customFormat="1" ht="15" customHeight="1"/>
    <row r="1018" s="41" customFormat="1" ht="15" customHeight="1"/>
    <row r="1019" s="41" customFormat="1" ht="15" customHeight="1"/>
    <row r="1020" s="41" customFormat="1" ht="15" customHeight="1"/>
    <row r="1021" s="41" customFormat="1" ht="15" customHeight="1"/>
    <row r="1022" s="41" customFormat="1" ht="15" customHeight="1"/>
    <row r="1023" s="41" customFormat="1" ht="15" customHeight="1"/>
    <row r="1024" s="41" customFormat="1" ht="15" customHeight="1"/>
    <row r="1025" s="41" customFormat="1" ht="15" customHeight="1"/>
    <row r="1026" s="41" customFormat="1" ht="15" customHeight="1"/>
    <row r="1027" s="41" customFormat="1" ht="15" customHeight="1"/>
    <row r="1028" s="41" customFormat="1" ht="15" customHeight="1"/>
    <row r="1029" s="41" customFormat="1" ht="15" customHeight="1"/>
    <row r="1030" s="41" customFormat="1" ht="15" customHeight="1"/>
    <row r="1031" s="41" customFormat="1" ht="15" customHeight="1"/>
    <row r="1032" s="41" customFormat="1" ht="15" customHeight="1"/>
    <row r="1033" s="41" customFormat="1" ht="15" customHeight="1"/>
    <row r="1034" s="41" customFormat="1" ht="15" customHeight="1"/>
    <row r="1035" s="41" customFormat="1" ht="15" customHeight="1"/>
    <row r="1036" s="41" customFormat="1" ht="15" customHeight="1"/>
    <row r="1037" s="41" customFormat="1" ht="15" customHeight="1"/>
    <row r="1038" s="41" customFormat="1" ht="15" customHeight="1"/>
    <row r="1039" s="41" customFormat="1" ht="15" customHeight="1"/>
    <row r="1040" s="41" customFormat="1" ht="15" customHeight="1"/>
    <row r="1041" s="41" customFormat="1" ht="15" customHeight="1"/>
    <row r="1042" s="41" customFormat="1" ht="15" customHeight="1"/>
    <row r="1043" s="41" customFormat="1" ht="15" customHeight="1"/>
    <row r="1044" s="41" customFormat="1" ht="15" customHeight="1"/>
    <row r="1045" s="41" customFormat="1" ht="15" customHeight="1"/>
    <row r="1046" s="41" customFormat="1" ht="15" customHeight="1"/>
    <row r="1047" s="41" customFormat="1" ht="15" customHeight="1"/>
    <row r="1048" s="41" customFormat="1" ht="15" customHeight="1"/>
    <row r="1049" s="41" customFormat="1" ht="15" customHeight="1"/>
    <row r="1050" s="41" customFormat="1" ht="15" customHeight="1"/>
    <row r="1051" s="41" customFormat="1" ht="15" customHeight="1"/>
    <row r="1052" s="41" customFormat="1" ht="15" customHeight="1"/>
    <row r="1053" s="41" customFormat="1" ht="15" customHeight="1"/>
    <row r="1054" s="41" customFormat="1" ht="15" customHeight="1"/>
    <row r="1055" s="41" customFormat="1" ht="15" customHeight="1"/>
    <row r="1056" s="41" customFormat="1" ht="15" customHeight="1"/>
    <row r="1057" s="41" customFormat="1" ht="15" customHeight="1"/>
    <row r="1058" s="41" customFormat="1" ht="15" customHeight="1"/>
    <row r="1059" s="41" customFormat="1" ht="15" customHeight="1"/>
    <row r="1060" s="41" customFormat="1" ht="15" customHeight="1"/>
    <row r="1061" s="41" customFormat="1" ht="15" customHeight="1"/>
    <row r="1062" s="41" customFormat="1" ht="15" customHeight="1"/>
    <row r="1063" s="41" customFormat="1" ht="15" customHeight="1"/>
    <row r="1064" s="41" customFormat="1" ht="15" customHeight="1"/>
    <row r="1065" s="41" customFormat="1" ht="15" customHeight="1"/>
    <row r="1066" s="41" customFormat="1" ht="15" customHeight="1"/>
    <row r="1067" s="41" customFormat="1" ht="15" customHeight="1"/>
    <row r="1068" s="41" customFormat="1" ht="15" customHeight="1"/>
    <row r="1069" s="41" customFormat="1" ht="15" customHeight="1"/>
    <row r="1070" s="41" customFormat="1" ht="15" customHeight="1"/>
    <row r="1071" s="41" customFormat="1" ht="15" customHeight="1"/>
    <row r="1072" s="41" customFormat="1" ht="15" customHeight="1"/>
    <row r="1073" s="41" customFormat="1" ht="15" customHeight="1"/>
    <row r="1074" s="41" customFormat="1" ht="15" customHeight="1"/>
    <row r="1075" s="41" customFormat="1" ht="15" customHeight="1"/>
    <row r="1076" s="41" customFormat="1" ht="15" customHeight="1"/>
    <row r="1077" s="41" customFormat="1" ht="15" customHeight="1"/>
    <row r="1078" s="41" customFormat="1" ht="15" customHeight="1"/>
    <row r="1079" s="41" customFormat="1" ht="15" customHeight="1"/>
    <row r="1080" s="41" customFormat="1" ht="15" customHeight="1"/>
    <row r="1081" s="41" customFormat="1" ht="15" customHeight="1"/>
    <row r="1082" s="41" customFormat="1" ht="15" customHeight="1"/>
    <row r="1083" s="41" customFormat="1" ht="15" customHeight="1"/>
    <row r="1084" s="41" customFormat="1" ht="15" customHeight="1"/>
    <row r="1085" s="41" customFormat="1" ht="15" customHeight="1"/>
    <row r="1086" s="41" customFormat="1" ht="15" customHeight="1"/>
    <row r="1087" s="41" customFormat="1" ht="15" customHeight="1"/>
    <row r="1088" s="41" customFormat="1" ht="15" customHeight="1"/>
    <row r="1089" s="41" customFormat="1" ht="15" customHeight="1"/>
    <row r="1090" s="41" customFormat="1" ht="15" customHeight="1"/>
    <row r="1091" s="41" customFormat="1" ht="15" customHeight="1"/>
    <row r="1092" s="41" customFormat="1" ht="15" customHeight="1"/>
    <row r="1093" s="41" customFormat="1" ht="15" customHeight="1"/>
    <row r="1094" s="41" customFormat="1" ht="15" customHeight="1"/>
    <row r="1095" s="41" customFormat="1" ht="15" customHeight="1"/>
    <row r="1096" s="41" customFormat="1" ht="15" customHeight="1"/>
    <row r="1097" s="41" customFormat="1" ht="15" customHeight="1"/>
    <row r="1098" s="41" customFormat="1" ht="15" customHeight="1"/>
    <row r="1099" s="41" customFormat="1" ht="15" customHeight="1"/>
    <row r="1100" s="41" customFormat="1" ht="15" customHeight="1"/>
    <row r="1101" s="41" customFormat="1" ht="15" customHeight="1"/>
    <row r="1102" s="41" customFormat="1" ht="15" customHeight="1"/>
    <row r="1103" s="41" customFormat="1" ht="15" customHeight="1"/>
    <row r="1104" s="41" customFormat="1" ht="15" customHeight="1"/>
    <row r="1105" s="41" customFormat="1" ht="15" customHeight="1"/>
    <row r="1106" s="41" customFormat="1" ht="15" customHeight="1"/>
    <row r="1107" s="41" customFormat="1" ht="15" customHeight="1"/>
    <row r="1108" s="41" customFormat="1" ht="15" customHeight="1"/>
    <row r="1109" s="41" customFormat="1" ht="15" customHeight="1"/>
    <row r="1110" s="41" customFormat="1" ht="15" customHeight="1"/>
    <row r="1111" s="41" customFormat="1" ht="15" customHeight="1"/>
    <row r="1112" s="41" customFormat="1" ht="15" customHeight="1"/>
    <row r="1113" s="41" customFormat="1" ht="15" customHeight="1"/>
    <row r="1114" s="41" customFormat="1" ht="15" customHeight="1"/>
    <row r="1115" s="41" customFormat="1" ht="15" customHeight="1"/>
    <row r="1116" s="41" customFormat="1" ht="15" customHeight="1"/>
    <row r="1117" s="41" customFormat="1" ht="15" customHeight="1"/>
    <row r="1118" s="41" customFormat="1" ht="15" customHeight="1"/>
    <row r="1119" s="41" customFormat="1" ht="15" customHeight="1"/>
    <row r="1120" s="41" customFormat="1" ht="15" customHeight="1"/>
    <row r="1121" s="41" customFormat="1" ht="15" customHeight="1"/>
    <row r="1122" s="41" customFormat="1" ht="15" customHeight="1"/>
    <row r="1123" s="41" customFormat="1" ht="15" customHeight="1"/>
    <row r="1124" s="41" customFormat="1" ht="15" customHeight="1"/>
    <row r="1125" s="41" customFormat="1" ht="15" customHeight="1"/>
    <row r="1126" s="41" customFormat="1" ht="15" customHeight="1"/>
    <row r="1127" s="41" customFormat="1" ht="15" customHeight="1"/>
    <row r="1128" s="41" customFormat="1" ht="15" customHeight="1"/>
    <row r="1129" s="41" customFormat="1" ht="15" customHeight="1"/>
    <row r="1130" s="41" customFormat="1" ht="15" customHeight="1"/>
    <row r="1131" s="41" customFormat="1" ht="15" customHeight="1"/>
    <row r="1132" s="41" customFormat="1" ht="15" customHeight="1"/>
    <row r="1133" s="41" customFormat="1" ht="15" customHeight="1"/>
    <row r="1134" s="41" customFormat="1" ht="15" customHeight="1"/>
    <row r="1135" s="41" customFormat="1" ht="15" customHeight="1"/>
    <row r="1136" s="41" customFormat="1" ht="15" customHeight="1"/>
    <row r="1137" s="41" customFormat="1" ht="15" customHeight="1"/>
    <row r="1138" s="41" customFormat="1" ht="15" customHeight="1"/>
    <row r="1139" s="41" customFormat="1" ht="15" customHeight="1"/>
    <row r="1140" s="41" customFormat="1" ht="15" customHeight="1"/>
    <row r="1141" s="41" customFormat="1" ht="15" customHeight="1"/>
    <row r="1142" s="41" customFormat="1" ht="15" customHeight="1"/>
    <row r="1143" s="41" customFormat="1" ht="15" customHeight="1"/>
    <row r="1144" s="41" customFormat="1" ht="15" customHeight="1"/>
    <row r="1145" s="41" customFormat="1" ht="15" customHeight="1"/>
    <row r="1146" s="41" customFormat="1" ht="15" customHeight="1"/>
    <row r="1147" s="41" customFormat="1" ht="15" customHeight="1"/>
    <row r="1148" s="41" customFormat="1" ht="15" customHeight="1"/>
    <row r="1149" s="41" customFormat="1" ht="15" customHeight="1"/>
    <row r="1150" s="41" customFormat="1" ht="15" customHeight="1"/>
    <row r="1151" s="41" customFormat="1" ht="15" customHeight="1"/>
    <row r="1152" s="41" customFormat="1" ht="15" customHeight="1"/>
    <row r="1153" s="41" customFormat="1" ht="15" customHeight="1"/>
    <row r="1154" s="41" customFormat="1" ht="15" customHeight="1"/>
    <row r="1155" s="41" customFormat="1" ht="15" customHeight="1"/>
    <row r="1156" s="41" customFormat="1" ht="15" customHeight="1"/>
    <row r="1157" s="41" customFormat="1" ht="15" customHeight="1"/>
    <row r="1158" s="41" customFormat="1" ht="15" customHeight="1"/>
    <row r="1159" s="41" customFormat="1" ht="15" customHeight="1"/>
    <row r="1160" s="41" customFormat="1" ht="15" customHeight="1"/>
    <row r="1161" s="41" customFormat="1" ht="15" customHeight="1"/>
    <row r="1162" s="41" customFormat="1" ht="15" customHeight="1"/>
    <row r="1163" s="41" customFormat="1" ht="15" customHeight="1"/>
    <row r="1164" s="41" customFormat="1" ht="15" customHeight="1"/>
    <row r="1165" s="41" customFormat="1" ht="15" customHeight="1"/>
    <row r="1166" s="41" customFormat="1" ht="15" customHeight="1"/>
    <row r="1167" s="41" customFormat="1" ht="15" customHeight="1"/>
    <row r="1168" s="41" customFormat="1" ht="15" customHeight="1"/>
    <row r="1169" s="41" customFormat="1" ht="15" customHeight="1"/>
    <row r="1170" s="41" customFormat="1" ht="15" customHeight="1"/>
    <row r="1171" s="41" customFormat="1" ht="15" customHeight="1"/>
    <row r="1172" s="41" customFormat="1" ht="15" customHeight="1"/>
    <row r="1173" s="41" customFormat="1" ht="15" customHeight="1"/>
    <row r="1174" s="41" customFormat="1" ht="15" customHeight="1"/>
    <row r="1175" s="41" customFormat="1" ht="15" customHeight="1"/>
    <row r="1176" s="41" customFormat="1" ht="15" customHeight="1"/>
    <row r="1177" s="41" customFormat="1" ht="15" customHeight="1"/>
    <row r="1178" s="41" customFormat="1" ht="15" customHeight="1"/>
    <row r="1179" s="41" customFormat="1" ht="15" customHeight="1"/>
    <row r="1180" s="41" customFormat="1" ht="15" customHeight="1"/>
    <row r="1181" s="41" customFormat="1" ht="15" customHeight="1"/>
    <row r="1182" s="41" customFormat="1" ht="15" customHeight="1"/>
    <row r="1183" s="41" customFormat="1" ht="15" customHeight="1"/>
    <row r="1184" s="41" customFormat="1" ht="15" customHeight="1"/>
    <row r="1185" s="41" customFormat="1" ht="15" customHeight="1"/>
    <row r="1186" s="41" customFormat="1" ht="15" customHeight="1"/>
    <row r="1187" s="41" customFormat="1" ht="15" customHeight="1"/>
    <row r="1188" s="41" customFormat="1" ht="15" customHeight="1"/>
    <row r="1189" s="41" customFormat="1" ht="15" customHeight="1"/>
    <row r="1190" s="41" customFormat="1" ht="15" customHeight="1"/>
    <row r="1191" s="41" customFormat="1" ht="15" customHeight="1"/>
    <row r="1192" s="41" customFormat="1" ht="15" customHeight="1"/>
    <row r="1193" s="41" customFormat="1" ht="15" customHeight="1"/>
    <row r="1194" s="41" customFormat="1" ht="15" customHeight="1"/>
    <row r="1195" s="41" customFormat="1" ht="15" customHeight="1"/>
    <row r="1196" s="41" customFormat="1" ht="15" customHeight="1"/>
    <row r="1197" s="41" customFormat="1" ht="15" customHeight="1"/>
    <row r="1198" s="41" customFormat="1" ht="15" customHeight="1"/>
    <row r="1199" s="41" customFormat="1" ht="15" customHeight="1"/>
    <row r="1200" s="41" customFormat="1" ht="15" customHeight="1"/>
    <row r="1201" s="41" customFormat="1" ht="15" customHeight="1"/>
    <row r="1202" s="41" customFormat="1" ht="15" customHeight="1"/>
    <row r="1203" s="41" customFormat="1" ht="15" customHeight="1"/>
    <row r="1204" s="41" customFormat="1" ht="15" customHeight="1"/>
    <row r="1205" s="41" customFormat="1" ht="15" customHeight="1"/>
    <row r="1206" s="41" customFormat="1" ht="15" customHeight="1"/>
    <row r="1207" s="41" customFormat="1" ht="15" customHeight="1"/>
    <row r="1208" s="41" customFormat="1" ht="15" customHeight="1"/>
    <row r="1209" s="41" customFormat="1" ht="15" customHeight="1"/>
    <row r="1210" s="41" customFormat="1" ht="15" customHeight="1"/>
    <row r="1211" s="41" customFormat="1" ht="15" customHeight="1"/>
    <row r="1212" s="41" customFormat="1" ht="15" customHeight="1"/>
    <row r="1213" s="41" customFormat="1" ht="15" customHeight="1"/>
    <row r="1214" s="41" customFormat="1" ht="15" customHeight="1"/>
    <row r="1215" s="41" customFormat="1" ht="15" customHeight="1"/>
    <row r="1216" s="41" customFormat="1" ht="15" customHeight="1"/>
    <row r="1217" s="41" customFormat="1" ht="15" customHeight="1"/>
    <row r="1218" s="41" customFormat="1" ht="15" customHeight="1"/>
    <row r="1219" s="41" customFormat="1" ht="15" customHeight="1"/>
    <row r="1220" s="41" customFormat="1" ht="15" customHeight="1"/>
    <row r="1221" s="41" customFormat="1" ht="15" customHeight="1"/>
    <row r="1222" s="41" customFormat="1" ht="15" customHeight="1"/>
    <row r="1223" s="41" customFormat="1" ht="15" customHeight="1"/>
    <row r="1224" s="41" customFormat="1" ht="15" customHeight="1"/>
    <row r="1225" s="41" customFormat="1" ht="15" customHeight="1"/>
    <row r="1226" s="41" customFormat="1" ht="15" customHeight="1"/>
    <row r="1227" s="41" customFormat="1" ht="15" customHeight="1"/>
    <row r="1228" s="41" customFormat="1" ht="15" customHeight="1"/>
    <row r="1229" s="41" customFormat="1" ht="15" customHeight="1"/>
    <row r="1230" s="41" customFormat="1" ht="15" customHeight="1"/>
    <row r="1231" s="41" customFormat="1" ht="15" customHeight="1"/>
    <row r="1232" s="41" customFormat="1" ht="15" customHeight="1"/>
    <row r="1233" s="41" customFormat="1" ht="15" customHeight="1"/>
    <row r="1234" s="41" customFormat="1" ht="15" customHeight="1"/>
    <row r="1235" s="41" customFormat="1" ht="15" customHeight="1"/>
    <row r="1236" s="41" customFormat="1" ht="15" customHeight="1"/>
    <row r="1237" s="41" customFormat="1" ht="15" customHeight="1"/>
    <row r="1238" s="41" customFormat="1" ht="15" customHeight="1"/>
    <row r="1239" s="41" customFormat="1" ht="15" customHeight="1"/>
    <row r="1240" s="41" customFormat="1" ht="15" customHeight="1"/>
    <row r="1241" s="41" customFormat="1" ht="15" customHeight="1"/>
    <row r="1242" s="41" customFormat="1" ht="15" customHeight="1"/>
    <row r="1243" s="41" customFormat="1" ht="15" customHeight="1"/>
    <row r="1244" s="41" customFormat="1" ht="15" customHeight="1"/>
    <row r="1245" s="41" customFormat="1" ht="15" customHeight="1"/>
    <row r="1246" s="41" customFormat="1" ht="15" customHeight="1"/>
    <row r="1247" s="41" customFormat="1" ht="15" customHeight="1"/>
    <row r="1248" s="41" customFormat="1" ht="15" customHeight="1"/>
    <row r="1249" s="41" customFormat="1" ht="15" customHeight="1"/>
    <row r="1250" s="41" customFormat="1" ht="15" customHeight="1"/>
    <row r="1251" s="41" customFormat="1" ht="15" customHeight="1"/>
    <row r="1252" s="41" customFormat="1" ht="15" customHeight="1"/>
    <row r="1253" s="41" customFormat="1" ht="15" customHeight="1"/>
    <row r="1254" s="41" customFormat="1" ht="15" customHeight="1"/>
    <row r="1255" s="41" customFormat="1" ht="15" customHeight="1"/>
    <row r="1256" s="41" customFormat="1" ht="15" customHeight="1"/>
    <row r="1257" s="41" customFormat="1" ht="15" customHeight="1"/>
    <row r="1258" s="41" customFormat="1" ht="15" customHeight="1"/>
    <row r="1259" s="41" customFormat="1" ht="15" customHeight="1"/>
    <row r="1260" s="41" customFormat="1" ht="15" customHeight="1"/>
    <row r="1261" s="41" customFormat="1" ht="15" customHeight="1"/>
    <row r="1262" s="41" customFormat="1" ht="15" customHeight="1"/>
    <row r="1263" s="41" customFormat="1" ht="15" customHeight="1"/>
    <row r="1264" s="41" customFormat="1" ht="15" customHeight="1"/>
    <row r="1265" s="41" customFormat="1" ht="15" customHeight="1"/>
    <row r="1266" s="41" customFormat="1" ht="15" customHeight="1"/>
    <row r="1267" s="41" customFormat="1" ht="15" customHeight="1"/>
    <row r="1268" s="41" customFormat="1" ht="15" customHeight="1"/>
    <row r="1269" s="41" customFormat="1" ht="15" customHeight="1"/>
    <row r="1270" s="41" customFormat="1" ht="15" customHeight="1"/>
    <row r="1271" s="41" customFormat="1" ht="15" customHeight="1"/>
    <row r="1272" s="41" customFormat="1" ht="15" customHeight="1"/>
    <row r="1273" s="41" customFormat="1" ht="15" customHeight="1"/>
    <row r="1274" s="41" customFormat="1" ht="15" customHeight="1"/>
    <row r="1275" s="41" customFormat="1" ht="15" customHeight="1"/>
    <row r="1276" s="41" customFormat="1" ht="15" customHeight="1"/>
    <row r="1277" s="41" customFormat="1" ht="15" customHeight="1"/>
    <row r="1278" s="41" customFormat="1" ht="15" customHeight="1"/>
    <row r="1279" s="41" customFormat="1" ht="15" customHeight="1"/>
    <row r="1280" s="41" customFormat="1" ht="15" customHeight="1"/>
    <row r="1281" s="41" customFormat="1" ht="15" customHeight="1"/>
    <row r="1282" s="41" customFormat="1" ht="15" customHeight="1"/>
    <row r="1283" s="41" customFormat="1" ht="15" customHeight="1"/>
    <row r="1284" s="41" customFormat="1" ht="15" customHeight="1"/>
    <row r="1285" s="41" customFormat="1" ht="15" customHeight="1"/>
    <row r="1286" s="41" customFormat="1" ht="15" customHeight="1"/>
    <row r="1287" s="41" customFormat="1" ht="15" customHeight="1"/>
    <row r="1288" s="41" customFormat="1" ht="15" customHeight="1"/>
    <row r="1289" s="41" customFormat="1" ht="15" customHeight="1"/>
    <row r="1290" s="41" customFormat="1" ht="15" customHeight="1"/>
    <row r="1291" s="41" customFormat="1" ht="15" customHeight="1"/>
    <row r="1292" s="41" customFormat="1" ht="15" customHeight="1"/>
    <row r="1293" s="41" customFormat="1" ht="15" customHeight="1"/>
    <row r="1294" s="41" customFormat="1" ht="15" customHeight="1"/>
    <row r="1295" s="41" customFormat="1" ht="15" customHeight="1"/>
    <row r="1296" s="41" customFormat="1" ht="15" customHeight="1"/>
    <row r="1297" s="41" customFormat="1" ht="15" customHeight="1"/>
    <row r="1298" s="41" customFormat="1" ht="15" customHeight="1"/>
    <row r="1299" s="41" customFormat="1" ht="15" customHeight="1"/>
    <row r="1300" s="41" customFormat="1" ht="15" customHeight="1"/>
    <row r="1301" s="41" customFormat="1" ht="15" customHeight="1"/>
    <row r="1302" s="41" customFormat="1" ht="15" customHeight="1"/>
    <row r="1303" s="41" customFormat="1" ht="15" customHeight="1"/>
    <row r="1304" s="41" customFormat="1" ht="15" customHeight="1"/>
    <row r="1305" s="41" customFormat="1" ht="15" customHeight="1"/>
    <row r="1306" s="41" customFormat="1" ht="15" customHeight="1"/>
    <row r="1307" s="41" customFormat="1" ht="15" customHeight="1"/>
    <row r="1308" s="41" customFormat="1" ht="15" customHeight="1"/>
    <row r="1309" s="41" customFormat="1" ht="15" customHeight="1"/>
    <row r="1310" s="41" customFormat="1" ht="15" customHeight="1"/>
    <row r="1311" s="41" customFormat="1" ht="15" customHeight="1"/>
    <row r="1312" s="41" customFormat="1" ht="15" customHeight="1"/>
    <row r="1313" s="41" customFormat="1" ht="15" customHeight="1"/>
    <row r="1314" s="41" customFormat="1" ht="15" customHeight="1"/>
    <row r="1315" s="41" customFormat="1" ht="15" customHeight="1"/>
    <row r="1316" s="41" customFormat="1" ht="15" customHeight="1"/>
    <row r="1317" s="41" customFormat="1" ht="15" customHeight="1"/>
    <row r="1318" s="41" customFormat="1" ht="15" customHeight="1"/>
    <row r="1319" s="41" customFormat="1" ht="15" customHeight="1"/>
    <row r="1320" s="41" customFormat="1" ht="15" customHeight="1"/>
    <row r="1321" s="41" customFormat="1" ht="15" customHeight="1"/>
    <row r="1322" s="41" customFormat="1" ht="15" customHeight="1"/>
    <row r="1323" s="41" customFormat="1" ht="15" customHeight="1"/>
    <row r="1324" s="41" customFormat="1" ht="15" customHeight="1"/>
    <row r="1325" s="41" customFormat="1" ht="15" customHeight="1"/>
    <row r="1326" s="41" customFormat="1" ht="15" customHeight="1"/>
    <row r="1327" s="41" customFormat="1" ht="15" customHeight="1"/>
    <row r="1328" s="41" customFormat="1" ht="15" customHeight="1"/>
    <row r="1329" s="41" customFormat="1" ht="15" customHeight="1"/>
    <row r="1330" s="41" customFormat="1" ht="15" customHeight="1"/>
    <row r="1331" s="41" customFormat="1" ht="15" customHeight="1"/>
    <row r="1332" s="41" customFormat="1" ht="15" customHeight="1"/>
    <row r="1333" s="41" customFormat="1" ht="15" customHeight="1"/>
    <row r="1334" s="41" customFormat="1" ht="15" customHeight="1"/>
    <row r="1335" s="41" customFormat="1" ht="15" customHeight="1"/>
    <row r="1336" s="41" customFormat="1" ht="15" customHeight="1"/>
    <row r="1337" s="41" customFormat="1" ht="15" customHeight="1"/>
    <row r="1338" s="41" customFormat="1" ht="15" customHeight="1"/>
    <row r="1339" s="41" customFormat="1" ht="15" customHeight="1"/>
    <row r="1340" s="41" customFormat="1" ht="15" customHeight="1"/>
    <row r="1341" s="41" customFormat="1" ht="15" customHeight="1"/>
    <row r="1342" s="41" customFormat="1" ht="15" customHeight="1"/>
    <row r="1343" s="41" customFormat="1" ht="15" customHeight="1"/>
    <row r="1344" s="41" customFormat="1" ht="15" customHeight="1"/>
    <row r="1345" s="41" customFormat="1" ht="15" customHeight="1"/>
    <row r="1346" s="41" customFormat="1" ht="15" customHeight="1"/>
    <row r="1347" s="41" customFormat="1" ht="15" customHeight="1"/>
    <row r="1348" s="41" customFormat="1" ht="15" customHeight="1"/>
    <row r="1349" s="41" customFormat="1" ht="15" customHeight="1"/>
    <row r="1350" s="41" customFormat="1" ht="15" customHeight="1"/>
    <row r="1351" s="41" customFormat="1" ht="15" customHeight="1"/>
    <row r="1352" s="41" customFormat="1" ht="15" customHeight="1"/>
    <row r="1353" s="41" customFormat="1" ht="15" customHeight="1"/>
    <row r="1354" s="41" customFormat="1" ht="15" customHeight="1"/>
    <row r="1355" s="41" customFormat="1" ht="15" customHeight="1"/>
    <row r="1356" s="41" customFormat="1" ht="15" customHeight="1"/>
    <row r="1357" s="41" customFormat="1" ht="15" customHeight="1"/>
    <row r="1358" s="41" customFormat="1" ht="15" customHeight="1"/>
    <row r="1359" s="41" customFormat="1" ht="15" customHeight="1"/>
    <row r="1360" s="41" customFormat="1" ht="15" customHeight="1"/>
    <row r="1361" s="41" customFormat="1" ht="15" customHeight="1"/>
    <row r="1362" s="41" customFormat="1" ht="15" customHeight="1"/>
    <row r="1363" s="41" customFormat="1" ht="15" customHeight="1"/>
    <row r="1364" s="41" customFormat="1" ht="15" customHeight="1"/>
    <row r="1365" s="41" customFormat="1" ht="15" customHeight="1"/>
    <row r="1366" s="41" customFormat="1" ht="15" customHeight="1"/>
    <row r="1367" s="41" customFormat="1" ht="15" customHeight="1"/>
    <row r="1368" s="41" customFormat="1" ht="15" customHeight="1"/>
    <row r="1369" s="41" customFormat="1" ht="15" customHeight="1"/>
    <row r="1370" s="41" customFormat="1" ht="15" customHeight="1"/>
    <row r="1371" s="41" customFormat="1" ht="15" customHeight="1"/>
    <row r="1372" s="41" customFormat="1" ht="15" customHeight="1"/>
    <row r="1373" s="41" customFormat="1" ht="15" customHeight="1"/>
    <row r="1374" s="41" customFormat="1" ht="15" customHeight="1"/>
    <row r="1375" s="41" customFormat="1" ht="15" customHeight="1"/>
    <row r="1376" s="41" customFormat="1" ht="15" customHeight="1"/>
    <row r="1377" s="41" customFormat="1" ht="15" customHeight="1"/>
    <row r="1378" s="41" customFormat="1" ht="15" customHeight="1"/>
    <row r="1379" s="41" customFormat="1" ht="15" customHeight="1"/>
    <row r="1380" s="41" customFormat="1" ht="15" customHeight="1"/>
    <row r="1381" s="41" customFormat="1" ht="15" customHeight="1"/>
    <row r="1382" s="41" customFormat="1" ht="15" customHeight="1"/>
    <row r="1383" s="41" customFormat="1" ht="15" customHeight="1"/>
    <row r="1384" s="41" customFormat="1" ht="15" customHeight="1"/>
    <row r="1385" s="41" customFormat="1" ht="15" customHeight="1"/>
    <row r="1386" s="41" customFormat="1" ht="15" customHeight="1"/>
    <row r="1387" s="41" customFormat="1" ht="15" customHeight="1"/>
    <row r="1388" s="41" customFormat="1" ht="15" customHeight="1"/>
    <row r="1389" s="41" customFormat="1" ht="15" customHeight="1"/>
    <row r="1390" s="41" customFormat="1" ht="15" customHeight="1"/>
    <row r="1391" s="41" customFormat="1" ht="15" customHeight="1"/>
    <row r="1392" s="41" customFormat="1" ht="15" customHeight="1"/>
    <row r="1393" s="41" customFormat="1" ht="15" customHeight="1"/>
    <row r="1394" s="41" customFormat="1" ht="15" customHeight="1"/>
    <row r="1395" s="41" customFormat="1" ht="15" customHeight="1"/>
    <row r="1396" s="41" customFormat="1" ht="15" customHeight="1"/>
    <row r="1397" s="41" customFormat="1" ht="15" customHeight="1"/>
    <row r="1398" s="41" customFormat="1" ht="15" customHeight="1"/>
    <row r="1399" s="41" customFormat="1" ht="15" customHeight="1"/>
    <row r="1400" s="41" customFormat="1" ht="15" customHeight="1"/>
    <row r="1401" s="41" customFormat="1" ht="15" customHeight="1"/>
    <row r="1402" s="41" customFormat="1" ht="15" customHeight="1"/>
    <row r="1403" s="41" customFormat="1" ht="15" customHeight="1"/>
    <row r="1404" s="41" customFormat="1" ht="15" customHeight="1"/>
    <row r="1405" s="41" customFormat="1" ht="15" customHeight="1"/>
    <row r="1406" s="41" customFormat="1" ht="15" customHeight="1"/>
    <row r="1407" s="41" customFormat="1" ht="15" customHeight="1"/>
    <row r="1408" s="41" customFormat="1" ht="15" customHeight="1"/>
    <row r="1409" s="41" customFormat="1" ht="15" customHeight="1"/>
    <row r="1410" s="41" customFormat="1" ht="15" customHeight="1"/>
    <row r="1411" s="41" customFormat="1" ht="15" customHeight="1"/>
    <row r="1412" s="41" customFormat="1" ht="15" customHeight="1"/>
    <row r="1413" s="41" customFormat="1" ht="15" customHeight="1"/>
    <row r="1414" s="41" customFormat="1" ht="15" customHeight="1"/>
    <row r="1415" s="41" customFormat="1" ht="15" customHeight="1"/>
    <row r="1416" s="41" customFormat="1" ht="15" customHeight="1"/>
    <row r="1417" s="41" customFormat="1" ht="15" customHeight="1"/>
    <row r="1418" s="41" customFormat="1" ht="15" customHeight="1"/>
    <row r="1419" s="41" customFormat="1" ht="15" customHeight="1"/>
    <row r="1420" s="41" customFormat="1" ht="15" customHeight="1"/>
    <row r="1421" s="41" customFormat="1" ht="15" customHeight="1"/>
    <row r="1422" s="41" customFormat="1" ht="15" customHeight="1"/>
    <row r="1423" s="41" customFormat="1" ht="15" customHeight="1"/>
    <row r="1424" s="41" customFormat="1" ht="15" customHeight="1"/>
    <row r="1425" s="41" customFormat="1" ht="15" customHeight="1"/>
    <row r="1426" s="41" customFormat="1" ht="15" customHeight="1"/>
    <row r="1427" s="41" customFormat="1" ht="15" customHeight="1"/>
    <row r="1428" s="41" customFormat="1" ht="15" customHeight="1"/>
    <row r="1429" s="41" customFormat="1" ht="15" customHeight="1"/>
    <row r="1430" s="41" customFormat="1" ht="15" customHeight="1"/>
    <row r="1431" s="41" customFormat="1" ht="15" customHeight="1"/>
    <row r="1432" s="41" customFormat="1" ht="15" customHeight="1"/>
    <row r="1433" s="41" customFormat="1" ht="15" customHeight="1"/>
    <row r="1434" s="41" customFormat="1" ht="15" customHeight="1"/>
    <row r="1435" s="41" customFormat="1" ht="15" customHeight="1"/>
    <row r="1436" s="41" customFormat="1" ht="15" customHeight="1"/>
    <row r="1437" s="41" customFormat="1" ht="15" customHeight="1"/>
    <row r="1438" s="41" customFormat="1" ht="15" customHeight="1"/>
    <row r="1439" s="41" customFormat="1" ht="15" customHeight="1"/>
    <row r="1440" s="41" customFormat="1" ht="15" customHeight="1"/>
    <row r="1441" s="41" customFormat="1" ht="15" customHeight="1"/>
    <row r="1442" s="41" customFormat="1" ht="15" customHeight="1"/>
    <row r="1443" s="41" customFormat="1" ht="15" customHeight="1"/>
    <row r="1444" s="41" customFormat="1" ht="15" customHeight="1"/>
    <row r="1445" s="41" customFormat="1" ht="15" customHeight="1"/>
    <row r="1446" s="41" customFormat="1" ht="15" customHeight="1"/>
    <row r="1447" s="41" customFormat="1" ht="15" customHeight="1"/>
    <row r="1448" s="41" customFormat="1" ht="15" customHeight="1"/>
    <row r="1449" s="41" customFormat="1" ht="15" customHeight="1"/>
    <row r="1450" s="41" customFormat="1" ht="15" customHeight="1"/>
    <row r="1451" s="41" customFormat="1" ht="15" customHeight="1"/>
    <row r="1452" s="41" customFormat="1" ht="15" customHeight="1"/>
    <row r="1453" s="41" customFormat="1" ht="15" customHeight="1"/>
    <row r="1454" s="41" customFormat="1" ht="15" customHeight="1"/>
    <row r="1455" s="41" customFormat="1" ht="15" customHeight="1"/>
    <row r="1456" s="41" customFormat="1" ht="15" customHeight="1"/>
    <row r="1457" s="41" customFormat="1" ht="15" customHeight="1"/>
    <row r="1458" s="41" customFormat="1" ht="15" customHeight="1"/>
    <row r="1459" s="41" customFormat="1" ht="15" customHeight="1"/>
    <row r="1460" s="41" customFormat="1" ht="15" customHeight="1"/>
    <row r="1461" s="41" customFormat="1" ht="15" customHeight="1"/>
    <row r="1462" s="41" customFormat="1" ht="15" customHeight="1"/>
    <row r="1463" s="41" customFormat="1" ht="15" customHeight="1"/>
    <row r="1464" s="41" customFormat="1" ht="15" customHeight="1"/>
    <row r="1465" s="41" customFormat="1" ht="15" customHeight="1"/>
    <row r="1466" s="41" customFormat="1" ht="15" customHeight="1"/>
    <row r="1467" s="41" customFormat="1" ht="15" customHeight="1"/>
    <row r="1468" s="41" customFormat="1" ht="15" customHeight="1"/>
    <row r="1469" s="41" customFormat="1" ht="15" customHeight="1"/>
    <row r="1470" s="41" customFormat="1" ht="15" customHeight="1"/>
    <row r="1471" s="41" customFormat="1" ht="15" customHeight="1"/>
    <row r="1472" s="41" customFormat="1" ht="15" customHeight="1"/>
    <row r="1473" s="41" customFormat="1" ht="15" customHeight="1"/>
    <row r="1474" s="41" customFormat="1" ht="15" customHeight="1"/>
    <row r="1475" s="41" customFormat="1" ht="15" customHeight="1"/>
    <row r="1476" s="41" customFormat="1" ht="15" customHeight="1"/>
    <row r="1477" s="41" customFormat="1" ht="15" customHeight="1"/>
    <row r="1478" s="41" customFormat="1" ht="15" customHeight="1"/>
    <row r="1479" s="41" customFormat="1" ht="15" customHeight="1"/>
    <row r="1480" s="41" customFormat="1" ht="15" customHeight="1"/>
    <row r="1481" s="41" customFormat="1" ht="15" customHeight="1"/>
    <row r="1482" s="41" customFormat="1" ht="15" customHeight="1"/>
    <row r="1483" s="41" customFormat="1" ht="15" customHeight="1"/>
    <row r="1484" s="41" customFormat="1" ht="15" customHeight="1"/>
    <row r="1485" s="41" customFormat="1" ht="15" customHeight="1"/>
    <row r="1486" s="41" customFormat="1" ht="15" customHeight="1"/>
    <row r="1487" s="41" customFormat="1" ht="15" customHeight="1"/>
    <row r="1488" s="41" customFormat="1" ht="15" customHeight="1"/>
    <row r="1489" s="41" customFormat="1" ht="15" customHeight="1"/>
    <row r="1490" s="41" customFormat="1" ht="15" customHeight="1"/>
    <row r="1491" s="41" customFormat="1" ht="15" customHeight="1"/>
    <row r="1492" s="41" customFormat="1" ht="15" customHeight="1"/>
    <row r="1493" s="41" customFormat="1" ht="15" customHeight="1"/>
    <row r="1494" s="41" customFormat="1" ht="15" customHeight="1"/>
    <row r="1495" s="41" customFormat="1" ht="15" customHeight="1"/>
    <row r="1496" s="41" customFormat="1" ht="15" customHeight="1"/>
    <row r="1497" s="41" customFormat="1" ht="15" customHeight="1"/>
    <row r="1498" s="41" customFormat="1" ht="15" customHeight="1"/>
    <row r="1499" s="41" customFormat="1" ht="15" customHeight="1"/>
    <row r="1500" s="41" customFormat="1" ht="15" customHeight="1"/>
    <row r="1501" s="41" customFormat="1" ht="15" customHeight="1"/>
    <row r="1502" s="41" customFormat="1" ht="15" customHeight="1"/>
    <row r="1503" s="41" customFormat="1" ht="15" customHeight="1"/>
    <row r="1504" s="41" customFormat="1" ht="15" customHeight="1"/>
    <row r="1505" s="41" customFormat="1" ht="15" customHeight="1"/>
    <row r="1506" s="41" customFormat="1" ht="15" customHeight="1"/>
    <row r="1507" s="41" customFormat="1" ht="15" customHeight="1"/>
    <row r="1508" s="41" customFormat="1" ht="15" customHeight="1"/>
    <row r="1509" s="41" customFormat="1" ht="15" customHeight="1"/>
    <row r="1510" s="41" customFormat="1" ht="15" customHeight="1"/>
    <row r="1511" s="41" customFormat="1" ht="15" customHeight="1"/>
    <row r="1512" s="41" customFormat="1" ht="15" customHeight="1"/>
    <row r="1513" s="41" customFormat="1" ht="15" customHeight="1"/>
    <row r="1514" s="41" customFormat="1" ht="15" customHeight="1"/>
    <row r="1515" s="41" customFormat="1" ht="15" customHeight="1"/>
    <row r="1516" s="41" customFormat="1" ht="15" customHeight="1"/>
    <row r="1517" s="41" customFormat="1" ht="15" customHeight="1"/>
    <row r="1518" s="41" customFormat="1" ht="15" customHeight="1"/>
    <row r="1519" s="41" customFormat="1" ht="15" customHeight="1"/>
    <row r="1520" s="41" customFormat="1" ht="15" customHeight="1"/>
    <row r="1521" s="41" customFormat="1" ht="15" customHeight="1"/>
    <row r="1522" s="41" customFormat="1" ht="15" customHeight="1"/>
    <row r="1523" s="41" customFormat="1" ht="15" customHeight="1"/>
    <row r="1524" s="41" customFormat="1" ht="15" customHeight="1"/>
    <row r="1525" s="41" customFormat="1" ht="15" customHeight="1"/>
    <row r="1526" s="41" customFormat="1" ht="15" customHeight="1"/>
    <row r="1527" s="41" customFormat="1" ht="15" customHeight="1"/>
    <row r="1528" s="41" customFormat="1" ht="15" customHeight="1"/>
    <row r="1529" s="41" customFormat="1" ht="15" customHeight="1"/>
    <row r="1530" s="41" customFormat="1" ht="15" customHeight="1"/>
    <row r="1531" s="41" customFormat="1" ht="15" customHeight="1"/>
    <row r="1532" s="41" customFormat="1" ht="15" customHeight="1"/>
    <row r="1533" s="41" customFormat="1" ht="15" customHeight="1"/>
    <row r="1534" s="41" customFormat="1" ht="15" customHeight="1"/>
    <row r="1535" s="41" customFormat="1" ht="15" customHeight="1"/>
    <row r="1536" s="41" customFormat="1" ht="15" customHeight="1"/>
    <row r="1537" s="41" customFormat="1" ht="15" customHeight="1"/>
    <row r="1538" s="41" customFormat="1" ht="15" customHeight="1"/>
    <row r="1539" s="41" customFormat="1" ht="15" customHeight="1"/>
    <row r="1540" s="41" customFormat="1" ht="15" customHeight="1"/>
    <row r="1541" s="41" customFormat="1" ht="15" customHeight="1"/>
    <row r="1542" s="41" customFormat="1" ht="15" customHeight="1"/>
    <row r="1543" s="41" customFormat="1" ht="15" customHeight="1"/>
    <row r="1544" s="41" customFormat="1" ht="15" customHeight="1"/>
    <row r="1545" s="41" customFormat="1" ht="15" customHeight="1"/>
    <row r="1546" s="41" customFormat="1" ht="15" customHeight="1"/>
    <row r="1547" s="41" customFormat="1" ht="15" customHeight="1"/>
    <row r="1548" s="41" customFormat="1" ht="15" customHeight="1"/>
    <row r="1549" s="41" customFormat="1" ht="15" customHeight="1"/>
    <row r="1550" s="41" customFormat="1" ht="15" customHeight="1"/>
    <row r="1551" s="41" customFormat="1" ht="15" customHeight="1"/>
    <row r="1552" s="41" customFormat="1" ht="15" customHeight="1"/>
    <row r="1553" s="41" customFormat="1" ht="15" customHeight="1"/>
    <row r="1554" s="41" customFormat="1" ht="15" customHeight="1"/>
    <row r="1555" s="41" customFormat="1" ht="15" customHeight="1"/>
    <row r="1556" s="41" customFormat="1" ht="15" customHeight="1"/>
    <row r="1557" s="41" customFormat="1" ht="15" customHeight="1"/>
    <row r="1558" s="41" customFormat="1" ht="15" customHeight="1"/>
    <row r="1559" s="41" customFormat="1" ht="15" customHeight="1"/>
    <row r="1560" s="41" customFormat="1" ht="15" customHeight="1"/>
    <row r="1561" s="41" customFormat="1" ht="15" customHeight="1"/>
    <row r="1562" s="41" customFormat="1" ht="15" customHeight="1"/>
    <row r="1563" s="41" customFormat="1" ht="15" customHeight="1"/>
    <row r="1564" s="41" customFormat="1" ht="15" customHeight="1"/>
    <row r="1565" s="41" customFormat="1" ht="15" customHeight="1"/>
    <row r="1566" s="41" customFormat="1" ht="15" customHeight="1"/>
    <row r="1567" s="41" customFormat="1" ht="15" customHeight="1"/>
    <row r="1568" s="41" customFormat="1" ht="15" customHeight="1"/>
    <row r="1569" s="41" customFormat="1" ht="15" customHeight="1"/>
    <row r="1570" s="41" customFormat="1" ht="15" customHeight="1"/>
    <row r="1571" s="41" customFormat="1" ht="15" customHeight="1"/>
    <row r="1572" s="41" customFormat="1" ht="15" customHeight="1"/>
    <row r="1573" s="41" customFormat="1" ht="15" customHeight="1"/>
    <row r="1574" s="41" customFormat="1" ht="15" customHeight="1"/>
    <row r="1575" s="41" customFormat="1" ht="15" customHeight="1"/>
    <row r="1576" s="41" customFormat="1" ht="15" customHeight="1"/>
    <row r="1577" s="41" customFormat="1" ht="15" customHeight="1"/>
    <row r="1578" s="41" customFormat="1" ht="15" customHeight="1"/>
    <row r="1579" s="41" customFormat="1" ht="15" customHeight="1"/>
    <row r="1580" s="41" customFormat="1" ht="15" customHeight="1"/>
    <row r="1581" s="41" customFormat="1" ht="15" customHeight="1"/>
    <row r="1582" s="41" customFormat="1" ht="15" customHeight="1"/>
    <row r="1583" s="41" customFormat="1" ht="15" customHeight="1"/>
    <row r="1584" s="41" customFormat="1" ht="15" customHeight="1"/>
    <row r="1585" s="41" customFormat="1" ht="15" customHeight="1"/>
    <row r="1586" s="41" customFormat="1" ht="15" customHeight="1"/>
    <row r="1587" s="41" customFormat="1" ht="15" customHeight="1"/>
    <row r="1588" s="41" customFormat="1" ht="15" customHeight="1"/>
    <row r="1589" s="41" customFormat="1" ht="15" customHeight="1"/>
    <row r="1590" s="41" customFormat="1" ht="15" customHeight="1"/>
    <row r="1591" s="41" customFormat="1" ht="15" customHeight="1"/>
    <row r="1592" s="41" customFormat="1" ht="15" customHeight="1"/>
    <row r="1593" s="41" customFormat="1" ht="15" customHeight="1"/>
    <row r="1594" s="41" customFormat="1" ht="15" customHeight="1"/>
    <row r="1595" s="41" customFormat="1" ht="15" customHeight="1"/>
    <row r="1596" s="41" customFormat="1" ht="15" customHeight="1"/>
    <row r="1597" s="41" customFormat="1" ht="15" customHeight="1"/>
    <row r="1598" s="41" customFormat="1" ht="15" customHeight="1"/>
    <row r="1599" s="41" customFormat="1" ht="15" customHeight="1"/>
    <row r="1600" s="41" customFormat="1" ht="15" customHeight="1"/>
    <row r="1601" s="41" customFormat="1" ht="15" customHeight="1"/>
    <row r="1602" s="41" customFormat="1" ht="15" customHeight="1"/>
    <row r="1603" s="41" customFormat="1" ht="15" customHeight="1"/>
    <row r="1604" s="41" customFormat="1" ht="15" customHeight="1"/>
    <row r="1605" s="41" customFormat="1" ht="15" customHeight="1"/>
    <row r="1606" s="41" customFormat="1" ht="15" customHeight="1"/>
    <row r="1607" s="41" customFormat="1" ht="15" customHeight="1"/>
    <row r="1608" s="41" customFormat="1" ht="15" customHeight="1"/>
    <row r="1609" s="41" customFormat="1" ht="15" customHeight="1"/>
    <row r="1610" s="41" customFormat="1" ht="15" customHeight="1"/>
    <row r="1611" s="41" customFormat="1" ht="15" customHeight="1"/>
    <row r="1612" s="41" customFormat="1" ht="15" customHeight="1"/>
    <row r="1613" s="41" customFormat="1" ht="15" customHeight="1"/>
    <row r="1614" s="41" customFormat="1" ht="15" customHeight="1"/>
    <row r="1615" s="41" customFormat="1" ht="15" customHeight="1"/>
    <row r="1616" s="41" customFormat="1" ht="15" customHeight="1"/>
    <row r="1617" s="41" customFormat="1" ht="15" customHeight="1"/>
    <row r="1618" s="41" customFormat="1" ht="15" customHeight="1"/>
    <row r="1619" s="41" customFormat="1" ht="15" customHeight="1"/>
    <row r="1620" s="41" customFormat="1" ht="15" customHeight="1"/>
    <row r="1621" s="41" customFormat="1" ht="15" customHeight="1"/>
    <row r="1622" s="41" customFormat="1" ht="15" customHeight="1"/>
    <row r="1623" s="41" customFormat="1" ht="15" customHeight="1"/>
    <row r="1624" s="41" customFormat="1" ht="15" customHeight="1"/>
    <row r="1625" s="41" customFormat="1" ht="15" customHeight="1"/>
    <row r="1626" s="41" customFormat="1" ht="15" customHeight="1"/>
    <row r="1627" s="41" customFormat="1" ht="15" customHeight="1"/>
    <row r="1628" s="41" customFormat="1" ht="15" customHeight="1"/>
    <row r="1629" s="41" customFormat="1" ht="15" customHeight="1"/>
    <row r="1630" s="41" customFormat="1" ht="15" customHeight="1"/>
    <row r="1631" s="41" customFormat="1" ht="15" customHeight="1"/>
    <row r="1632" s="41" customFormat="1" ht="15" customHeight="1"/>
    <row r="1633" s="41" customFormat="1" ht="15" customHeight="1"/>
    <row r="1634" s="41" customFormat="1" ht="15" customHeight="1"/>
    <row r="1635" s="41" customFormat="1" ht="15" customHeight="1"/>
    <row r="1636" s="41" customFormat="1" ht="15" customHeight="1"/>
    <row r="1637" s="41" customFormat="1" ht="15" customHeight="1"/>
    <row r="1638" s="41" customFormat="1" ht="15" customHeight="1"/>
    <row r="1639" s="41" customFormat="1" ht="15" customHeight="1"/>
    <row r="1640" s="41" customFormat="1" ht="15" customHeight="1"/>
    <row r="1641" s="41" customFormat="1" ht="15" customHeight="1"/>
    <row r="1642" s="41" customFormat="1" ht="15" customHeight="1"/>
    <row r="1643" s="41" customFormat="1" ht="15" customHeight="1"/>
    <row r="1644" s="41" customFormat="1" ht="15" customHeight="1"/>
    <row r="1645" s="41" customFormat="1" ht="15" customHeight="1"/>
    <row r="1646" s="41" customFormat="1" ht="15" customHeight="1"/>
    <row r="1647" s="41" customFormat="1" ht="15" customHeight="1"/>
    <row r="1648" s="41" customFormat="1" ht="15" customHeight="1"/>
    <row r="1649" s="41" customFormat="1" ht="15" customHeight="1"/>
    <row r="1650" s="41" customFormat="1" ht="15" customHeight="1"/>
    <row r="1651" s="41" customFormat="1" ht="15" customHeight="1"/>
    <row r="1652" s="41" customFormat="1" ht="15" customHeight="1"/>
    <row r="1653" s="41" customFormat="1" ht="15" customHeight="1"/>
    <row r="1654" s="41" customFormat="1" ht="15" customHeight="1"/>
    <row r="1655" s="41" customFormat="1" ht="15" customHeight="1"/>
    <row r="1656" s="41" customFormat="1" ht="15" customHeight="1"/>
    <row r="1657" s="41" customFormat="1" ht="15" customHeight="1"/>
    <row r="1658" s="41" customFormat="1" ht="15" customHeight="1"/>
    <row r="1659" s="41" customFormat="1" ht="15" customHeight="1"/>
    <row r="1660" s="41" customFormat="1" ht="15" customHeight="1"/>
    <row r="1661" s="41" customFormat="1" ht="15" customHeight="1"/>
    <row r="1662" s="41" customFormat="1" ht="15" customHeight="1"/>
    <row r="1663" s="41" customFormat="1" ht="15" customHeight="1"/>
    <row r="1664" s="41" customFormat="1" ht="15" customHeight="1"/>
    <row r="1665" s="41" customFormat="1" ht="15" customHeight="1"/>
    <row r="1666" s="41" customFormat="1" ht="15" customHeight="1"/>
    <row r="1667" s="41" customFormat="1" ht="15" customHeight="1"/>
    <row r="1668" s="41" customFormat="1" ht="15" customHeight="1"/>
    <row r="1669" s="41" customFormat="1" ht="15" customHeight="1"/>
    <row r="1670" s="41" customFormat="1" ht="15" customHeight="1"/>
    <row r="1671" s="41" customFormat="1" ht="15" customHeight="1"/>
    <row r="1672" s="41" customFormat="1" ht="15" customHeight="1"/>
    <row r="1673" s="41" customFormat="1" ht="15" customHeight="1"/>
    <row r="1674" s="41" customFormat="1" ht="15" customHeight="1"/>
    <row r="1675" s="41" customFormat="1" ht="15" customHeight="1"/>
    <row r="1676" s="41" customFormat="1" ht="15" customHeight="1"/>
    <row r="1677" s="41" customFormat="1" ht="15" customHeight="1"/>
    <row r="1678" s="41" customFormat="1" ht="15" customHeight="1"/>
    <row r="1679" s="41" customFormat="1" ht="15" customHeight="1"/>
    <row r="1680" s="41" customFormat="1" ht="15" customHeight="1"/>
    <row r="1681" s="41" customFormat="1" ht="15" customHeight="1"/>
    <row r="1682" s="41" customFormat="1" ht="15" customHeight="1"/>
    <row r="1683" s="41" customFormat="1" ht="15" customHeight="1"/>
    <row r="1684" s="41" customFormat="1" ht="15" customHeight="1"/>
    <row r="1685" s="41" customFormat="1" ht="15" customHeight="1"/>
    <row r="1686" s="41" customFormat="1" ht="15" customHeight="1"/>
    <row r="1687" s="41" customFormat="1" ht="15" customHeight="1"/>
    <row r="1688" s="41" customFormat="1" ht="15" customHeight="1"/>
    <row r="1689" s="41" customFormat="1" ht="15" customHeight="1"/>
    <row r="1690" s="41" customFormat="1" ht="15" customHeight="1"/>
    <row r="1691" s="41" customFormat="1" ht="15" customHeight="1"/>
    <row r="1692" s="41" customFormat="1" ht="15" customHeight="1"/>
    <row r="1693" s="41" customFormat="1" ht="15" customHeight="1"/>
    <row r="1694" s="41" customFormat="1" ht="15" customHeight="1"/>
    <row r="1695" s="41" customFormat="1" ht="15" customHeight="1"/>
    <row r="1696" s="41" customFormat="1" ht="15" customHeight="1"/>
    <row r="1697" s="41" customFormat="1" ht="15" customHeight="1"/>
    <row r="1698" s="41" customFormat="1" ht="15" customHeight="1"/>
    <row r="1699" s="41" customFormat="1" ht="15" customHeight="1"/>
    <row r="1700" s="41" customFormat="1" ht="15" customHeight="1"/>
    <row r="1701" s="41" customFormat="1" ht="15" customHeight="1"/>
    <row r="1702" s="41" customFormat="1" ht="15" customHeight="1"/>
    <row r="1703" s="41" customFormat="1" ht="15" customHeight="1"/>
    <row r="1704" s="41" customFormat="1" ht="15" customHeight="1"/>
    <row r="1705" s="41" customFormat="1" ht="15" customHeight="1"/>
    <row r="1706" s="41" customFormat="1" ht="15" customHeight="1"/>
    <row r="1707" s="41" customFormat="1" ht="15" customHeight="1"/>
    <row r="1708" s="41" customFormat="1" ht="15" customHeight="1"/>
    <row r="1709" s="41" customFormat="1" ht="15" customHeight="1"/>
    <row r="1710" s="41" customFormat="1" ht="15" customHeight="1"/>
    <row r="1711" s="41" customFormat="1" ht="15" customHeight="1"/>
    <row r="1712" s="41" customFormat="1" ht="15" customHeight="1"/>
    <row r="1713" s="41" customFormat="1" ht="15" customHeight="1"/>
    <row r="1714" s="41" customFormat="1" ht="15" customHeight="1"/>
    <row r="1715" s="41" customFormat="1" ht="15" customHeight="1"/>
    <row r="1716" s="41" customFormat="1" ht="15" customHeight="1"/>
    <row r="1717" s="41" customFormat="1" ht="15" customHeight="1"/>
    <row r="1718" s="41" customFormat="1" ht="15" customHeight="1"/>
    <row r="1719" s="41" customFormat="1" ht="15" customHeight="1"/>
    <row r="1720" s="41" customFormat="1" ht="15" customHeight="1"/>
    <row r="1721" s="41" customFormat="1" ht="15" customHeight="1"/>
    <row r="1722" s="41" customFormat="1" ht="15" customHeight="1"/>
    <row r="1723" s="41" customFormat="1" ht="15" customHeight="1"/>
    <row r="1724" s="41" customFormat="1" ht="15" customHeight="1"/>
    <row r="1725" s="41" customFormat="1" ht="15" customHeight="1"/>
    <row r="1726" s="41" customFormat="1" ht="15" customHeight="1"/>
    <row r="1727" s="41" customFormat="1" ht="15" customHeight="1"/>
    <row r="1728" s="41" customFormat="1" ht="15" customHeight="1"/>
    <row r="1729" s="41" customFormat="1" ht="15" customHeight="1"/>
    <row r="1730" s="41" customFormat="1" ht="15" customHeight="1"/>
    <row r="1731" s="41" customFormat="1" ht="15" customHeight="1"/>
    <row r="1732" s="41" customFormat="1" ht="15" customHeight="1"/>
    <row r="1733" s="41" customFormat="1" ht="15" customHeight="1"/>
    <row r="1734" s="41" customFormat="1" ht="15" customHeight="1"/>
    <row r="1735" s="41" customFormat="1" ht="15" customHeight="1"/>
    <row r="1736" s="41" customFormat="1" ht="15" customHeight="1"/>
    <row r="1737" s="41" customFormat="1" ht="15" customHeight="1"/>
    <row r="1738" s="41" customFormat="1" ht="15" customHeight="1"/>
    <row r="1739" s="41" customFormat="1" ht="15" customHeight="1"/>
    <row r="1740" s="41" customFormat="1" ht="15" customHeight="1"/>
    <row r="1741" s="41" customFormat="1" ht="15" customHeight="1"/>
    <row r="1742" s="41" customFormat="1" ht="15" customHeight="1"/>
    <row r="1743" s="41" customFormat="1" ht="15" customHeight="1"/>
    <row r="1744" s="41" customFormat="1" ht="15" customHeight="1"/>
    <row r="1745" s="41" customFormat="1" ht="15" customHeight="1"/>
    <row r="1746" s="41" customFormat="1" ht="15" customHeight="1"/>
    <row r="1747" s="41" customFormat="1" ht="15" customHeight="1"/>
    <row r="1748" s="41" customFormat="1" ht="15" customHeight="1"/>
    <row r="1749" s="41" customFormat="1" ht="15" customHeight="1"/>
    <row r="1750" s="41" customFormat="1" ht="15" customHeight="1"/>
    <row r="1751" s="41" customFormat="1" ht="15" customHeight="1"/>
    <row r="1752" s="41" customFormat="1" ht="15" customHeight="1"/>
    <row r="1753" s="41" customFormat="1" ht="15" customHeight="1"/>
    <row r="1754" s="41" customFormat="1" ht="15" customHeight="1"/>
    <row r="1755" s="41" customFormat="1" ht="15" customHeight="1"/>
    <row r="1756" s="41" customFormat="1" ht="15" customHeight="1"/>
    <row r="1757" s="41" customFormat="1" ht="15" customHeight="1"/>
    <row r="1758" s="41" customFormat="1" ht="15" customHeight="1"/>
    <row r="1759" s="41" customFormat="1" ht="15" customHeight="1"/>
    <row r="1760" s="41" customFormat="1" ht="15" customHeight="1"/>
    <row r="1761" s="41" customFormat="1" ht="15" customHeight="1"/>
    <row r="1762" s="41" customFormat="1" ht="15" customHeight="1"/>
    <row r="1763" s="41" customFormat="1" ht="15" customHeight="1"/>
    <row r="1764" s="41" customFormat="1" ht="15" customHeight="1"/>
    <row r="1765" s="41" customFormat="1" ht="15" customHeight="1"/>
    <row r="1766" s="41" customFormat="1" ht="15" customHeight="1"/>
    <row r="1767" s="41" customFormat="1" ht="15" customHeight="1"/>
    <row r="1768" s="41" customFormat="1" ht="15" customHeight="1"/>
    <row r="1769" s="41" customFormat="1" ht="15" customHeight="1"/>
    <row r="1770" s="41" customFormat="1" ht="15" customHeight="1"/>
    <row r="1771" s="41" customFormat="1" ht="15" customHeight="1"/>
    <row r="1772" s="41" customFormat="1" ht="15" customHeight="1"/>
    <row r="1773" s="41" customFormat="1" ht="15" customHeight="1"/>
    <row r="1774" s="41" customFormat="1" ht="15" customHeight="1"/>
    <row r="1775" s="41" customFormat="1" ht="15" customHeight="1"/>
    <row r="1776" s="41" customFormat="1" ht="15" customHeight="1"/>
    <row r="1777" s="41" customFormat="1" ht="15" customHeight="1"/>
    <row r="1778" s="41" customFormat="1" ht="15" customHeight="1"/>
    <row r="1779" s="41" customFormat="1" ht="15" customHeight="1"/>
    <row r="1780" s="41" customFormat="1" ht="15" customHeight="1"/>
    <row r="1781" s="41" customFormat="1" ht="15" customHeight="1"/>
    <row r="1782" s="41" customFormat="1" ht="15" customHeight="1"/>
    <row r="1783" s="41" customFormat="1" ht="15" customHeight="1"/>
    <row r="1784" s="41" customFormat="1" ht="15" customHeight="1"/>
    <row r="1785" s="41" customFormat="1" ht="15" customHeight="1"/>
    <row r="1786" s="41" customFormat="1" ht="15" customHeight="1"/>
    <row r="1787" s="41" customFormat="1" ht="15" customHeight="1"/>
    <row r="1788" s="41" customFormat="1" ht="15" customHeight="1"/>
    <row r="1789" s="41" customFormat="1" ht="15" customHeight="1"/>
    <row r="1790" s="41" customFormat="1" ht="15" customHeight="1"/>
    <row r="1791" s="41" customFormat="1" ht="15" customHeight="1"/>
    <row r="1792" s="41" customFormat="1" ht="15" customHeight="1"/>
    <row r="1793" s="41" customFormat="1" ht="15" customHeight="1"/>
    <row r="1794" s="41" customFormat="1" ht="15" customHeight="1"/>
    <row r="1795" s="41" customFormat="1" ht="15" customHeight="1"/>
    <row r="1796" s="41" customFormat="1" ht="15" customHeight="1"/>
    <row r="1797" s="41" customFormat="1" ht="15" customHeight="1"/>
    <row r="1798" s="41" customFormat="1" ht="15" customHeight="1"/>
    <row r="1799" s="41" customFormat="1" ht="15" customHeight="1"/>
    <row r="1800" s="41" customFormat="1" ht="15" customHeight="1"/>
    <row r="1801" s="41" customFormat="1" ht="15" customHeight="1"/>
    <row r="1802" s="41" customFormat="1" ht="15" customHeight="1"/>
    <row r="1803" s="41" customFormat="1" ht="15" customHeight="1"/>
    <row r="1804" s="41" customFormat="1" ht="15" customHeight="1"/>
    <row r="1805" s="41" customFormat="1" ht="15" customHeight="1"/>
    <row r="1806" s="41" customFormat="1" ht="15" customHeight="1"/>
    <row r="1807" s="41" customFormat="1" ht="15" customHeight="1"/>
    <row r="1808" s="41" customFormat="1" ht="15" customHeight="1"/>
    <row r="1809" s="41" customFormat="1" ht="15" customHeight="1"/>
    <row r="1810" s="41" customFormat="1" ht="15" customHeight="1"/>
    <row r="1811" s="41" customFormat="1" ht="15" customHeight="1"/>
    <row r="1812" s="41" customFormat="1" ht="15" customHeight="1"/>
    <row r="1813" s="41" customFormat="1" ht="15" customHeight="1"/>
    <row r="1814" s="41" customFormat="1" ht="15" customHeight="1"/>
    <row r="1815" s="41" customFormat="1" ht="15" customHeight="1"/>
    <row r="1816" s="41" customFormat="1" ht="15" customHeight="1"/>
    <row r="1817" s="41" customFormat="1" ht="15" customHeight="1"/>
    <row r="1818" s="41" customFormat="1" ht="15" customHeight="1"/>
    <row r="1819" s="41" customFormat="1" ht="15" customHeight="1"/>
    <row r="1820" s="41" customFormat="1" ht="15" customHeight="1"/>
    <row r="1821" s="41" customFormat="1" ht="15" customHeight="1"/>
    <row r="1822" s="41" customFormat="1" ht="15" customHeight="1"/>
    <row r="1823" s="41" customFormat="1" ht="15" customHeight="1"/>
    <row r="1824" s="41" customFormat="1" ht="15" customHeight="1"/>
    <row r="1825" s="41" customFormat="1" ht="15" customHeight="1"/>
    <row r="1826" s="41" customFormat="1" ht="15" customHeight="1"/>
    <row r="1827" s="41" customFormat="1" ht="15" customHeight="1"/>
    <row r="1828" s="41" customFormat="1" ht="15" customHeight="1"/>
    <row r="1829" s="41" customFormat="1" ht="15" customHeight="1"/>
    <row r="1830" s="41" customFormat="1" ht="15" customHeight="1"/>
    <row r="1831" s="41" customFormat="1" ht="15" customHeight="1"/>
    <row r="1832" s="41" customFormat="1" ht="15" customHeight="1"/>
    <row r="1833" s="41" customFormat="1" ht="15" customHeight="1"/>
    <row r="1834" s="41" customFormat="1" ht="15" customHeight="1"/>
    <row r="1835" s="41" customFormat="1" ht="15" customHeight="1"/>
    <row r="1836" s="41" customFormat="1" ht="15" customHeight="1"/>
    <row r="1837" s="41" customFormat="1" ht="15" customHeight="1"/>
    <row r="1838" s="41" customFormat="1" ht="15" customHeight="1"/>
    <row r="1839" s="41" customFormat="1" ht="15" customHeight="1"/>
    <row r="1840" s="41" customFormat="1" ht="15" customHeight="1"/>
    <row r="1841" s="41" customFormat="1" ht="15" customHeight="1"/>
    <row r="1842" s="41" customFormat="1" ht="15" customHeight="1"/>
    <row r="1843" s="41" customFormat="1" ht="15" customHeight="1"/>
    <row r="1844" s="41" customFormat="1" ht="15" customHeight="1"/>
    <row r="1845" s="41" customFormat="1" ht="15" customHeight="1"/>
    <row r="1846" s="41" customFormat="1" ht="15" customHeight="1"/>
    <row r="1847" s="41" customFormat="1" ht="15" customHeight="1"/>
    <row r="1848" s="41" customFormat="1" ht="15" customHeight="1"/>
    <row r="1849" s="41" customFormat="1" ht="15" customHeight="1"/>
    <row r="1850" s="41" customFormat="1" ht="15" customHeight="1"/>
    <row r="1851" s="41" customFormat="1" ht="15" customHeight="1"/>
    <row r="1852" s="41" customFormat="1" ht="15" customHeight="1"/>
    <row r="1853" s="41" customFormat="1" ht="15" customHeight="1"/>
    <row r="1854" s="41" customFormat="1" ht="15" customHeight="1"/>
    <row r="1855" s="41" customFormat="1" ht="15" customHeight="1"/>
    <row r="1856" s="41" customFormat="1" ht="15" customHeight="1"/>
    <row r="1857" s="41" customFormat="1" ht="15" customHeight="1"/>
    <row r="1858" s="41" customFormat="1" ht="15" customHeight="1"/>
    <row r="1859" s="41" customFormat="1" ht="15" customHeight="1"/>
    <row r="1860" s="41" customFormat="1" ht="15" customHeight="1"/>
    <row r="1861" s="41" customFormat="1" ht="15" customHeight="1"/>
    <row r="1862" s="41" customFormat="1" ht="15" customHeight="1"/>
    <row r="1863" s="41" customFormat="1" ht="15" customHeight="1"/>
    <row r="1864" s="41" customFormat="1" ht="15" customHeight="1"/>
    <row r="1865" s="41" customFormat="1" ht="15" customHeight="1"/>
    <row r="1866" s="41" customFormat="1" ht="15" customHeight="1"/>
    <row r="1867" s="41" customFormat="1" ht="15" customHeight="1"/>
    <row r="1868" s="41" customFormat="1" ht="15" customHeight="1"/>
    <row r="1869" s="41" customFormat="1" ht="15" customHeight="1"/>
    <row r="1870" s="41" customFormat="1" ht="15" customHeight="1"/>
    <row r="1871" s="41" customFormat="1" ht="15" customHeight="1"/>
    <row r="1872" s="41" customFormat="1" ht="15" customHeight="1"/>
    <row r="1873" s="41" customFormat="1" ht="15" customHeight="1"/>
    <row r="1874" s="41" customFormat="1" ht="15" customHeight="1"/>
    <row r="1875" s="41" customFormat="1" ht="15" customHeight="1"/>
    <row r="1876" s="41" customFormat="1" ht="15" customHeight="1"/>
    <row r="1877" s="41" customFormat="1" ht="15" customHeight="1"/>
    <row r="1878" s="41" customFormat="1" ht="15" customHeight="1"/>
    <row r="1879" s="41" customFormat="1" ht="15" customHeight="1"/>
    <row r="1880" s="41" customFormat="1" ht="15" customHeight="1"/>
    <row r="1881" s="41" customFormat="1" ht="15" customHeight="1"/>
    <row r="1882" s="41" customFormat="1" ht="15" customHeight="1"/>
    <row r="1883" s="41" customFormat="1" ht="15" customHeight="1"/>
    <row r="1884" s="41" customFormat="1" ht="15" customHeight="1"/>
    <row r="1885" s="41" customFormat="1" ht="15" customHeight="1"/>
    <row r="1886" s="41" customFormat="1" ht="15" customHeight="1"/>
    <row r="1887" s="41" customFormat="1" ht="15" customHeight="1"/>
    <row r="1888" s="41" customFormat="1" ht="15" customHeight="1"/>
    <row r="1889" s="41" customFormat="1" ht="15" customHeight="1"/>
    <row r="1890" s="41" customFormat="1" ht="15" customHeight="1"/>
    <row r="1891" s="41" customFormat="1" ht="15" customHeight="1"/>
    <row r="1892" s="41" customFormat="1" ht="15" customHeight="1"/>
    <row r="1893" s="41" customFormat="1" ht="15" customHeight="1"/>
    <row r="1894" s="41" customFormat="1" ht="15" customHeight="1"/>
    <row r="1895" s="41" customFormat="1" ht="15" customHeight="1"/>
    <row r="1896" s="41" customFormat="1" ht="15" customHeight="1"/>
    <row r="1897" s="41" customFormat="1" ht="15" customHeight="1"/>
    <row r="1898" s="41" customFormat="1" ht="15" customHeight="1"/>
    <row r="1899" s="41" customFormat="1" ht="15" customHeight="1"/>
    <row r="1900" s="41" customFormat="1" ht="15" customHeight="1"/>
    <row r="1901" s="41" customFormat="1" ht="15" customHeight="1"/>
    <row r="1902" s="41" customFormat="1" ht="15" customHeight="1"/>
    <row r="1903" s="41" customFormat="1" ht="15" customHeight="1"/>
    <row r="1904" s="41" customFormat="1" ht="15" customHeight="1"/>
    <row r="1905" s="41" customFormat="1" ht="15" customHeight="1"/>
    <row r="1906" s="41" customFormat="1" ht="15" customHeight="1"/>
    <row r="1907" s="41" customFormat="1" ht="15" customHeight="1"/>
    <row r="1908" s="41" customFormat="1" ht="15" customHeight="1"/>
    <row r="1909" s="41" customFormat="1" ht="15" customHeight="1"/>
    <row r="1910" s="41" customFormat="1" ht="15" customHeight="1"/>
    <row r="1911" s="41" customFormat="1" ht="15" customHeight="1"/>
    <row r="1912" s="41" customFormat="1" ht="15" customHeight="1"/>
    <row r="1913" s="41" customFormat="1" ht="15" customHeight="1"/>
    <row r="1914" s="41" customFormat="1" ht="15" customHeight="1"/>
    <row r="1915" s="41" customFormat="1" ht="15" customHeight="1"/>
    <row r="1916" s="41" customFormat="1" ht="15" customHeight="1"/>
    <row r="1917" s="41" customFormat="1" ht="15" customHeight="1"/>
    <row r="1918" s="41" customFormat="1" ht="15" customHeight="1"/>
    <row r="1919" s="41" customFormat="1" ht="15" customHeight="1"/>
    <row r="1920" s="41" customFormat="1" ht="15" customHeight="1"/>
    <row r="1921" s="41" customFormat="1" ht="15" customHeight="1"/>
    <row r="1922" s="41" customFormat="1" ht="15" customHeight="1"/>
    <row r="1923" s="41" customFormat="1" ht="15" customHeight="1"/>
    <row r="1924" s="41" customFormat="1" ht="15" customHeight="1"/>
    <row r="1925" s="41" customFormat="1" ht="15" customHeight="1"/>
    <row r="1926" s="41" customFormat="1" ht="15" customHeight="1"/>
    <row r="1927" s="41" customFormat="1" ht="15" customHeight="1"/>
    <row r="1928" s="41" customFormat="1" ht="15" customHeight="1"/>
    <row r="1929" s="41" customFormat="1" ht="15" customHeight="1"/>
    <row r="1930" s="41" customFormat="1" ht="15" customHeight="1"/>
    <row r="1931" s="41" customFormat="1" ht="15" customHeight="1"/>
    <row r="1932" s="41" customFormat="1" ht="15" customHeight="1"/>
    <row r="1933" s="41" customFormat="1" ht="15" customHeight="1"/>
    <row r="1934" s="41" customFormat="1" ht="15" customHeight="1"/>
    <row r="1935" s="41" customFormat="1" ht="15" customHeight="1"/>
    <row r="1936" s="41" customFormat="1" ht="15" customHeight="1"/>
    <row r="1937" s="41" customFormat="1" ht="15" customHeight="1"/>
    <row r="1938" s="41" customFormat="1" ht="15" customHeight="1"/>
    <row r="1939" s="41" customFormat="1" ht="15" customHeight="1"/>
    <row r="1940" s="41" customFormat="1" ht="15" customHeight="1"/>
    <row r="1941" s="41" customFormat="1" ht="15" customHeight="1"/>
    <row r="1942" s="41" customFormat="1" ht="15" customHeight="1"/>
    <row r="1943" s="41" customFormat="1" ht="15" customHeight="1"/>
    <row r="1944" s="41" customFormat="1" ht="15" customHeight="1"/>
    <row r="1945" s="41" customFormat="1" ht="15" customHeight="1"/>
    <row r="1946" s="41" customFormat="1" ht="15" customHeight="1"/>
    <row r="1947" s="41" customFormat="1" ht="15" customHeight="1"/>
    <row r="1948" s="41" customFormat="1" ht="15" customHeight="1"/>
    <row r="1949" s="41" customFormat="1" ht="15" customHeight="1"/>
    <row r="1950" s="41" customFormat="1" ht="15" customHeight="1"/>
    <row r="1951" s="41" customFormat="1" ht="15" customHeight="1"/>
    <row r="1952" s="41" customFormat="1" ht="15" customHeight="1"/>
    <row r="1953" s="41" customFormat="1" ht="15" customHeight="1"/>
    <row r="1954" s="41" customFormat="1" ht="15" customHeight="1"/>
    <row r="1955" s="41" customFormat="1" ht="15" customHeight="1"/>
    <row r="1956" s="41" customFormat="1" ht="15" customHeight="1"/>
    <row r="1957" s="41" customFormat="1" ht="15" customHeight="1"/>
    <row r="1958" s="41" customFormat="1" ht="15" customHeight="1"/>
    <row r="1959" s="41" customFormat="1" ht="15" customHeight="1"/>
    <row r="1960" s="41" customFormat="1" ht="15" customHeight="1"/>
    <row r="1961" s="41" customFormat="1" ht="15" customHeight="1"/>
    <row r="1962" s="41" customFormat="1" ht="15" customHeight="1"/>
    <row r="1963" s="41" customFormat="1" ht="15" customHeight="1"/>
    <row r="1964" s="41" customFormat="1" ht="15" customHeight="1"/>
    <row r="1965" s="41" customFormat="1" ht="15" customHeight="1"/>
    <row r="1966" s="41" customFormat="1" ht="15" customHeight="1"/>
    <row r="1967" s="41" customFormat="1" ht="15" customHeight="1"/>
    <row r="1968" s="41" customFormat="1" ht="15" customHeight="1"/>
    <row r="1969" s="41" customFormat="1" ht="15" customHeight="1"/>
    <row r="1970" s="41" customFormat="1" ht="15" customHeight="1"/>
    <row r="1971" s="41" customFormat="1" ht="15" customHeight="1"/>
    <row r="1972" s="41" customFormat="1" ht="15" customHeight="1"/>
    <row r="1973" s="41" customFormat="1" ht="15" customHeight="1"/>
    <row r="1974" s="41" customFormat="1" ht="15" customHeight="1"/>
    <row r="1975" s="41" customFormat="1" ht="15" customHeight="1"/>
    <row r="1976" s="41" customFormat="1" ht="15" customHeight="1"/>
    <row r="1977" s="41" customFormat="1" ht="15" customHeight="1"/>
    <row r="1978" s="41" customFormat="1" ht="15" customHeight="1"/>
    <row r="1979" s="41" customFormat="1" ht="15" customHeight="1"/>
    <row r="1980" s="41" customFormat="1" ht="15" customHeight="1"/>
    <row r="1981" s="41" customFormat="1" ht="15" customHeight="1"/>
    <row r="1982" s="41" customFormat="1" ht="15" customHeight="1"/>
    <row r="1983" s="41" customFormat="1" ht="15" customHeight="1"/>
    <row r="1984" s="41" customFormat="1" ht="15" customHeight="1"/>
    <row r="1985" s="41" customFormat="1" ht="15" customHeight="1"/>
    <row r="1986" s="41" customFormat="1" ht="15" customHeight="1"/>
    <row r="1987" s="41" customFormat="1" ht="15" customHeight="1"/>
    <row r="1988" s="41" customFormat="1" ht="15" customHeight="1"/>
    <row r="1989" s="41" customFormat="1" ht="15" customHeight="1"/>
    <row r="1990" s="41" customFormat="1" ht="15" customHeight="1"/>
    <row r="1991" s="41" customFormat="1" ht="15" customHeight="1"/>
    <row r="1992" s="41" customFormat="1" ht="15" customHeight="1"/>
    <row r="1993" s="41" customFormat="1" ht="15" customHeight="1"/>
    <row r="1994" s="41" customFormat="1" ht="15" customHeight="1"/>
    <row r="1995" s="41" customFormat="1" ht="15" customHeight="1"/>
    <row r="1996" s="41" customFormat="1" ht="15" customHeight="1"/>
    <row r="1997" s="41" customFormat="1" ht="15" customHeight="1"/>
    <row r="1998" s="41" customFormat="1" ht="15" customHeight="1"/>
    <row r="1999" s="41" customFormat="1" ht="15" customHeight="1"/>
    <row r="2000" s="41" customFormat="1" ht="15" customHeight="1"/>
    <row r="2001" s="41" customFormat="1" ht="15" customHeight="1"/>
    <row r="2002" s="41" customFormat="1" ht="15" customHeight="1"/>
    <row r="2003" s="41" customFormat="1" ht="15" customHeight="1"/>
    <row r="2004" s="41" customFormat="1" ht="15" customHeight="1"/>
    <row r="2005" s="41" customFormat="1" ht="15" customHeight="1"/>
    <row r="2006" s="41" customFormat="1" ht="15" customHeight="1"/>
    <row r="2007" s="41" customFormat="1" ht="15" customHeight="1"/>
    <row r="2008" s="41" customFormat="1" ht="15" customHeight="1"/>
    <row r="2009" s="41" customFormat="1" ht="15" customHeight="1"/>
    <row r="2010" s="41" customFormat="1" ht="15" customHeight="1"/>
    <row r="2011" s="41" customFormat="1" ht="15" customHeight="1"/>
    <row r="2012" s="41" customFormat="1" ht="15" customHeight="1"/>
    <row r="2013" s="41" customFormat="1" ht="15" customHeight="1"/>
    <row r="2014" s="41" customFormat="1" ht="15" customHeight="1"/>
    <row r="2015" s="41" customFormat="1" ht="15" customHeight="1"/>
    <row r="2016" s="41" customFormat="1" ht="15" customHeight="1"/>
    <row r="2017" s="41" customFormat="1" ht="15" customHeight="1"/>
    <row r="2018" s="41" customFormat="1" ht="15" customHeight="1"/>
    <row r="2019" s="41" customFormat="1" ht="15" customHeight="1"/>
    <row r="2020" s="41" customFormat="1" ht="15" customHeight="1"/>
    <row r="2021" s="41" customFormat="1" ht="15" customHeight="1"/>
    <row r="2022" s="41" customFormat="1" ht="15" customHeight="1"/>
    <row r="2023" s="41" customFormat="1" ht="15" customHeight="1"/>
    <row r="2024" s="41" customFormat="1" ht="15" customHeight="1"/>
    <row r="2025" s="41" customFormat="1" ht="15" customHeight="1"/>
    <row r="2026" s="41" customFormat="1" ht="15" customHeight="1"/>
    <row r="2027" s="41" customFormat="1" ht="15" customHeight="1"/>
    <row r="2028" s="41" customFormat="1" ht="15" customHeight="1"/>
    <row r="2029" s="41" customFormat="1" ht="15" customHeight="1"/>
    <row r="2030" s="41" customFormat="1" ht="15" customHeight="1"/>
    <row r="2031" s="41" customFormat="1" ht="15" customHeight="1"/>
    <row r="2032" s="41" customFormat="1" ht="15" customHeight="1"/>
    <row r="2033" s="41" customFormat="1" ht="15" customHeight="1"/>
    <row r="2034" s="41" customFormat="1" ht="15" customHeight="1"/>
    <row r="2035" s="41" customFormat="1" ht="15" customHeight="1"/>
    <row r="2036" s="41" customFormat="1" ht="15" customHeight="1"/>
    <row r="2037" s="41" customFormat="1" ht="15" customHeight="1"/>
    <row r="2038" s="41" customFormat="1" ht="15" customHeight="1"/>
    <row r="2039" s="41" customFormat="1" ht="15" customHeight="1"/>
    <row r="2040" s="41" customFormat="1" ht="15" customHeight="1"/>
    <row r="2041" s="41" customFormat="1" ht="15" customHeight="1"/>
    <row r="2042" s="41" customFormat="1" ht="15" customHeight="1"/>
    <row r="2043" s="41" customFormat="1" ht="15" customHeight="1"/>
    <row r="2044" s="41" customFormat="1" ht="15" customHeight="1"/>
    <row r="2045" s="41" customFormat="1" ht="15" customHeight="1"/>
    <row r="2046" s="41" customFormat="1" ht="15" customHeight="1"/>
    <row r="2047" s="41" customFormat="1" ht="15" customHeight="1"/>
    <row r="2048" s="41" customFormat="1" ht="15" customHeight="1"/>
    <row r="2049" s="41" customFormat="1" ht="15" customHeight="1"/>
    <row r="2050" s="41" customFormat="1" ht="15" customHeight="1"/>
    <row r="2051" s="41" customFormat="1" ht="15" customHeight="1"/>
    <row r="2052" s="41" customFormat="1" ht="15" customHeight="1"/>
    <row r="2053" s="41" customFormat="1" ht="15" customHeight="1"/>
    <row r="2054" s="41" customFormat="1" ht="15" customHeight="1"/>
    <row r="2055" s="41" customFormat="1" ht="15" customHeight="1"/>
    <row r="2056" s="41" customFormat="1" ht="15" customHeight="1"/>
    <row r="2057" s="41" customFormat="1" ht="15" customHeight="1"/>
    <row r="2058" s="41" customFormat="1" ht="15" customHeight="1"/>
    <row r="2059" s="41" customFormat="1" ht="15" customHeight="1"/>
    <row r="2060" s="41" customFormat="1" ht="15" customHeight="1"/>
    <row r="2061" s="41" customFormat="1" ht="15" customHeight="1"/>
    <row r="2062" s="41" customFormat="1" ht="15" customHeight="1"/>
    <row r="2063" s="41" customFormat="1" ht="15" customHeight="1"/>
    <row r="2064" s="41" customFormat="1" ht="15" customHeight="1"/>
    <row r="2065" s="41" customFormat="1" ht="15" customHeight="1"/>
    <row r="2066" s="41" customFormat="1" ht="15" customHeight="1"/>
    <row r="2067" s="41" customFormat="1" ht="15" customHeight="1"/>
    <row r="2068" s="41" customFormat="1" ht="15" customHeight="1"/>
    <row r="2069" s="41" customFormat="1" ht="15" customHeight="1"/>
    <row r="2070" s="41" customFormat="1" ht="15" customHeight="1"/>
    <row r="2071" s="41" customFormat="1" ht="15" customHeight="1"/>
    <row r="2072" s="41" customFormat="1" ht="15" customHeight="1"/>
    <row r="2073" s="41" customFormat="1" ht="15" customHeight="1"/>
    <row r="2074" s="41" customFormat="1" ht="15" customHeight="1"/>
    <row r="2075" s="41" customFormat="1" ht="15" customHeight="1"/>
    <row r="2076" s="41" customFormat="1" ht="15" customHeight="1"/>
    <row r="2077" s="41" customFormat="1" ht="15" customHeight="1"/>
    <row r="2078" s="41" customFormat="1" ht="15" customHeight="1"/>
    <row r="2079" s="41" customFormat="1" ht="15" customHeight="1"/>
    <row r="2080" s="41" customFormat="1" ht="15" customHeight="1"/>
    <row r="2081" s="41" customFormat="1" ht="15" customHeight="1"/>
    <row r="2082" s="41" customFormat="1" ht="15" customHeight="1"/>
    <row r="2083" s="41" customFormat="1" ht="15" customHeight="1"/>
    <row r="2084" s="41" customFormat="1" ht="15" customHeight="1"/>
    <row r="2085" s="41" customFormat="1" ht="15" customHeight="1"/>
    <row r="2086" s="41" customFormat="1" ht="15" customHeight="1"/>
    <row r="2087" s="41" customFormat="1" ht="15" customHeight="1"/>
    <row r="2088" s="41" customFormat="1" ht="15" customHeight="1"/>
    <row r="2089" s="41" customFormat="1" ht="15" customHeight="1"/>
    <row r="2090" s="41" customFormat="1" ht="15" customHeight="1"/>
    <row r="2091" s="41" customFormat="1" ht="15" customHeight="1"/>
    <row r="2092" s="41" customFormat="1" ht="15" customHeight="1"/>
    <row r="2093" s="41" customFormat="1" ht="15" customHeight="1"/>
    <row r="2094" s="41" customFormat="1" ht="15" customHeight="1"/>
    <row r="2095" s="41" customFormat="1" ht="15" customHeight="1"/>
    <row r="2096" s="41" customFormat="1" ht="15" customHeight="1"/>
    <row r="2097" s="41" customFormat="1" ht="15" customHeight="1"/>
    <row r="2098" s="41" customFormat="1" ht="15" customHeight="1"/>
    <row r="2099" s="41" customFormat="1" ht="15" customHeight="1"/>
    <row r="2100" s="41" customFormat="1" ht="15" customHeight="1"/>
    <row r="2101" s="41" customFormat="1" ht="15" customHeight="1"/>
    <row r="2102" s="41" customFormat="1" ht="15" customHeight="1"/>
    <row r="2103" s="41" customFormat="1" ht="15" customHeight="1"/>
    <row r="2104" s="41" customFormat="1" ht="15" customHeight="1"/>
    <row r="2105" s="41" customFormat="1" ht="15" customHeight="1"/>
    <row r="2106" s="41" customFormat="1" ht="15" customHeight="1"/>
    <row r="2107" s="41" customFormat="1" ht="15" customHeight="1"/>
    <row r="2108" s="41" customFormat="1" ht="15" customHeight="1"/>
    <row r="2109" s="41" customFormat="1" ht="15" customHeight="1"/>
    <row r="2110" s="41" customFormat="1" ht="15" customHeight="1"/>
    <row r="2111" s="41" customFormat="1" ht="15" customHeight="1"/>
    <row r="2112" s="41" customFormat="1" ht="15" customHeight="1"/>
    <row r="2113" s="41" customFormat="1" ht="15" customHeight="1"/>
    <row r="2114" s="41" customFormat="1" ht="15" customHeight="1"/>
    <row r="2115" s="41" customFormat="1" ht="15" customHeight="1"/>
    <row r="2116" s="41" customFormat="1" ht="15" customHeight="1"/>
    <row r="2117" s="41" customFormat="1" ht="15" customHeight="1"/>
    <row r="2118" s="41" customFormat="1" ht="15" customHeight="1"/>
    <row r="2119" s="41" customFormat="1" ht="15" customHeight="1"/>
    <row r="2120" s="41" customFormat="1" ht="15" customHeight="1"/>
    <row r="2121" s="41" customFormat="1" ht="15" customHeight="1"/>
    <row r="2122" s="41" customFormat="1" ht="15" customHeight="1"/>
    <row r="2123" s="41" customFormat="1" ht="15" customHeight="1"/>
    <row r="2124" s="41" customFormat="1" ht="15" customHeight="1"/>
    <row r="2125" s="41" customFormat="1" ht="15" customHeight="1"/>
    <row r="2126" s="41" customFormat="1" ht="15" customHeight="1"/>
    <row r="2127" s="41" customFormat="1" ht="15" customHeight="1"/>
    <row r="2128" s="41" customFormat="1" ht="15" customHeight="1"/>
    <row r="2129" s="41" customFormat="1" ht="15" customHeight="1"/>
    <row r="2130" s="41" customFormat="1" ht="15" customHeight="1"/>
    <row r="2131" s="41" customFormat="1" ht="15" customHeight="1"/>
    <row r="2132" s="41" customFormat="1" ht="15" customHeight="1"/>
    <row r="2133" s="41" customFormat="1" ht="15" customHeight="1"/>
    <row r="2134" s="41" customFormat="1" ht="15" customHeight="1"/>
    <row r="2135" s="41" customFormat="1" ht="15" customHeight="1"/>
    <row r="2136" s="41" customFormat="1" ht="15" customHeight="1"/>
    <row r="2137" s="41" customFormat="1" ht="15" customHeight="1"/>
    <row r="2138" s="41" customFormat="1" ht="15" customHeight="1"/>
    <row r="2139" s="41" customFormat="1" ht="15" customHeight="1"/>
    <row r="2140" s="41" customFormat="1" ht="15" customHeight="1"/>
    <row r="2141" s="41" customFormat="1" ht="15" customHeight="1"/>
    <row r="2142" s="41" customFormat="1" ht="15" customHeight="1"/>
    <row r="2143" s="41" customFormat="1" ht="15" customHeight="1"/>
    <row r="2144" s="41" customFormat="1" ht="15" customHeight="1"/>
    <row r="2145" s="41" customFormat="1" ht="15" customHeight="1"/>
    <row r="2146" s="41" customFormat="1" ht="15" customHeight="1"/>
    <row r="2147" s="41" customFormat="1" ht="15" customHeight="1"/>
    <row r="2148" s="41" customFormat="1" ht="15" customHeight="1"/>
    <row r="2149" s="41" customFormat="1" ht="15" customHeight="1"/>
    <row r="2150" s="41" customFormat="1" ht="15" customHeight="1"/>
    <row r="2151" s="41" customFormat="1" ht="15" customHeight="1"/>
    <row r="2152" s="41" customFormat="1" ht="15" customHeight="1"/>
    <row r="2153" s="41" customFormat="1" ht="15" customHeight="1"/>
    <row r="2154" s="41" customFormat="1" ht="15" customHeight="1"/>
    <row r="2155" s="41" customFormat="1" ht="15" customHeight="1"/>
    <row r="2156" s="41" customFormat="1" ht="15" customHeight="1"/>
    <row r="2157" s="41" customFormat="1" ht="15" customHeight="1"/>
    <row r="2158" s="41" customFormat="1" ht="15" customHeight="1"/>
    <row r="2159" s="41" customFormat="1" ht="15" customHeight="1"/>
    <row r="2160" s="41" customFormat="1" ht="15" customHeight="1"/>
    <row r="2161" s="41" customFormat="1" ht="15" customHeight="1"/>
    <row r="2162" s="41" customFormat="1" ht="15" customHeight="1"/>
    <row r="2163" s="41" customFormat="1" ht="15" customHeight="1"/>
    <row r="2164" s="41" customFormat="1" ht="15" customHeight="1"/>
    <row r="2165" s="41" customFormat="1" ht="15" customHeight="1"/>
    <row r="2166" s="41" customFormat="1" ht="15" customHeight="1"/>
    <row r="2167" s="41" customFormat="1" ht="15" customHeight="1"/>
    <row r="2168" s="41" customFormat="1" ht="15" customHeight="1"/>
    <row r="2169" s="41" customFormat="1" ht="15" customHeight="1"/>
    <row r="2170" s="41" customFormat="1" ht="15" customHeight="1"/>
    <row r="2171" s="41" customFormat="1" ht="15" customHeight="1"/>
    <row r="2172" s="41" customFormat="1" ht="15" customHeight="1"/>
    <row r="2173" s="41" customFormat="1" ht="15" customHeight="1"/>
    <row r="2174" s="41" customFormat="1" ht="15" customHeight="1"/>
    <row r="2175" s="41" customFormat="1" ht="15" customHeight="1"/>
    <row r="2176" s="41" customFormat="1" ht="15" customHeight="1"/>
    <row r="2177" s="41" customFormat="1" ht="15" customHeight="1"/>
    <row r="2178" s="41" customFormat="1" ht="15" customHeight="1"/>
    <row r="2179" s="41" customFormat="1" ht="15" customHeight="1"/>
    <row r="2180" s="41" customFormat="1" ht="15" customHeight="1"/>
    <row r="2181" s="41" customFormat="1" ht="15" customHeight="1"/>
    <row r="2182" s="41" customFormat="1" ht="15" customHeight="1"/>
    <row r="2183" s="41" customFormat="1" ht="15" customHeight="1"/>
    <row r="2184" s="41" customFormat="1" ht="15" customHeight="1"/>
    <row r="2185" s="41" customFormat="1" ht="15" customHeight="1"/>
    <row r="2186" s="41" customFormat="1" ht="15" customHeight="1"/>
    <row r="2187" s="41" customFormat="1" ht="15" customHeight="1"/>
    <row r="2188" s="41" customFormat="1" ht="15" customHeight="1"/>
    <row r="2189" s="41" customFormat="1" ht="15" customHeight="1"/>
    <row r="2190" s="41" customFormat="1" ht="15" customHeight="1"/>
    <row r="2191" s="41" customFormat="1" ht="15" customHeight="1"/>
    <row r="2192" s="41" customFormat="1" ht="15" customHeight="1"/>
    <row r="2193" s="41" customFormat="1" ht="15" customHeight="1"/>
    <row r="2194" s="41" customFormat="1" ht="15" customHeight="1"/>
    <row r="2195" s="41" customFormat="1" ht="15" customHeight="1"/>
    <row r="2196" s="41" customFormat="1" ht="15" customHeight="1"/>
    <row r="2197" s="41" customFormat="1" ht="15" customHeight="1"/>
    <row r="2198" s="41" customFormat="1" ht="15" customHeight="1"/>
    <row r="2199" s="41" customFormat="1" ht="15" customHeight="1"/>
    <row r="2200" s="41" customFormat="1" ht="15" customHeight="1"/>
    <row r="2201" s="41" customFormat="1" ht="15" customHeight="1"/>
    <row r="2202" s="41" customFormat="1" ht="15" customHeight="1"/>
    <row r="2203" s="41" customFormat="1" ht="15" customHeight="1"/>
    <row r="2204" s="41" customFormat="1" ht="15" customHeight="1"/>
    <row r="2205" s="41" customFormat="1" ht="15" customHeight="1"/>
    <row r="2206" s="41" customFormat="1" ht="15" customHeight="1"/>
    <row r="2207" s="41" customFormat="1" ht="15" customHeight="1"/>
    <row r="2208" s="41" customFormat="1" ht="15" customHeight="1"/>
    <row r="2209" s="41" customFormat="1" ht="15" customHeight="1"/>
    <row r="2210" s="41" customFormat="1" ht="15" customHeight="1"/>
    <row r="2211" s="41" customFormat="1" ht="15" customHeight="1"/>
    <row r="2212" s="41" customFormat="1" ht="15" customHeight="1"/>
    <row r="2213" s="41" customFormat="1" ht="15" customHeight="1"/>
    <row r="2214" s="41" customFormat="1" ht="15" customHeight="1"/>
    <row r="2215" s="41" customFormat="1" ht="15" customHeight="1"/>
    <row r="2216" s="41" customFormat="1" ht="15" customHeight="1"/>
    <row r="2217" s="41" customFormat="1" ht="15" customHeight="1"/>
    <row r="2218" s="41" customFormat="1" ht="15" customHeight="1"/>
    <row r="2219" s="41" customFormat="1" ht="15" customHeight="1"/>
    <row r="2220" s="41" customFormat="1" ht="15" customHeight="1"/>
    <row r="2221" s="41" customFormat="1" ht="15" customHeight="1"/>
    <row r="2222" s="41" customFormat="1" ht="15" customHeight="1"/>
    <row r="2223" s="41" customFormat="1" ht="15" customHeight="1"/>
    <row r="2224" s="41" customFormat="1" ht="15" customHeight="1"/>
    <row r="2225" s="41" customFormat="1" ht="15" customHeight="1"/>
    <row r="2226" s="41" customFormat="1" ht="15" customHeight="1"/>
    <row r="2227" s="41" customFormat="1" ht="15" customHeight="1"/>
    <row r="2228" s="41" customFormat="1" ht="15" customHeight="1"/>
    <row r="2229" s="41" customFormat="1" ht="15" customHeight="1"/>
    <row r="2230" s="41" customFormat="1" ht="15" customHeight="1"/>
    <row r="2231" s="41" customFormat="1" ht="15" customHeight="1"/>
    <row r="2232" s="41" customFormat="1" ht="15" customHeight="1"/>
    <row r="2233" s="41" customFormat="1" ht="15" customHeight="1"/>
    <row r="2234" s="41" customFormat="1" ht="15" customHeight="1"/>
    <row r="2235" s="41" customFormat="1" ht="15" customHeight="1"/>
    <row r="2236" s="41" customFormat="1" ht="15" customHeight="1"/>
    <row r="2237" s="41" customFormat="1" ht="15" customHeight="1"/>
    <row r="2238" s="41" customFormat="1" ht="15" customHeight="1"/>
    <row r="2239" s="41" customFormat="1" ht="15" customHeight="1"/>
    <row r="2240" s="41" customFormat="1" ht="15" customHeight="1"/>
    <row r="2241" s="41" customFormat="1" ht="15" customHeight="1"/>
    <row r="2242" s="41" customFormat="1" ht="15" customHeight="1"/>
    <row r="2243" s="41" customFormat="1" ht="15" customHeight="1"/>
    <row r="2244" s="41" customFormat="1" ht="15" customHeight="1"/>
    <row r="2245" s="41" customFormat="1" ht="15" customHeight="1"/>
    <row r="2246" s="41" customFormat="1" ht="15" customHeight="1"/>
    <row r="2247" s="41" customFormat="1" ht="15" customHeight="1"/>
    <row r="2248" s="41" customFormat="1" ht="15" customHeight="1"/>
    <row r="2249" s="41" customFormat="1" ht="15" customHeight="1"/>
    <row r="2250" s="41" customFormat="1" ht="15" customHeight="1"/>
    <row r="2251" s="41" customFormat="1" ht="15" customHeight="1"/>
    <row r="2252" s="41" customFormat="1" ht="15" customHeight="1"/>
    <row r="2253" s="41" customFormat="1" ht="15" customHeight="1"/>
    <row r="2254" s="41" customFormat="1" ht="15" customHeight="1"/>
    <row r="2255" s="41" customFormat="1" ht="15" customHeight="1"/>
    <row r="2256" s="41" customFormat="1" ht="15" customHeight="1"/>
    <row r="2257" s="41" customFormat="1" ht="15" customHeight="1"/>
    <row r="2258" s="41" customFormat="1" ht="15" customHeight="1"/>
    <row r="2259" s="41" customFormat="1" ht="15" customHeight="1"/>
    <row r="2260" s="41" customFormat="1" ht="15" customHeight="1"/>
    <row r="2261" s="41" customFormat="1" ht="15" customHeight="1"/>
    <row r="2262" s="41" customFormat="1" ht="15" customHeight="1"/>
    <row r="2263" s="41" customFormat="1" ht="15" customHeight="1"/>
    <row r="2264" s="41" customFormat="1" ht="15" customHeight="1"/>
    <row r="2265" s="41" customFormat="1" ht="15" customHeight="1"/>
    <row r="2266" s="41" customFormat="1" ht="15" customHeight="1"/>
    <row r="2267" s="41" customFormat="1" ht="15" customHeight="1"/>
    <row r="2268" s="41" customFormat="1" ht="15" customHeight="1"/>
    <row r="2269" s="41" customFormat="1" ht="15" customHeight="1"/>
    <row r="2270" s="41" customFormat="1" ht="15" customHeight="1"/>
    <row r="2271" s="41" customFormat="1" ht="15" customHeight="1"/>
    <row r="2272" s="41" customFormat="1" ht="15" customHeight="1"/>
    <row r="2273" s="41" customFormat="1" ht="15" customHeight="1"/>
    <row r="2274" s="41" customFormat="1" ht="15" customHeight="1"/>
    <row r="2275" s="41" customFormat="1" ht="15" customHeight="1"/>
    <row r="2276" s="41" customFormat="1" ht="15" customHeight="1"/>
    <row r="2277" s="41" customFormat="1" ht="15" customHeight="1"/>
    <row r="2278" s="41" customFormat="1" ht="15" customHeight="1"/>
    <row r="2279" s="41" customFormat="1" ht="15" customHeight="1"/>
    <row r="2280" s="41" customFormat="1" ht="15" customHeight="1"/>
    <row r="2281" s="41" customFormat="1" ht="15" customHeight="1"/>
    <row r="2282" s="41" customFormat="1" ht="15" customHeight="1"/>
    <row r="2283" s="41" customFormat="1" ht="15" customHeight="1"/>
    <row r="2284" s="41" customFormat="1" ht="15" customHeight="1"/>
    <row r="2285" s="41" customFormat="1" ht="15" customHeight="1"/>
    <row r="2286" s="41" customFormat="1" ht="15" customHeight="1"/>
    <row r="2287" s="41" customFormat="1" ht="15" customHeight="1"/>
    <row r="2288" s="41" customFormat="1" ht="15" customHeight="1"/>
    <row r="2289" s="41" customFormat="1" ht="15" customHeight="1"/>
    <row r="2290" s="41" customFormat="1" ht="15" customHeight="1"/>
    <row r="2291" s="41" customFormat="1" ht="15" customHeight="1"/>
    <row r="2292" s="41" customFormat="1" ht="15" customHeight="1"/>
    <row r="2293" s="41" customFormat="1" ht="15" customHeight="1"/>
    <row r="2294" s="41" customFormat="1" ht="15" customHeight="1"/>
    <row r="2295" s="41" customFormat="1" ht="15" customHeight="1"/>
    <row r="2296" s="41" customFormat="1" ht="15" customHeight="1"/>
    <row r="2297" s="41" customFormat="1" ht="15" customHeight="1"/>
    <row r="2298" s="41" customFormat="1" ht="15" customHeight="1"/>
    <row r="2299" s="41" customFormat="1" ht="15" customHeight="1"/>
    <row r="2300" s="41" customFormat="1" ht="15" customHeight="1"/>
    <row r="2301" s="41" customFormat="1" ht="15" customHeight="1"/>
    <row r="2302" s="41" customFormat="1" ht="15" customHeight="1"/>
    <row r="2303" s="41" customFormat="1" ht="15" customHeight="1"/>
    <row r="2304" s="41" customFormat="1" ht="15" customHeight="1"/>
    <row r="2305" s="41" customFormat="1" ht="15" customHeight="1"/>
    <row r="2306" s="41" customFormat="1" ht="15" customHeight="1"/>
    <row r="2307" s="41" customFormat="1" ht="15" customHeight="1"/>
    <row r="2308" s="41" customFormat="1" ht="15" customHeight="1"/>
    <row r="2309" s="41" customFormat="1" ht="15" customHeight="1"/>
    <row r="2310" s="41" customFormat="1" ht="15" customHeight="1"/>
    <row r="2311" s="41" customFormat="1" ht="15" customHeight="1"/>
    <row r="2312" s="41" customFormat="1" ht="15" customHeight="1"/>
    <row r="2313" s="41" customFormat="1" ht="15" customHeight="1"/>
    <row r="2314" s="41" customFormat="1" ht="15" customHeight="1"/>
    <row r="2315" s="41" customFormat="1" ht="15" customHeight="1"/>
    <row r="2316" s="41" customFormat="1" ht="15" customHeight="1"/>
    <row r="2317" s="41" customFormat="1" ht="15" customHeight="1"/>
    <row r="2318" s="41" customFormat="1" ht="15" customHeight="1"/>
    <row r="2319" s="41" customFormat="1" ht="15" customHeight="1"/>
    <row r="2320" s="41" customFormat="1" ht="15" customHeight="1"/>
    <row r="2321" s="41" customFormat="1" ht="15" customHeight="1"/>
    <row r="2322" s="41" customFormat="1" ht="15" customHeight="1"/>
    <row r="2323" s="41" customFormat="1" ht="15" customHeight="1"/>
    <row r="2324" s="41" customFormat="1" ht="15" customHeight="1"/>
    <row r="2325" s="41" customFormat="1" ht="15" customHeight="1"/>
    <row r="2326" s="41" customFormat="1" ht="15" customHeight="1"/>
    <row r="2327" s="41" customFormat="1" ht="15" customHeight="1"/>
    <row r="2328" s="41" customFormat="1" ht="15" customHeight="1"/>
    <row r="2329" s="41" customFormat="1" ht="15" customHeight="1"/>
  </sheetData>
  <mergeCells count="4">
    <mergeCell ref="B6:E6"/>
    <mergeCell ref="B24:E24"/>
    <mergeCell ref="B46:E46"/>
    <mergeCell ref="B65:B67"/>
  </mergeCells>
  <pageMargins left="0.7" right="0.7" top="0.75" bottom="0.75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7C60-2114-784F-8052-87BD5D094EBF}">
  <dimension ref="A1:X2326"/>
  <sheetViews>
    <sheetView tabSelected="1" topLeftCell="A44" zoomScale="125" workbookViewId="0">
      <selection activeCell="D58" sqref="D58"/>
    </sheetView>
  </sheetViews>
  <sheetFormatPr baseColWidth="10" defaultColWidth="14.5" defaultRowHeight="15" customHeight="1"/>
  <cols>
    <col min="1" max="1" width="10.1640625" customWidth="1"/>
    <col min="2" max="2" width="18.5" customWidth="1"/>
    <col min="3" max="4" width="13.6640625" customWidth="1"/>
    <col min="5" max="5" width="21.6640625" customWidth="1"/>
    <col min="6" max="6" width="13" customWidth="1"/>
    <col min="7" max="24" width="8.6640625" customWidth="1"/>
    <col min="25" max="16384" width="14.5" style="41"/>
  </cols>
  <sheetData>
    <row r="1" spans="1:24" ht="16">
      <c r="A1" s="19"/>
      <c r="B1" s="19"/>
      <c r="C1" s="19"/>
      <c r="D1" s="19"/>
      <c r="E1" s="20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18">
      <c r="A2" s="19"/>
      <c r="B2" s="21" t="s">
        <v>33</v>
      </c>
      <c r="C2" s="21"/>
      <c r="D2" s="21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16">
      <c r="A3" s="19"/>
      <c r="B3" s="42" t="s">
        <v>57</v>
      </c>
      <c r="C3" s="19"/>
      <c r="D3" s="19"/>
      <c r="E3" s="20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ht="16">
      <c r="A4" s="19"/>
      <c r="B4" s="19"/>
      <c r="C4" s="19"/>
      <c r="D4" s="19"/>
      <c r="E4" s="20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6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ht="25.5" customHeight="1">
      <c r="A6" s="19"/>
      <c r="B6" s="49" t="s">
        <v>35</v>
      </c>
      <c r="C6" s="50"/>
      <c r="D6" s="50"/>
      <c r="E6" s="5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ht="16">
      <c r="A7" s="19"/>
      <c r="B7" s="22" t="s">
        <v>36</v>
      </c>
      <c r="C7" s="22" t="s">
        <v>37</v>
      </c>
      <c r="D7" s="23" t="s">
        <v>6</v>
      </c>
      <c r="E7" s="22" t="s">
        <v>7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ht="16">
      <c r="A8" s="19"/>
      <c r="B8" s="24" t="s">
        <v>8</v>
      </c>
      <c r="C8" s="24" t="s">
        <v>9</v>
      </c>
      <c r="D8" s="25" t="s">
        <v>10</v>
      </c>
      <c r="E8" s="24" t="s">
        <v>11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6">
      <c r="A9" s="19"/>
      <c r="B9" s="26">
        <v>0</v>
      </c>
      <c r="C9" s="26">
        <v>0</v>
      </c>
      <c r="D9" s="27">
        <v>0</v>
      </c>
      <c r="E9" s="28">
        <v>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16">
      <c r="A10" s="19" t="s">
        <v>25</v>
      </c>
      <c r="B10" s="26">
        <v>17.100000000000001</v>
      </c>
      <c r="C10" s="29">
        <v>28.18</v>
      </c>
      <c r="D10" s="27">
        <f t="shared" ref="D10:D16" si="0">C10/(B10-B9)</f>
        <v>1.6479532163742689</v>
      </c>
      <c r="E10" s="28">
        <f t="shared" ref="E10:E16" si="1">E9+C10</f>
        <v>28.18</v>
      </c>
      <c r="F10" s="42" t="s">
        <v>58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ht="16">
      <c r="A11" s="19"/>
      <c r="B11" s="26">
        <v>25.6</v>
      </c>
      <c r="C11" s="26">
        <v>20.88</v>
      </c>
      <c r="D11" s="27">
        <f t="shared" si="0"/>
        <v>2.4564705882352942</v>
      </c>
      <c r="E11" s="28">
        <f t="shared" si="1"/>
        <v>49.06</v>
      </c>
      <c r="F11" s="42" t="s">
        <v>58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6">
      <c r="A12" s="19"/>
      <c r="B12" s="26">
        <v>35.799999999999997</v>
      </c>
      <c r="C12" s="26">
        <v>25</v>
      </c>
      <c r="D12" s="27">
        <f t="shared" si="0"/>
        <v>2.4509803921568638</v>
      </c>
      <c r="E12" s="28">
        <f t="shared" si="1"/>
        <v>74.06</v>
      </c>
      <c r="F12" s="42" t="s">
        <v>59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ht="16">
      <c r="A13" s="19"/>
      <c r="B13" s="26">
        <v>42.1</v>
      </c>
      <c r="C13" s="26">
        <v>24.02</v>
      </c>
      <c r="D13" s="27">
        <f t="shared" si="0"/>
        <v>3.8126984126984103</v>
      </c>
      <c r="E13" s="28">
        <f t="shared" si="1"/>
        <v>98.08</v>
      </c>
      <c r="F13" s="42" t="s">
        <v>64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ht="16">
      <c r="A14" s="19"/>
      <c r="B14" s="26">
        <v>55.8</v>
      </c>
      <c r="C14" s="26">
        <v>26.15</v>
      </c>
      <c r="D14" s="27">
        <f t="shared" si="0"/>
        <v>1.9087591240875916</v>
      </c>
      <c r="E14" s="28">
        <f t="shared" si="1"/>
        <v>124.22999999999999</v>
      </c>
      <c r="F14" s="42" t="s">
        <v>60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ht="16">
      <c r="A15" s="19"/>
      <c r="B15" s="26">
        <v>70</v>
      </c>
      <c r="C15" s="26">
        <v>24.14</v>
      </c>
      <c r="D15" s="27">
        <f t="shared" si="0"/>
        <v>1.6999999999999997</v>
      </c>
      <c r="E15" s="28">
        <f t="shared" si="1"/>
        <v>148.37</v>
      </c>
      <c r="F15" s="42" t="s">
        <v>61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ht="16">
      <c r="A16" s="19"/>
      <c r="B16" s="26">
        <v>100</v>
      </c>
      <c r="C16" s="26">
        <v>19.170000000000002</v>
      </c>
      <c r="D16" s="27">
        <f t="shared" si="0"/>
        <v>0.63900000000000001</v>
      </c>
      <c r="E16" s="28">
        <f t="shared" si="1"/>
        <v>167.54000000000002</v>
      </c>
      <c r="F16" s="42" t="s">
        <v>62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ht="16">
      <c r="A17" s="19"/>
      <c r="B17" s="19"/>
      <c r="C17" s="31">
        <f>SUM(C9:C16)</f>
        <v>167.54000000000002</v>
      </c>
      <c r="D17" s="32" t="s">
        <v>9</v>
      </c>
      <c r="E17" s="33">
        <f>C17-C10</f>
        <v>139.36000000000001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6">
      <c r="A18" s="19"/>
      <c r="B18" s="19"/>
      <c r="C18" s="31">
        <f>C17/100</f>
        <v>1.6754000000000002</v>
      </c>
      <c r="D18" s="32" t="s">
        <v>12</v>
      </c>
      <c r="E18" s="34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6">
      <c r="A19" s="19"/>
      <c r="B19" s="19"/>
      <c r="C19" s="19"/>
      <c r="D19" s="19"/>
      <c r="E19" s="20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5.75" customHeight="1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ht="15.7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5.7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22.5" customHeight="1">
      <c r="A23" s="19"/>
      <c r="B23" s="49" t="s">
        <v>39</v>
      </c>
      <c r="C23" s="50"/>
      <c r="D23" s="50"/>
      <c r="E23" s="51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ht="15.75" customHeight="1">
      <c r="A24" s="19"/>
      <c r="B24" s="22" t="s">
        <v>36</v>
      </c>
      <c r="C24" s="22" t="s">
        <v>37</v>
      </c>
      <c r="D24" s="23" t="s">
        <v>6</v>
      </c>
      <c r="E24" s="22" t="s">
        <v>7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ht="15.75" customHeight="1">
      <c r="A25" s="19"/>
      <c r="B25" s="24" t="s">
        <v>8</v>
      </c>
      <c r="C25" s="24" t="s">
        <v>9</v>
      </c>
      <c r="D25" s="25" t="s">
        <v>10</v>
      </c>
      <c r="E25" s="24" t="s">
        <v>11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5.75" customHeight="1">
      <c r="A26" s="19"/>
      <c r="B26" s="26">
        <v>0</v>
      </c>
      <c r="C26" s="26">
        <v>0</v>
      </c>
      <c r="D26" s="27">
        <v>0</v>
      </c>
      <c r="E26" s="28">
        <v>0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ht="15.75" customHeight="1">
      <c r="A27" s="19" t="s">
        <v>25</v>
      </c>
      <c r="B27" s="26">
        <v>44</v>
      </c>
      <c r="C27" s="29">
        <v>202.48</v>
      </c>
      <c r="D27" s="27">
        <f t="shared" ref="D27:D33" si="2">C27/(B27-B26)</f>
        <v>4.6018181818181816</v>
      </c>
      <c r="E27" s="28">
        <f t="shared" ref="E27:E33" si="3">E26+C27</f>
        <v>202.48</v>
      </c>
      <c r="F27" s="42" t="s">
        <v>58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5.75" customHeight="1">
      <c r="A28" s="19"/>
      <c r="B28" s="26">
        <v>48.1</v>
      </c>
      <c r="C28" s="26">
        <v>22.9</v>
      </c>
      <c r="D28" s="27">
        <f t="shared" si="2"/>
        <v>5.5853658536585344</v>
      </c>
      <c r="E28" s="28">
        <f t="shared" si="3"/>
        <v>225.38</v>
      </c>
      <c r="F28" s="42" t="s">
        <v>58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ht="15.75" customHeight="1">
      <c r="A29" s="19"/>
      <c r="B29" s="26">
        <v>52.6</v>
      </c>
      <c r="C29" s="26">
        <v>23.26</v>
      </c>
      <c r="D29" s="27">
        <f t="shared" si="2"/>
        <v>5.1688888888888895</v>
      </c>
      <c r="E29" s="28">
        <f t="shared" si="3"/>
        <v>248.64</v>
      </c>
      <c r="F29" s="42" t="s">
        <v>59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ht="15.75" customHeight="1">
      <c r="A30" s="19"/>
      <c r="B30" s="26">
        <v>57</v>
      </c>
      <c r="C30" s="26">
        <v>24.02</v>
      </c>
      <c r="D30" s="27">
        <f t="shared" si="2"/>
        <v>5.4590909090909108</v>
      </c>
      <c r="E30" s="28">
        <f t="shared" si="3"/>
        <v>272.65999999999997</v>
      </c>
      <c r="F30" s="42" t="s">
        <v>64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ht="15.75" customHeight="1">
      <c r="A31" s="19"/>
      <c r="B31" s="26">
        <v>64</v>
      </c>
      <c r="C31" s="26">
        <v>24.75</v>
      </c>
      <c r="D31" s="27">
        <f t="shared" si="2"/>
        <v>3.5357142857142856</v>
      </c>
      <c r="E31" s="28">
        <f t="shared" si="3"/>
        <v>297.40999999999997</v>
      </c>
      <c r="F31" s="42" t="s">
        <v>60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 ht="15.75" customHeight="1">
      <c r="A32" s="19"/>
      <c r="B32" s="26">
        <v>71</v>
      </c>
      <c r="C32" s="26">
        <v>22.31</v>
      </c>
      <c r="D32" s="27">
        <f t="shared" si="2"/>
        <v>3.1871428571428568</v>
      </c>
      <c r="E32" s="28">
        <f t="shared" si="3"/>
        <v>319.71999999999997</v>
      </c>
      <c r="F32" s="42" t="s">
        <v>61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ht="15.75" customHeight="1">
      <c r="A33" s="19"/>
      <c r="B33" s="26">
        <v>100</v>
      </c>
      <c r="C33" s="26">
        <v>17.68</v>
      </c>
      <c r="D33" s="27">
        <f t="shared" si="2"/>
        <v>0.60965517241379308</v>
      </c>
      <c r="E33" s="28">
        <f t="shared" si="3"/>
        <v>337.4</v>
      </c>
      <c r="F33" s="42" t="s">
        <v>62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5.75" customHeight="1">
      <c r="A34" s="19"/>
      <c r="B34" s="19"/>
      <c r="C34" s="35">
        <f>SUM(C27:C33)</f>
        <v>337.4</v>
      </c>
      <c r="D34" s="32" t="s">
        <v>9</v>
      </c>
      <c r="E34" s="35">
        <f>C34-C27</f>
        <v>134.91999999999999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 ht="15.75" customHeight="1">
      <c r="A35" s="19"/>
      <c r="B35" s="19"/>
      <c r="C35" s="33">
        <f>C34/100</f>
        <v>3.3739999999999997</v>
      </c>
      <c r="D35" s="32" t="s">
        <v>12</v>
      </c>
      <c r="E35" s="34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spans="1:24" ht="15.75" customHeight="1">
      <c r="A36" s="19"/>
      <c r="B36" s="19"/>
      <c r="C36" s="19"/>
      <c r="D36" s="20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 ht="15.7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spans="1:24" ht="15.7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1:24" ht="15.7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ht="15.7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ht="15.7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ht="15.7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ht="22.5" customHeight="1">
      <c r="A43" s="19"/>
      <c r="B43" s="49" t="s">
        <v>40</v>
      </c>
      <c r="C43" s="50"/>
      <c r="D43" s="50"/>
      <c r="E43" s="51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1:24" ht="15.75" customHeight="1">
      <c r="A44" s="19"/>
      <c r="B44" s="22" t="s">
        <v>36</v>
      </c>
      <c r="C44" s="22" t="s">
        <v>37</v>
      </c>
      <c r="D44" s="23" t="s">
        <v>6</v>
      </c>
      <c r="E44" s="22" t="s">
        <v>7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ht="15.75" customHeight="1">
      <c r="A45" s="19"/>
      <c r="B45" s="24" t="s">
        <v>8</v>
      </c>
      <c r="C45" s="24" t="s">
        <v>9</v>
      </c>
      <c r="D45" s="25" t="s">
        <v>10</v>
      </c>
      <c r="E45" s="24" t="s">
        <v>11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1:24" ht="15.75" customHeight="1">
      <c r="A46" s="19"/>
      <c r="B46" s="26">
        <v>0</v>
      </c>
      <c r="C46" s="26">
        <v>0</v>
      </c>
      <c r="D46" s="27">
        <v>0</v>
      </c>
      <c r="E46" s="28">
        <v>0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1:24" ht="15.75" customHeight="1">
      <c r="A47" s="19" t="s">
        <v>25</v>
      </c>
      <c r="B47" s="26">
        <v>41.2</v>
      </c>
      <c r="C47" s="29">
        <v>194.06</v>
      </c>
      <c r="D47" s="27">
        <f t="shared" ref="D47:D54" si="4">C47/(B47-B46)</f>
        <v>4.7101941747572811</v>
      </c>
      <c r="E47" s="28">
        <f t="shared" ref="E47:E54" si="5">E46+C47</f>
        <v>194.06</v>
      </c>
      <c r="F47" s="42" t="s">
        <v>59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spans="1:24" ht="15.75" customHeight="1">
      <c r="A48" s="19"/>
      <c r="B48" s="26">
        <v>44</v>
      </c>
      <c r="C48" s="26">
        <v>21.02</v>
      </c>
      <c r="D48" s="27">
        <f t="shared" si="4"/>
        <v>7.5071428571428642</v>
      </c>
      <c r="E48" s="28">
        <f t="shared" si="5"/>
        <v>215.08</v>
      </c>
      <c r="F48" s="42" t="s">
        <v>58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 ht="15.75" customHeight="1">
      <c r="A49" s="19"/>
      <c r="B49" s="26">
        <v>49.8</v>
      </c>
      <c r="C49" s="26">
        <v>22.72</v>
      </c>
      <c r="D49" s="27">
        <f t="shared" si="4"/>
        <v>3.9172413793103464</v>
      </c>
      <c r="E49" s="28">
        <f t="shared" si="5"/>
        <v>237.8</v>
      </c>
      <c r="F49" s="42" t="s">
        <v>59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spans="1:24" ht="15.75" customHeight="1">
      <c r="A50" s="19"/>
      <c r="B50" s="26">
        <v>54.8</v>
      </c>
      <c r="C50" s="26">
        <v>23.08</v>
      </c>
      <c r="D50" s="27">
        <f t="shared" si="4"/>
        <v>4.6159999999999997</v>
      </c>
      <c r="E50" s="28">
        <f t="shared" si="5"/>
        <v>260.88</v>
      </c>
      <c r="F50" s="42" t="s">
        <v>64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spans="1:24" ht="15.75" customHeight="1">
      <c r="A51" s="19"/>
      <c r="B51" s="26">
        <v>60.4</v>
      </c>
      <c r="C51" s="26">
        <v>21.79</v>
      </c>
      <c r="D51" s="27">
        <f t="shared" si="4"/>
        <v>3.8910714285714274</v>
      </c>
      <c r="E51" s="28">
        <f t="shared" si="5"/>
        <v>282.67</v>
      </c>
      <c r="F51" s="42" t="s">
        <v>60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spans="1:24" ht="15.75" customHeight="1">
      <c r="A52" s="19"/>
      <c r="B52" s="26">
        <v>67.400000000000006</v>
      </c>
      <c r="C52" s="26">
        <v>23.09</v>
      </c>
      <c r="D52" s="27">
        <f t="shared" si="4"/>
        <v>3.2985714285714254</v>
      </c>
      <c r="E52" s="28">
        <f t="shared" si="5"/>
        <v>305.76</v>
      </c>
      <c r="F52" s="42" t="s">
        <v>61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spans="1:24" ht="15.75" customHeight="1">
      <c r="A53" s="19"/>
      <c r="B53" s="26">
        <v>76.400000000000006</v>
      </c>
      <c r="C53" s="26">
        <v>22.43</v>
      </c>
      <c r="D53" s="27">
        <f t="shared" si="4"/>
        <v>2.4922222222222223</v>
      </c>
      <c r="E53" s="28">
        <f t="shared" si="5"/>
        <v>328.19</v>
      </c>
      <c r="F53" s="42" t="s">
        <v>62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1:24" ht="15.75" customHeight="1">
      <c r="A54" s="19"/>
      <c r="B54" s="26">
        <v>100</v>
      </c>
      <c r="C54" s="26">
        <v>18.89</v>
      </c>
      <c r="D54" s="27">
        <f t="shared" si="4"/>
        <v>0.8004237288135595</v>
      </c>
      <c r="E54" s="28">
        <f t="shared" si="5"/>
        <v>347.08</v>
      </c>
      <c r="F54" s="42" t="s">
        <v>58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ht="15.75" customHeight="1">
      <c r="A55" s="19"/>
      <c r="B55" s="19"/>
      <c r="C55" s="33">
        <f>SUM(C46:C54)</f>
        <v>347.08</v>
      </c>
      <c r="D55" s="32" t="s">
        <v>9</v>
      </c>
      <c r="E55" s="33">
        <f>C55-C47</f>
        <v>153.01999999999998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spans="1:24" ht="15.75" customHeight="1">
      <c r="A56" s="19"/>
      <c r="B56" s="19"/>
      <c r="C56" s="33">
        <f>C55/100</f>
        <v>3.4707999999999997</v>
      </c>
      <c r="D56" s="32" t="s">
        <v>12</v>
      </c>
      <c r="E56" s="34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spans="1:24" ht="15.75" customHeight="1">
      <c r="A57" s="19"/>
      <c r="B57" s="19"/>
      <c r="C57" s="34"/>
      <c r="D57" s="37"/>
      <c r="E57" s="32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spans="1:24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 spans="1:24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spans="1:24" ht="15.75" customHeight="1">
      <c r="A60" s="19"/>
      <c r="B60" s="19"/>
      <c r="C60" s="31" t="s">
        <v>26</v>
      </c>
      <c r="D60" s="31" t="s">
        <v>27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spans="1:24" ht="15.75" customHeight="1">
      <c r="A61" s="19"/>
      <c r="B61" s="33" t="s">
        <v>15</v>
      </c>
      <c r="C61" s="38">
        <f>C55+C34+C17</f>
        <v>852.02</v>
      </c>
      <c r="D61" s="28">
        <f t="shared" ref="D61:D66" si="6">C61/100</f>
        <v>8.5201999999999991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spans="1:24" ht="15.75" customHeight="1">
      <c r="A62" s="19"/>
      <c r="B62" s="52" t="s">
        <v>16</v>
      </c>
      <c r="C62" s="38">
        <f>C17-C10</f>
        <v>139.36000000000001</v>
      </c>
      <c r="D62" s="28">
        <f t="shared" si="6"/>
        <v>1.3936000000000002</v>
      </c>
      <c r="E62" s="27" t="s">
        <v>41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spans="1:24" ht="15.75" customHeight="1">
      <c r="A63" s="19"/>
      <c r="B63" s="53"/>
      <c r="C63" s="38">
        <f>C34-C27</f>
        <v>134.91999999999999</v>
      </c>
      <c r="D63" s="28">
        <f t="shared" si="6"/>
        <v>1.3492</v>
      </c>
      <c r="E63" s="27" t="s">
        <v>42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spans="1:24" ht="15.75" customHeight="1">
      <c r="A64" s="19"/>
      <c r="B64" s="54"/>
      <c r="C64" s="38">
        <f>C55-C47</f>
        <v>153.01999999999998</v>
      </c>
      <c r="D64" s="28">
        <f t="shared" si="6"/>
        <v>1.5301999999999998</v>
      </c>
      <c r="E64" s="27" t="s">
        <v>43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 spans="1:24" ht="15.75" customHeight="1">
      <c r="A65" s="19"/>
      <c r="B65" s="33" t="s">
        <v>20</v>
      </c>
      <c r="C65" s="38">
        <f>C61-C66-AVERAGE(C62:C64)</f>
        <v>362.50666666666666</v>
      </c>
      <c r="D65" s="28">
        <f t="shared" si="6"/>
        <v>3.6250666666666667</v>
      </c>
      <c r="E65" s="20"/>
      <c r="F65" s="19" t="s">
        <v>56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spans="1:24" ht="15.75" customHeight="1">
      <c r="A66" s="19"/>
      <c r="B66" s="33" t="s">
        <v>21</v>
      </c>
      <c r="C66" s="38">
        <f>C55</f>
        <v>347.08</v>
      </c>
      <c r="D66" s="28">
        <f t="shared" si="6"/>
        <v>3.4707999999999997</v>
      </c>
      <c r="E66" s="20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spans="1:24" ht="15.75" customHeight="1">
      <c r="A67" s="19"/>
      <c r="B67" s="42" t="s">
        <v>65</v>
      </c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spans="1:24" ht="15.7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spans="1:24" ht="15.7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spans="1:24" ht="15.7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spans="1:24" ht="15.7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spans="1:24" ht="15.7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spans="1:24" ht="15.7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spans="1:24" ht="15.7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spans="1:24" ht="15.7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spans="1:24" ht="1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</row>
    <row r="77" spans="1:24" ht="1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</row>
    <row r="78" spans="1:24" ht="1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</row>
    <row r="79" spans="1:24" ht="1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</row>
    <row r="80" spans="1:24" ht="1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</row>
    <row r="81" s="41" customFormat="1" ht="15" customHeight="1"/>
    <row r="82" s="41" customFormat="1" ht="15" customHeight="1"/>
    <row r="83" s="41" customFormat="1" ht="15" customHeight="1"/>
    <row r="84" s="41" customFormat="1" ht="15" customHeight="1"/>
    <row r="85" s="41" customFormat="1" ht="15" customHeight="1"/>
    <row r="86" s="41" customFormat="1" ht="15" customHeight="1"/>
    <row r="87" s="41" customFormat="1" ht="15" customHeight="1"/>
    <row r="88" s="41" customFormat="1" ht="15" customHeight="1"/>
    <row r="89" s="41" customFormat="1" ht="15" customHeight="1"/>
    <row r="90" s="41" customFormat="1" ht="15" customHeight="1"/>
    <row r="91" s="41" customFormat="1" ht="15" customHeight="1"/>
    <row r="92" s="41" customFormat="1" ht="15" customHeight="1"/>
    <row r="93" s="41" customFormat="1" ht="15" customHeight="1"/>
    <row r="94" s="41" customFormat="1" ht="15" customHeight="1"/>
    <row r="95" s="41" customFormat="1" ht="15" customHeight="1"/>
    <row r="96" s="41" customFormat="1" ht="15" customHeight="1"/>
    <row r="97" s="41" customFormat="1" ht="15" customHeight="1"/>
    <row r="98" s="41" customFormat="1" ht="15" customHeight="1"/>
    <row r="99" s="41" customFormat="1" ht="15" customHeight="1"/>
    <row r="100" s="41" customFormat="1" ht="15" customHeight="1"/>
    <row r="101" s="41" customFormat="1" ht="15" customHeight="1"/>
    <row r="102" s="41" customFormat="1" ht="15" customHeight="1"/>
    <row r="103" s="41" customFormat="1" ht="15" customHeight="1"/>
    <row r="104" s="41" customFormat="1" ht="15" customHeight="1"/>
    <row r="105" s="41" customFormat="1" ht="15" customHeight="1"/>
    <row r="106" s="41" customFormat="1" ht="15" customHeight="1"/>
    <row r="107" s="41" customFormat="1" ht="15" customHeight="1"/>
    <row r="108" s="41" customFormat="1" ht="15" customHeight="1"/>
    <row r="109" s="41" customFormat="1" ht="15" customHeight="1"/>
    <row r="110" s="41" customFormat="1" ht="15" customHeight="1"/>
    <row r="111" s="41" customFormat="1" ht="15" customHeight="1"/>
    <row r="112" s="41" customFormat="1" ht="15" customHeight="1"/>
    <row r="113" s="41" customFormat="1" ht="15" customHeight="1"/>
    <row r="114" s="41" customFormat="1" ht="15" customHeight="1"/>
    <row r="115" s="41" customFormat="1" ht="15" customHeight="1"/>
    <row r="116" s="41" customFormat="1" ht="15" customHeight="1"/>
    <row r="117" s="41" customFormat="1" ht="15" customHeight="1"/>
    <row r="118" s="41" customFormat="1" ht="15" customHeight="1"/>
    <row r="119" s="41" customFormat="1" ht="15" customHeight="1"/>
    <row r="120" s="41" customFormat="1" ht="15" customHeight="1"/>
    <row r="121" s="41" customFormat="1" ht="15" customHeight="1"/>
    <row r="122" s="41" customFormat="1" ht="15" customHeight="1"/>
    <row r="123" s="41" customFormat="1" ht="15" customHeight="1"/>
    <row r="124" s="41" customFormat="1" ht="15" customHeight="1"/>
    <row r="125" s="41" customFormat="1" ht="15" customHeight="1"/>
    <row r="126" s="41" customFormat="1" ht="15" customHeight="1"/>
    <row r="127" s="41" customFormat="1" ht="15" customHeight="1"/>
    <row r="128" s="41" customFormat="1" ht="15" customHeight="1"/>
    <row r="129" s="41" customFormat="1" ht="15" customHeight="1"/>
    <row r="130" s="41" customFormat="1" ht="15" customHeight="1"/>
    <row r="131" s="41" customFormat="1" ht="15" customHeight="1"/>
    <row r="132" s="41" customFormat="1" ht="15" customHeight="1"/>
    <row r="133" s="41" customFormat="1" ht="15" customHeight="1"/>
    <row r="134" s="41" customFormat="1" ht="15" customHeight="1"/>
    <row r="135" s="41" customFormat="1" ht="15" customHeight="1"/>
    <row r="136" s="41" customFormat="1" ht="15" customHeight="1"/>
    <row r="137" s="41" customFormat="1" ht="15" customHeight="1"/>
    <row r="138" s="41" customFormat="1" ht="15" customHeight="1"/>
    <row r="139" s="41" customFormat="1" ht="15" customHeight="1"/>
    <row r="140" s="41" customFormat="1" ht="15" customHeight="1"/>
    <row r="141" s="41" customFormat="1" ht="15" customHeight="1"/>
    <row r="142" s="41" customFormat="1" ht="15" customHeight="1"/>
    <row r="143" s="41" customFormat="1" ht="15" customHeight="1"/>
    <row r="144" s="41" customFormat="1" ht="15" customHeight="1"/>
    <row r="145" s="41" customFormat="1" ht="15" customHeight="1"/>
    <row r="146" s="41" customFormat="1" ht="15" customHeight="1"/>
    <row r="147" s="41" customFormat="1" ht="15" customHeight="1"/>
    <row r="148" s="41" customFormat="1" ht="15" customHeight="1"/>
    <row r="149" s="41" customFormat="1" ht="15" customHeight="1"/>
    <row r="150" s="41" customFormat="1" ht="15" customHeight="1"/>
    <row r="151" s="41" customFormat="1" ht="15" customHeight="1"/>
    <row r="152" s="41" customFormat="1" ht="15" customHeight="1"/>
    <row r="153" s="41" customFormat="1" ht="15" customHeight="1"/>
    <row r="154" s="41" customFormat="1" ht="15" customHeight="1"/>
    <row r="155" s="41" customFormat="1" ht="15" customHeight="1"/>
    <row r="156" s="41" customFormat="1" ht="15" customHeight="1"/>
    <row r="157" s="41" customFormat="1" ht="15" customHeight="1"/>
    <row r="158" s="41" customFormat="1" ht="15" customHeight="1"/>
    <row r="159" s="41" customFormat="1" ht="15" customHeight="1"/>
    <row r="160" s="41" customFormat="1" ht="15" customHeight="1"/>
    <row r="161" s="41" customFormat="1" ht="15" customHeight="1"/>
    <row r="162" s="41" customFormat="1" ht="15" customHeight="1"/>
    <row r="163" s="41" customFormat="1" ht="15" customHeight="1"/>
    <row r="164" s="41" customFormat="1" ht="15" customHeight="1"/>
    <row r="165" s="41" customFormat="1" ht="15" customHeight="1"/>
    <row r="166" s="41" customFormat="1" ht="15" customHeight="1"/>
    <row r="167" s="41" customFormat="1" ht="15" customHeight="1"/>
    <row r="168" s="41" customFormat="1" ht="15" customHeight="1"/>
    <row r="169" s="41" customFormat="1" ht="15" customHeight="1"/>
    <row r="170" s="41" customFormat="1" ht="15" customHeight="1"/>
    <row r="171" s="41" customFormat="1" ht="15" customHeight="1"/>
    <row r="172" s="41" customFormat="1" ht="15" customHeight="1"/>
    <row r="173" s="41" customFormat="1" ht="15" customHeight="1"/>
    <row r="174" s="41" customFormat="1" ht="15" customHeight="1"/>
    <row r="175" s="41" customFormat="1" ht="15" customHeight="1"/>
    <row r="176" s="41" customFormat="1" ht="15" customHeight="1"/>
    <row r="177" s="41" customFormat="1" ht="15" customHeight="1"/>
    <row r="178" s="41" customFormat="1" ht="15" customHeight="1"/>
    <row r="179" s="41" customFormat="1" ht="15" customHeight="1"/>
    <row r="180" s="41" customFormat="1" ht="15" customHeight="1"/>
    <row r="181" s="41" customFormat="1" ht="15" customHeight="1"/>
    <row r="182" s="41" customFormat="1" ht="15" customHeight="1"/>
    <row r="183" s="41" customFormat="1" ht="15" customHeight="1"/>
    <row r="184" s="41" customFormat="1" ht="15" customHeight="1"/>
    <row r="185" s="41" customFormat="1" ht="15" customHeight="1"/>
    <row r="186" s="41" customFormat="1" ht="15" customHeight="1"/>
    <row r="187" s="41" customFormat="1" ht="15" customHeight="1"/>
    <row r="188" s="41" customFormat="1" ht="15" customHeight="1"/>
    <row r="189" s="41" customFormat="1" ht="15" customHeight="1"/>
    <row r="190" s="41" customFormat="1" ht="15" customHeight="1"/>
    <row r="191" s="41" customFormat="1" ht="15" customHeight="1"/>
    <row r="192" s="41" customFormat="1" ht="15" customHeight="1"/>
    <row r="193" s="41" customFormat="1" ht="15" customHeight="1"/>
    <row r="194" s="41" customFormat="1" ht="15" customHeight="1"/>
    <row r="195" s="41" customFormat="1" ht="15" customHeight="1"/>
    <row r="196" s="41" customFormat="1" ht="15" customHeight="1"/>
    <row r="197" s="41" customFormat="1" ht="15" customHeight="1"/>
    <row r="198" s="41" customFormat="1" ht="15" customHeight="1"/>
    <row r="199" s="41" customFormat="1" ht="15" customHeight="1"/>
    <row r="200" s="41" customFormat="1" ht="15" customHeight="1"/>
    <row r="201" s="41" customFormat="1" ht="15" customHeight="1"/>
    <row r="202" s="41" customFormat="1" ht="15" customHeight="1"/>
    <row r="203" s="41" customFormat="1" ht="15" customHeight="1"/>
    <row r="204" s="41" customFormat="1" ht="15" customHeight="1"/>
    <row r="205" s="41" customFormat="1" ht="15" customHeight="1"/>
    <row r="206" s="41" customFormat="1" ht="15" customHeight="1"/>
    <row r="207" s="41" customFormat="1" ht="15" customHeight="1"/>
    <row r="208" s="41" customFormat="1" ht="15" customHeight="1"/>
    <row r="209" s="41" customFormat="1" ht="15" customHeight="1"/>
    <row r="210" s="41" customFormat="1" ht="15" customHeight="1"/>
    <row r="211" s="41" customFormat="1" ht="15" customHeight="1"/>
    <row r="212" s="41" customFormat="1" ht="15" customHeight="1"/>
    <row r="213" s="41" customFormat="1" ht="15" customHeight="1"/>
    <row r="214" s="41" customFormat="1" ht="15" customHeight="1"/>
    <row r="215" s="41" customFormat="1" ht="15" customHeight="1"/>
    <row r="216" s="41" customFormat="1" ht="15" customHeight="1"/>
    <row r="217" s="41" customFormat="1" ht="15" customHeight="1"/>
    <row r="218" s="41" customFormat="1" ht="15" customHeight="1"/>
    <row r="219" s="41" customFormat="1" ht="15" customHeight="1"/>
    <row r="220" s="41" customFormat="1" ht="15" customHeight="1"/>
    <row r="221" s="41" customFormat="1" ht="15" customHeight="1"/>
    <row r="222" s="41" customFormat="1" ht="15" customHeight="1"/>
    <row r="223" s="41" customFormat="1" ht="15" customHeight="1"/>
    <row r="224" s="41" customFormat="1" ht="15" customHeight="1"/>
    <row r="225" s="41" customFormat="1" ht="15" customHeight="1"/>
    <row r="226" s="41" customFormat="1" ht="15" customHeight="1"/>
    <row r="227" s="41" customFormat="1" ht="15" customHeight="1"/>
    <row r="228" s="41" customFormat="1" ht="15" customHeight="1"/>
    <row r="229" s="41" customFormat="1" ht="15" customHeight="1"/>
    <row r="230" s="41" customFormat="1" ht="15" customHeight="1"/>
    <row r="231" s="41" customFormat="1" ht="15" customHeight="1"/>
    <row r="232" s="41" customFormat="1" ht="15" customHeight="1"/>
    <row r="233" s="41" customFormat="1" ht="15" customHeight="1"/>
    <row r="234" s="41" customFormat="1" ht="15" customHeight="1"/>
    <row r="235" s="41" customFormat="1" ht="15" customHeight="1"/>
    <row r="236" s="41" customFormat="1" ht="15" customHeight="1"/>
    <row r="237" s="41" customFormat="1" ht="15" customHeight="1"/>
    <row r="238" s="41" customFormat="1" ht="15" customHeight="1"/>
    <row r="239" s="41" customFormat="1" ht="15" customHeight="1"/>
    <row r="240" s="41" customFormat="1" ht="15" customHeight="1"/>
    <row r="241" s="41" customFormat="1" ht="15" customHeight="1"/>
    <row r="242" s="41" customFormat="1" ht="15" customHeight="1"/>
    <row r="243" s="41" customFormat="1" ht="15" customHeight="1"/>
    <row r="244" s="41" customFormat="1" ht="15" customHeight="1"/>
    <row r="245" s="41" customFormat="1" ht="15" customHeight="1"/>
    <row r="246" s="41" customFormat="1" ht="15" customHeight="1"/>
    <row r="247" s="41" customFormat="1" ht="15" customHeight="1"/>
    <row r="248" s="41" customFormat="1" ht="15" customHeight="1"/>
    <row r="249" s="41" customFormat="1" ht="15" customHeight="1"/>
    <row r="250" s="41" customFormat="1" ht="15" customHeight="1"/>
    <row r="251" s="41" customFormat="1" ht="15" customHeight="1"/>
    <row r="252" s="41" customFormat="1" ht="15" customHeight="1"/>
    <row r="253" s="41" customFormat="1" ht="15" customHeight="1"/>
    <row r="254" s="41" customFormat="1" ht="15" customHeight="1"/>
    <row r="255" s="41" customFormat="1" ht="15" customHeight="1"/>
    <row r="256" s="41" customFormat="1" ht="15" customHeight="1"/>
    <row r="257" s="41" customFormat="1" ht="15" customHeight="1"/>
    <row r="258" s="41" customFormat="1" ht="15" customHeight="1"/>
    <row r="259" s="41" customFormat="1" ht="15" customHeight="1"/>
    <row r="260" s="41" customFormat="1" ht="15" customHeight="1"/>
    <row r="261" s="41" customFormat="1" ht="15" customHeight="1"/>
    <row r="262" s="41" customFormat="1" ht="15" customHeight="1"/>
    <row r="263" s="41" customFormat="1" ht="15" customHeight="1"/>
    <row r="264" s="41" customFormat="1" ht="15" customHeight="1"/>
    <row r="265" s="41" customFormat="1" ht="15" customHeight="1"/>
    <row r="266" s="41" customFormat="1" ht="15" customHeight="1"/>
    <row r="267" s="41" customFormat="1" ht="15" customHeight="1"/>
    <row r="268" s="41" customFormat="1" ht="15" customHeight="1"/>
    <row r="269" s="41" customFormat="1" ht="15" customHeight="1"/>
    <row r="270" s="41" customFormat="1" ht="15" customHeight="1"/>
    <row r="271" s="41" customFormat="1" ht="15" customHeight="1"/>
    <row r="272" s="41" customFormat="1" ht="15" customHeight="1"/>
    <row r="273" s="41" customFormat="1" ht="15" customHeight="1"/>
    <row r="274" s="41" customFormat="1" ht="15" customHeight="1"/>
    <row r="275" s="41" customFormat="1" ht="15" customHeight="1"/>
    <row r="276" s="41" customFormat="1" ht="15" customHeight="1"/>
    <row r="277" s="41" customFormat="1" ht="15" customHeight="1"/>
    <row r="278" s="41" customFormat="1" ht="15" customHeight="1"/>
    <row r="279" s="41" customFormat="1" ht="15" customHeight="1"/>
    <row r="280" s="41" customFormat="1" ht="15" customHeight="1"/>
    <row r="281" s="41" customFormat="1" ht="15" customHeight="1"/>
    <row r="282" s="41" customFormat="1" ht="15" customHeight="1"/>
    <row r="283" s="41" customFormat="1" ht="15" customHeight="1"/>
    <row r="284" s="41" customFormat="1" ht="15" customHeight="1"/>
    <row r="285" s="41" customFormat="1" ht="15" customHeight="1"/>
    <row r="286" s="41" customFormat="1" ht="15" customHeight="1"/>
    <row r="287" s="41" customFormat="1" ht="15" customHeight="1"/>
    <row r="288" s="41" customFormat="1" ht="15" customHeight="1"/>
    <row r="289" s="41" customFormat="1" ht="15" customHeight="1"/>
    <row r="290" s="41" customFormat="1" ht="15" customHeight="1"/>
    <row r="291" s="41" customFormat="1" ht="15" customHeight="1"/>
    <row r="292" s="41" customFormat="1" ht="15" customHeight="1"/>
    <row r="293" s="41" customFormat="1" ht="15" customHeight="1"/>
    <row r="294" s="41" customFormat="1" ht="15" customHeight="1"/>
    <row r="295" s="41" customFormat="1" ht="15" customHeight="1"/>
    <row r="296" s="41" customFormat="1" ht="15" customHeight="1"/>
    <row r="297" s="41" customFormat="1" ht="15" customHeight="1"/>
    <row r="298" s="41" customFormat="1" ht="15" customHeight="1"/>
    <row r="299" s="41" customFormat="1" ht="15" customHeight="1"/>
    <row r="300" s="41" customFormat="1" ht="15" customHeight="1"/>
    <row r="301" s="41" customFormat="1" ht="15" customHeight="1"/>
    <row r="302" s="41" customFormat="1" ht="15" customHeight="1"/>
    <row r="303" s="41" customFormat="1" ht="15" customHeight="1"/>
    <row r="304" s="41" customFormat="1" ht="15" customHeight="1"/>
    <row r="305" s="41" customFormat="1" ht="15" customHeight="1"/>
    <row r="306" s="41" customFormat="1" ht="15" customHeight="1"/>
    <row r="307" s="41" customFormat="1" ht="15" customHeight="1"/>
    <row r="308" s="41" customFormat="1" ht="15" customHeight="1"/>
    <row r="309" s="41" customFormat="1" ht="15" customHeight="1"/>
    <row r="310" s="41" customFormat="1" ht="15" customHeight="1"/>
    <row r="311" s="41" customFormat="1" ht="15" customHeight="1"/>
    <row r="312" s="41" customFormat="1" ht="15" customHeight="1"/>
    <row r="313" s="41" customFormat="1" ht="15" customHeight="1"/>
    <row r="314" s="41" customFormat="1" ht="15" customHeight="1"/>
    <row r="315" s="41" customFormat="1" ht="15" customHeight="1"/>
    <row r="316" s="41" customFormat="1" ht="15" customHeight="1"/>
    <row r="317" s="41" customFormat="1" ht="15" customHeight="1"/>
    <row r="318" s="41" customFormat="1" ht="15" customHeight="1"/>
    <row r="319" s="41" customFormat="1" ht="15" customHeight="1"/>
    <row r="320" s="41" customFormat="1" ht="15" customHeight="1"/>
    <row r="321" s="41" customFormat="1" ht="15" customHeight="1"/>
    <row r="322" s="41" customFormat="1" ht="15" customHeight="1"/>
    <row r="323" s="41" customFormat="1" ht="15" customHeight="1"/>
    <row r="324" s="41" customFormat="1" ht="15" customHeight="1"/>
    <row r="325" s="41" customFormat="1" ht="15" customHeight="1"/>
    <row r="326" s="41" customFormat="1" ht="15" customHeight="1"/>
    <row r="327" s="41" customFormat="1" ht="15" customHeight="1"/>
    <row r="328" s="41" customFormat="1" ht="15" customHeight="1"/>
    <row r="329" s="41" customFormat="1" ht="15" customHeight="1"/>
    <row r="330" s="41" customFormat="1" ht="15" customHeight="1"/>
    <row r="331" s="41" customFormat="1" ht="15" customHeight="1"/>
    <row r="332" s="41" customFormat="1" ht="15" customHeight="1"/>
    <row r="333" s="41" customFormat="1" ht="15" customHeight="1"/>
    <row r="334" s="41" customFormat="1" ht="15" customHeight="1"/>
    <row r="335" s="41" customFormat="1" ht="15" customHeight="1"/>
    <row r="336" s="41" customFormat="1" ht="15" customHeight="1"/>
    <row r="337" s="41" customFormat="1" ht="15" customHeight="1"/>
    <row r="338" s="41" customFormat="1" ht="15" customHeight="1"/>
    <row r="339" s="41" customFormat="1" ht="15" customHeight="1"/>
    <row r="340" s="41" customFormat="1" ht="15" customHeight="1"/>
    <row r="341" s="41" customFormat="1" ht="15" customHeight="1"/>
    <row r="342" s="41" customFormat="1" ht="15" customHeight="1"/>
    <row r="343" s="41" customFormat="1" ht="15" customHeight="1"/>
    <row r="344" s="41" customFormat="1" ht="15" customHeight="1"/>
    <row r="345" s="41" customFormat="1" ht="15" customHeight="1"/>
    <row r="346" s="41" customFormat="1" ht="15" customHeight="1"/>
    <row r="347" s="41" customFormat="1" ht="15" customHeight="1"/>
    <row r="348" s="41" customFormat="1" ht="15" customHeight="1"/>
    <row r="349" s="41" customFormat="1" ht="15" customHeight="1"/>
    <row r="350" s="41" customFormat="1" ht="15" customHeight="1"/>
    <row r="351" s="41" customFormat="1" ht="15" customHeight="1"/>
    <row r="352" s="41" customFormat="1" ht="15" customHeight="1"/>
    <row r="353" s="41" customFormat="1" ht="15" customHeight="1"/>
    <row r="354" s="41" customFormat="1" ht="15" customHeight="1"/>
    <row r="355" s="41" customFormat="1" ht="15" customHeight="1"/>
    <row r="356" s="41" customFormat="1" ht="15" customHeight="1"/>
    <row r="357" s="41" customFormat="1" ht="15" customHeight="1"/>
    <row r="358" s="41" customFormat="1" ht="15" customHeight="1"/>
    <row r="359" s="41" customFormat="1" ht="15" customHeight="1"/>
    <row r="360" s="41" customFormat="1" ht="15" customHeight="1"/>
    <row r="361" s="41" customFormat="1" ht="15" customHeight="1"/>
    <row r="362" s="41" customFormat="1" ht="15" customHeight="1"/>
    <row r="363" s="41" customFormat="1" ht="15" customHeight="1"/>
    <row r="364" s="41" customFormat="1" ht="15" customHeight="1"/>
    <row r="365" s="41" customFormat="1" ht="15" customHeight="1"/>
    <row r="366" s="41" customFormat="1" ht="15" customHeight="1"/>
    <row r="367" s="41" customFormat="1" ht="15" customHeight="1"/>
    <row r="368" s="41" customFormat="1" ht="15" customHeight="1"/>
    <row r="369" s="41" customFormat="1" ht="15" customHeight="1"/>
    <row r="370" s="41" customFormat="1" ht="15" customHeight="1"/>
    <row r="371" s="41" customFormat="1" ht="15" customHeight="1"/>
    <row r="372" s="41" customFormat="1" ht="15" customHeight="1"/>
    <row r="373" s="41" customFormat="1" ht="15" customHeight="1"/>
    <row r="374" s="41" customFormat="1" ht="15" customHeight="1"/>
    <row r="375" s="41" customFormat="1" ht="15" customHeight="1"/>
    <row r="376" s="41" customFormat="1" ht="15" customHeight="1"/>
    <row r="377" s="41" customFormat="1" ht="15" customHeight="1"/>
    <row r="378" s="41" customFormat="1" ht="15" customHeight="1"/>
    <row r="379" s="41" customFormat="1" ht="15" customHeight="1"/>
    <row r="380" s="41" customFormat="1" ht="15" customHeight="1"/>
    <row r="381" s="41" customFormat="1" ht="15" customHeight="1"/>
    <row r="382" s="41" customFormat="1" ht="15" customHeight="1"/>
    <row r="383" s="41" customFormat="1" ht="15" customHeight="1"/>
    <row r="384" s="41" customFormat="1" ht="15" customHeight="1"/>
    <row r="385" s="41" customFormat="1" ht="15" customHeight="1"/>
    <row r="386" s="41" customFormat="1" ht="15" customHeight="1"/>
    <row r="387" s="41" customFormat="1" ht="15" customHeight="1"/>
    <row r="388" s="41" customFormat="1" ht="15" customHeight="1"/>
    <row r="389" s="41" customFormat="1" ht="15" customHeight="1"/>
    <row r="390" s="41" customFormat="1" ht="15" customHeight="1"/>
    <row r="391" s="41" customFormat="1" ht="15" customHeight="1"/>
    <row r="392" s="41" customFormat="1" ht="15" customHeight="1"/>
    <row r="393" s="41" customFormat="1" ht="15" customHeight="1"/>
    <row r="394" s="41" customFormat="1" ht="15" customHeight="1"/>
    <row r="395" s="41" customFormat="1" ht="15" customHeight="1"/>
    <row r="396" s="41" customFormat="1" ht="15" customHeight="1"/>
    <row r="397" s="41" customFormat="1" ht="15" customHeight="1"/>
    <row r="398" s="41" customFormat="1" ht="15" customHeight="1"/>
    <row r="399" s="41" customFormat="1" ht="15" customHeight="1"/>
    <row r="400" s="41" customFormat="1" ht="15" customHeight="1"/>
    <row r="401" s="41" customFormat="1" ht="15" customHeight="1"/>
    <row r="402" s="41" customFormat="1" ht="15" customHeight="1"/>
    <row r="403" s="41" customFormat="1" ht="15" customHeight="1"/>
    <row r="404" s="41" customFormat="1" ht="15" customHeight="1"/>
    <row r="405" s="41" customFormat="1" ht="15" customHeight="1"/>
    <row r="406" s="41" customFormat="1" ht="15" customHeight="1"/>
    <row r="407" s="41" customFormat="1" ht="15" customHeight="1"/>
    <row r="408" s="41" customFormat="1" ht="15" customHeight="1"/>
    <row r="409" s="41" customFormat="1" ht="15" customHeight="1"/>
    <row r="410" s="41" customFormat="1" ht="15" customHeight="1"/>
    <row r="411" s="41" customFormat="1" ht="15" customHeight="1"/>
    <row r="412" s="41" customFormat="1" ht="15" customHeight="1"/>
    <row r="413" s="41" customFormat="1" ht="15" customHeight="1"/>
    <row r="414" s="41" customFormat="1" ht="15" customHeight="1"/>
    <row r="415" s="41" customFormat="1" ht="15" customHeight="1"/>
    <row r="416" s="41" customFormat="1" ht="15" customHeight="1"/>
    <row r="417" s="41" customFormat="1" ht="15" customHeight="1"/>
    <row r="418" s="41" customFormat="1" ht="15" customHeight="1"/>
    <row r="419" s="41" customFormat="1" ht="15" customHeight="1"/>
    <row r="420" s="41" customFormat="1" ht="15" customHeight="1"/>
    <row r="421" s="41" customFormat="1" ht="15" customHeight="1"/>
    <row r="422" s="41" customFormat="1" ht="15" customHeight="1"/>
    <row r="423" s="41" customFormat="1" ht="15" customHeight="1"/>
    <row r="424" s="41" customFormat="1" ht="15" customHeight="1"/>
    <row r="425" s="41" customFormat="1" ht="15" customHeight="1"/>
    <row r="426" s="41" customFormat="1" ht="15" customHeight="1"/>
    <row r="427" s="41" customFormat="1" ht="15" customHeight="1"/>
    <row r="428" s="41" customFormat="1" ht="15" customHeight="1"/>
    <row r="429" s="41" customFormat="1" ht="15" customHeight="1"/>
    <row r="430" s="41" customFormat="1" ht="15" customHeight="1"/>
    <row r="431" s="41" customFormat="1" ht="15" customHeight="1"/>
    <row r="432" s="41" customFormat="1" ht="15" customHeight="1"/>
    <row r="433" s="41" customFormat="1" ht="15" customHeight="1"/>
    <row r="434" s="41" customFormat="1" ht="15" customHeight="1"/>
    <row r="435" s="41" customFormat="1" ht="15" customHeight="1"/>
    <row r="436" s="41" customFormat="1" ht="15" customHeight="1"/>
    <row r="437" s="41" customFormat="1" ht="15" customHeight="1"/>
    <row r="438" s="41" customFormat="1" ht="15" customHeight="1"/>
    <row r="439" s="41" customFormat="1" ht="15" customHeight="1"/>
    <row r="440" s="41" customFormat="1" ht="15" customHeight="1"/>
    <row r="441" s="41" customFormat="1" ht="15" customHeight="1"/>
    <row r="442" s="41" customFormat="1" ht="15" customHeight="1"/>
    <row r="443" s="41" customFormat="1" ht="15" customHeight="1"/>
    <row r="444" s="41" customFormat="1" ht="15" customHeight="1"/>
    <row r="445" s="41" customFormat="1" ht="15" customHeight="1"/>
    <row r="446" s="41" customFormat="1" ht="15" customHeight="1"/>
    <row r="447" s="41" customFormat="1" ht="15" customHeight="1"/>
    <row r="448" s="41" customFormat="1" ht="15" customHeight="1"/>
    <row r="449" s="41" customFormat="1" ht="15" customHeight="1"/>
    <row r="450" s="41" customFormat="1" ht="15" customHeight="1"/>
    <row r="451" s="41" customFormat="1" ht="15" customHeight="1"/>
    <row r="452" s="41" customFormat="1" ht="15" customHeight="1"/>
    <row r="453" s="41" customFormat="1" ht="15" customHeight="1"/>
    <row r="454" s="41" customFormat="1" ht="15" customHeight="1"/>
    <row r="455" s="41" customFormat="1" ht="15" customHeight="1"/>
    <row r="456" s="41" customFormat="1" ht="15" customHeight="1"/>
    <row r="457" s="41" customFormat="1" ht="15" customHeight="1"/>
    <row r="458" s="41" customFormat="1" ht="15" customHeight="1"/>
    <row r="459" s="41" customFormat="1" ht="15" customHeight="1"/>
    <row r="460" s="41" customFormat="1" ht="15" customHeight="1"/>
    <row r="461" s="41" customFormat="1" ht="15" customHeight="1"/>
    <row r="462" s="41" customFormat="1" ht="15" customHeight="1"/>
    <row r="463" s="41" customFormat="1" ht="15" customHeight="1"/>
    <row r="464" s="41" customFormat="1" ht="15" customHeight="1"/>
    <row r="465" s="41" customFormat="1" ht="15" customHeight="1"/>
    <row r="466" s="41" customFormat="1" ht="15" customHeight="1"/>
    <row r="467" s="41" customFormat="1" ht="15" customHeight="1"/>
    <row r="468" s="41" customFormat="1" ht="15" customHeight="1"/>
    <row r="469" s="41" customFormat="1" ht="15" customHeight="1"/>
    <row r="470" s="41" customFormat="1" ht="15" customHeight="1"/>
    <row r="471" s="41" customFormat="1" ht="15" customHeight="1"/>
    <row r="472" s="41" customFormat="1" ht="15" customHeight="1"/>
    <row r="473" s="41" customFormat="1" ht="15" customHeight="1"/>
    <row r="474" s="41" customFormat="1" ht="15" customHeight="1"/>
    <row r="475" s="41" customFormat="1" ht="15" customHeight="1"/>
    <row r="476" s="41" customFormat="1" ht="15" customHeight="1"/>
    <row r="477" s="41" customFormat="1" ht="15" customHeight="1"/>
    <row r="478" s="41" customFormat="1" ht="15" customHeight="1"/>
    <row r="479" s="41" customFormat="1" ht="15" customHeight="1"/>
    <row r="480" s="41" customFormat="1" ht="15" customHeight="1"/>
    <row r="481" s="41" customFormat="1" ht="15" customHeight="1"/>
    <row r="482" s="41" customFormat="1" ht="15" customHeight="1"/>
    <row r="483" s="41" customFormat="1" ht="15" customHeight="1"/>
    <row r="484" s="41" customFormat="1" ht="15" customHeight="1"/>
    <row r="485" s="41" customFormat="1" ht="15" customHeight="1"/>
    <row r="486" s="41" customFormat="1" ht="15" customHeight="1"/>
    <row r="487" s="41" customFormat="1" ht="15" customHeight="1"/>
    <row r="488" s="41" customFormat="1" ht="15" customHeight="1"/>
    <row r="489" s="41" customFormat="1" ht="15" customHeight="1"/>
    <row r="490" s="41" customFormat="1" ht="15" customHeight="1"/>
    <row r="491" s="41" customFormat="1" ht="15" customHeight="1"/>
    <row r="492" s="41" customFormat="1" ht="15" customHeight="1"/>
    <row r="493" s="41" customFormat="1" ht="15" customHeight="1"/>
    <row r="494" s="41" customFormat="1" ht="15" customHeight="1"/>
    <row r="495" s="41" customFormat="1" ht="15" customHeight="1"/>
    <row r="496" s="41" customFormat="1" ht="15" customHeight="1"/>
    <row r="497" s="41" customFormat="1" ht="15" customHeight="1"/>
    <row r="498" s="41" customFormat="1" ht="15" customHeight="1"/>
    <row r="499" s="41" customFormat="1" ht="15" customHeight="1"/>
    <row r="500" s="41" customFormat="1" ht="15" customHeight="1"/>
    <row r="501" s="41" customFormat="1" ht="15" customHeight="1"/>
    <row r="502" s="41" customFormat="1" ht="15" customHeight="1"/>
    <row r="503" s="41" customFormat="1" ht="15" customHeight="1"/>
    <row r="504" s="41" customFormat="1" ht="15" customHeight="1"/>
    <row r="505" s="41" customFormat="1" ht="15" customHeight="1"/>
    <row r="506" s="41" customFormat="1" ht="15" customHeight="1"/>
    <row r="507" s="41" customFormat="1" ht="15" customHeight="1"/>
    <row r="508" s="41" customFormat="1" ht="15" customHeight="1"/>
    <row r="509" s="41" customFormat="1" ht="15" customHeight="1"/>
    <row r="510" s="41" customFormat="1" ht="15" customHeight="1"/>
    <row r="511" s="41" customFormat="1" ht="15" customHeight="1"/>
    <row r="512" s="41" customFormat="1" ht="15" customHeight="1"/>
    <row r="513" s="41" customFormat="1" ht="15" customHeight="1"/>
    <row r="514" s="41" customFormat="1" ht="15" customHeight="1"/>
    <row r="515" s="41" customFormat="1" ht="15" customHeight="1"/>
    <row r="516" s="41" customFormat="1" ht="15" customHeight="1"/>
    <row r="517" s="41" customFormat="1" ht="15" customHeight="1"/>
    <row r="518" s="41" customFormat="1" ht="15" customHeight="1"/>
    <row r="519" s="41" customFormat="1" ht="15" customHeight="1"/>
    <row r="520" s="41" customFormat="1" ht="15" customHeight="1"/>
    <row r="521" s="41" customFormat="1" ht="15" customHeight="1"/>
    <row r="522" s="41" customFormat="1" ht="15" customHeight="1"/>
    <row r="523" s="41" customFormat="1" ht="15" customHeight="1"/>
    <row r="524" s="41" customFormat="1" ht="15" customHeight="1"/>
    <row r="525" s="41" customFormat="1" ht="15" customHeight="1"/>
    <row r="526" s="41" customFormat="1" ht="15" customHeight="1"/>
    <row r="527" s="41" customFormat="1" ht="15" customHeight="1"/>
    <row r="528" s="41" customFormat="1" ht="15" customHeight="1"/>
    <row r="529" s="41" customFormat="1" ht="15" customHeight="1"/>
    <row r="530" s="41" customFormat="1" ht="15" customHeight="1"/>
    <row r="531" s="41" customFormat="1" ht="15" customHeight="1"/>
    <row r="532" s="41" customFormat="1" ht="15" customHeight="1"/>
    <row r="533" s="41" customFormat="1" ht="15" customHeight="1"/>
    <row r="534" s="41" customFormat="1" ht="15" customHeight="1"/>
    <row r="535" s="41" customFormat="1" ht="15" customHeight="1"/>
    <row r="536" s="41" customFormat="1" ht="15" customHeight="1"/>
    <row r="537" s="41" customFormat="1" ht="15" customHeight="1"/>
    <row r="538" s="41" customFormat="1" ht="15" customHeight="1"/>
    <row r="539" s="41" customFormat="1" ht="15" customHeight="1"/>
    <row r="540" s="41" customFormat="1" ht="15" customHeight="1"/>
    <row r="541" s="41" customFormat="1" ht="15" customHeight="1"/>
    <row r="542" s="41" customFormat="1" ht="15" customHeight="1"/>
    <row r="543" s="41" customFormat="1" ht="15" customHeight="1"/>
    <row r="544" s="41" customFormat="1" ht="15" customHeight="1"/>
    <row r="545" s="41" customFormat="1" ht="15" customHeight="1"/>
    <row r="546" s="41" customFormat="1" ht="15" customHeight="1"/>
    <row r="547" s="41" customFormat="1" ht="15" customHeight="1"/>
    <row r="548" s="41" customFormat="1" ht="15" customHeight="1"/>
    <row r="549" s="41" customFormat="1" ht="15" customHeight="1"/>
    <row r="550" s="41" customFormat="1" ht="15" customHeight="1"/>
    <row r="551" s="41" customFormat="1" ht="15" customHeight="1"/>
    <row r="552" s="41" customFormat="1" ht="15" customHeight="1"/>
    <row r="553" s="41" customFormat="1" ht="15" customHeight="1"/>
    <row r="554" s="41" customFormat="1" ht="15" customHeight="1"/>
    <row r="555" s="41" customFormat="1" ht="15" customHeight="1"/>
    <row r="556" s="41" customFormat="1" ht="15" customHeight="1"/>
    <row r="557" s="41" customFormat="1" ht="15" customHeight="1"/>
    <row r="558" s="41" customFormat="1" ht="15" customHeight="1"/>
    <row r="559" s="41" customFormat="1" ht="15" customHeight="1"/>
    <row r="560" s="41" customFormat="1" ht="15" customHeight="1"/>
    <row r="561" s="41" customFormat="1" ht="15" customHeight="1"/>
    <row r="562" s="41" customFormat="1" ht="15" customHeight="1"/>
    <row r="563" s="41" customFormat="1" ht="15" customHeight="1"/>
    <row r="564" s="41" customFormat="1" ht="15" customHeight="1"/>
    <row r="565" s="41" customFormat="1" ht="15" customHeight="1"/>
    <row r="566" s="41" customFormat="1" ht="15" customHeight="1"/>
    <row r="567" s="41" customFormat="1" ht="15" customHeight="1"/>
    <row r="568" s="41" customFormat="1" ht="15" customHeight="1"/>
    <row r="569" s="41" customFormat="1" ht="15" customHeight="1"/>
    <row r="570" s="41" customFormat="1" ht="15" customHeight="1"/>
    <row r="571" s="41" customFormat="1" ht="15" customHeight="1"/>
    <row r="572" s="41" customFormat="1" ht="15" customHeight="1"/>
    <row r="573" s="41" customFormat="1" ht="15" customHeight="1"/>
    <row r="574" s="41" customFormat="1" ht="15" customHeight="1"/>
    <row r="575" s="41" customFormat="1" ht="15" customHeight="1"/>
    <row r="576" s="41" customFormat="1" ht="15" customHeight="1"/>
    <row r="577" s="41" customFormat="1" ht="15" customHeight="1"/>
    <row r="578" s="41" customFormat="1" ht="15" customHeight="1"/>
    <row r="579" s="41" customFormat="1" ht="15" customHeight="1"/>
    <row r="580" s="41" customFormat="1" ht="15" customHeight="1"/>
    <row r="581" s="41" customFormat="1" ht="15" customHeight="1"/>
    <row r="582" s="41" customFormat="1" ht="15" customHeight="1"/>
    <row r="583" s="41" customFormat="1" ht="15" customHeight="1"/>
    <row r="584" s="41" customFormat="1" ht="15" customHeight="1"/>
    <row r="585" s="41" customFormat="1" ht="15" customHeight="1"/>
    <row r="586" s="41" customFormat="1" ht="15" customHeight="1"/>
    <row r="587" s="41" customFormat="1" ht="15" customHeight="1"/>
    <row r="588" s="41" customFormat="1" ht="15" customHeight="1"/>
    <row r="589" s="41" customFormat="1" ht="15" customHeight="1"/>
    <row r="590" s="41" customFormat="1" ht="15" customHeight="1"/>
    <row r="591" s="41" customFormat="1" ht="15" customHeight="1"/>
    <row r="592" s="41" customFormat="1" ht="15" customHeight="1"/>
    <row r="593" s="41" customFormat="1" ht="15" customHeight="1"/>
    <row r="594" s="41" customFormat="1" ht="15" customHeight="1"/>
    <row r="595" s="41" customFormat="1" ht="15" customHeight="1"/>
    <row r="596" s="41" customFormat="1" ht="15" customHeight="1"/>
    <row r="597" s="41" customFormat="1" ht="15" customHeight="1"/>
    <row r="598" s="41" customFormat="1" ht="15" customHeight="1"/>
    <row r="599" s="41" customFormat="1" ht="15" customHeight="1"/>
    <row r="600" s="41" customFormat="1" ht="15" customHeight="1"/>
    <row r="601" s="41" customFormat="1" ht="15" customHeight="1"/>
    <row r="602" s="41" customFormat="1" ht="15" customHeight="1"/>
    <row r="603" s="41" customFormat="1" ht="15" customHeight="1"/>
    <row r="604" s="41" customFormat="1" ht="15" customHeight="1"/>
    <row r="605" s="41" customFormat="1" ht="15" customHeight="1"/>
    <row r="606" s="41" customFormat="1" ht="15" customHeight="1"/>
    <row r="607" s="41" customFormat="1" ht="15" customHeight="1"/>
    <row r="608" s="41" customFormat="1" ht="15" customHeight="1"/>
    <row r="609" s="41" customFormat="1" ht="15" customHeight="1"/>
    <row r="610" s="41" customFormat="1" ht="15" customHeight="1"/>
    <row r="611" s="41" customFormat="1" ht="15" customHeight="1"/>
    <row r="612" s="41" customFormat="1" ht="15" customHeight="1"/>
    <row r="613" s="41" customFormat="1" ht="15" customHeight="1"/>
    <row r="614" s="41" customFormat="1" ht="15" customHeight="1"/>
    <row r="615" s="41" customFormat="1" ht="15" customHeight="1"/>
    <row r="616" s="41" customFormat="1" ht="15" customHeight="1"/>
    <row r="617" s="41" customFormat="1" ht="15" customHeight="1"/>
    <row r="618" s="41" customFormat="1" ht="15" customHeight="1"/>
    <row r="619" s="41" customFormat="1" ht="15" customHeight="1"/>
    <row r="620" s="41" customFormat="1" ht="15" customHeight="1"/>
    <row r="621" s="41" customFormat="1" ht="15" customHeight="1"/>
    <row r="622" s="41" customFormat="1" ht="15" customHeight="1"/>
    <row r="623" s="41" customFormat="1" ht="15" customHeight="1"/>
    <row r="624" s="41" customFormat="1" ht="15" customHeight="1"/>
    <row r="625" s="41" customFormat="1" ht="15" customHeight="1"/>
    <row r="626" s="41" customFormat="1" ht="15" customHeight="1"/>
    <row r="627" s="41" customFormat="1" ht="15" customHeight="1"/>
    <row r="628" s="41" customFormat="1" ht="15" customHeight="1"/>
    <row r="629" s="41" customFormat="1" ht="15" customHeight="1"/>
    <row r="630" s="41" customFormat="1" ht="15" customHeight="1"/>
    <row r="631" s="41" customFormat="1" ht="15" customHeight="1"/>
    <row r="632" s="41" customFormat="1" ht="15" customHeight="1"/>
    <row r="633" s="41" customFormat="1" ht="15" customHeight="1"/>
    <row r="634" s="41" customFormat="1" ht="15" customHeight="1"/>
    <row r="635" s="41" customFormat="1" ht="15" customHeight="1"/>
    <row r="636" s="41" customFormat="1" ht="15" customHeight="1"/>
    <row r="637" s="41" customFormat="1" ht="15" customHeight="1"/>
    <row r="638" s="41" customFormat="1" ht="15" customHeight="1"/>
    <row r="639" s="41" customFormat="1" ht="15" customHeight="1"/>
    <row r="640" s="41" customFormat="1" ht="15" customHeight="1"/>
    <row r="641" s="41" customFormat="1" ht="15" customHeight="1"/>
    <row r="642" s="41" customFormat="1" ht="15" customHeight="1"/>
    <row r="643" s="41" customFormat="1" ht="15" customHeight="1"/>
    <row r="644" s="41" customFormat="1" ht="15" customHeight="1"/>
    <row r="645" s="41" customFormat="1" ht="15" customHeight="1"/>
    <row r="646" s="41" customFormat="1" ht="15" customHeight="1"/>
    <row r="647" s="41" customFormat="1" ht="15" customHeight="1"/>
    <row r="648" s="41" customFormat="1" ht="15" customHeight="1"/>
    <row r="649" s="41" customFormat="1" ht="15" customHeight="1"/>
    <row r="650" s="41" customFormat="1" ht="15" customHeight="1"/>
    <row r="651" s="41" customFormat="1" ht="15" customHeight="1"/>
    <row r="652" s="41" customFormat="1" ht="15" customHeight="1"/>
    <row r="653" s="41" customFormat="1" ht="15" customHeight="1"/>
    <row r="654" s="41" customFormat="1" ht="15" customHeight="1"/>
    <row r="655" s="41" customFormat="1" ht="15" customHeight="1"/>
    <row r="656" s="41" customFormat="1" ht="15" customHeight="1"/>
    <row r="657" s="41" customFormat="1" ht="15" customHeight="1"/>
    <row r="658" s="41" customFormat="1" ht="15" customHeight="1"/>
    <row r="659" s="41" customFormat="1" ht="15" customHeight="1"/>
    <row r="660" s="41" customFormat="1" ht="15" customHeight="1"/>
    <row r="661" s="41" customFormat="1" ht="15" customHeight="1"/>
    <row r="662" s="41" customFormat="1" ht="15" customHeight="1"/>
    <row r="663" s="41" customFormat="1" ht="15" customHeight="1"/>
    <row r="664" s="41" customFormat="1" ht="15" customHeight="1"/>
    <row r="665" s="41" customFormat="1" ht="15" customHeight="1"/>
    <row r="666" s="41" customFormat="1" ht="15" customHeight="1"/>
    <row r="667" s="41" customFormat="1" ht="15" customHeight="1"/>
    <row r="668" s="41" customFormat="1" ht="15" customHeight="1"/>
    <row r="669" s="41" customFormat="1" ht="15" customHeight="1"/>
    <row r="670" s="41" customFormat="1" ht="15" customHeight="1"/>
    <row r="671" s="41" customFormat="1" ht="15" customHeight="1"/>
    <row r="672" s="41" customFormat="1" ht="15" customHeight="1"/>
    <row r="673" s="41" customFormat="1" ht="15" customHeight="1"/>
    <row r="674" s="41" customFormat="1" ht="15" customHeight="1"/>
    <row r="675" s="41" customFormat="1" ht="15" customHeight="1"/>
    <row r="676" s="41" customFormat="1" ht="15" customHeight="1"/>
    <row r="677" s="41" customFormat="1" ht="15" customHeight="1"/>
    <row r="678" s="41" customFormat="1" ht="15" customHeight="1"/>
    <row r="679" s="41" customFormat="1" ht="15" customHeight="1"/>
    <row r="680" s="41" customFormat="1" ht="15" customHeight="1"/>
    <row r="681" s="41" customFormat="1" ht="15" customHeight="1"/>
    <row r="682" s="41" customFormat="1" ht="15" customHeight="1"/>
    <row r="683" s="41" customFormat="1" ht="15" customHeight="1"/>
    <row r="684" s="41" customFormat="1" ht="15" customHeight="1"/>
    <row r="685" s="41" customFormat="1" ht="15" customHeight="1"/>
    <row r="686" s="41" customFormat="1" ht="15" customHeight="1"/>
    <row r="687" s="41" customFormat="1" ht="15" customHeight="1"/>
    <row r="688" s="41" customFormat="1" ht="15" customHeight="1"/>
    <row r="689" s="41" customFormat="1" ht="15" customHeight="1"/>
    <row r="690" s="41" customFormat="1" ht="15" customHeight="1"/>
    <row r="691" s="41" customFormat="1" ht="15" customHeight="1"/>
    <row r="692" s="41" customFormat="1" ht="15" customHeight="1"/>
    <row r="693" s="41" customFormat="1" ht="15" customHeight="1"/>
    <row r="694" s="41" customFormat="1" ht="15" customHeight="1"/>
    <row r="695" s="41" customFormat="1" ht="15" customHeight="1"/>
    <row r="696" s="41" customFormat="1" ht="15" customHeight="1"/>
    <row r="697" s="41" customFormat="1" ht="15" customHeight="1"/>
    <row r="698" s="41" customFormat="1" ht="15" customHeight="1"/>
    <row r="699" s="41" customFormat="1" ht="15" customHeight="1"/>
    <row r="700" s="41" customFormat="1" ht="15" customHeight="1"/>
    <row r="701" s="41" customFormat="1" ht="15" customHeight="1"/>
    <row r="702" s="41" customFormat="1" ht="15" customHeight="1"/>
    <row r="703" s="41" customFormat="1" ht="15" customHeight="1"/>
    <row r="704" s="41" customFormat="1" ht="15" customHeight="1"/>
    <row r="705" s="41" customFormat="1" ht="15" customHeight="1"/>
    <row r="706" s="41" customFormat="1" ht="15" customHeight="1"/>
    <row r="707" s="41" customFormat="1" ht="15" customHeight="1"/>
    <row r="708" s="41" customFormat="1" ht="15" customHeight="1"/>
    <row r="709" s="41" customFormat="1" ht="15" customHeight="1"/>
    <row r="710" s="41" customFormat="1" ht="15" customHeight="1"/>
    <row r="711" s="41" customFormat="1" ht="15" customHeight="1"/>
    <row r="712" s="41" customFormat="1" ht="15" customHeight="1"/>
    <row r="713" s="41" customFormat="1" ht="15" customHeight="1"/>
    <row r="714" s="41" customFormat="1" ht="15" customHeight="1"/>
    <row r="715" s="41" customFormat="1" ht="15" customHeight="1"/>
    <row r="716" s="41" customFormat="1" ht="15" customHeight="1"/>
    <row r="717" s="41" customFormat="1" ht="15" customHeight="1"/>
    <row r="718" s="41" customFormat="1" ht="15" customHeight="1"/>
    <row r="719" s="41" customFormat="1" ht="15" customHeight="1"/>
    <row r="720" s="41" customFormat="1" ht="15" customHeight="1"/>
    <row r="721" s="41" customFormat="1" ht="15" customHeight="1"/>
    <row r="722" s="41" customFormat="1" ht="15" customHeight="1"/>
    <row r="723" s="41" customFormat="1" ht="15" customHeight="1"/>
    <row r="724" s="41" customFormat="1" ht="15" customHeight="1"/>
    <row r="725" s="41" customFormat="1" ht="15" customHeight="1"/>
    <row r="726" s="41" customFormat="1" ht="15" customHeight="1"/>
    <row r="727" s="41" customFormat="1" ht="15" customHeight="1"/>
    <row r="728" s="41" customFormat="1" ht="15" customHeight="1"/>
    <row r="729" s="41" customFormat="1" ht="15" customHeight="1"/>
    <row r="730" s="41" customFormat="1" ht="15" customHeight="1"/>
    <row r="731" s="41" customFormat="1" ht="15" customHeight="1"/>
    <row r="732" s="41" customFormat="1" ht="15" customHeight="1"/>
    <row r="733" s="41" customFormat="1" ht="15" customHeight="1"/>
    <row r="734" s="41" customFormat="1" ht="15" customHeight="1"/>
    <row r="735" s="41" customFormat="1" ht="15" customHeight="1"/>
    <row r="736" s="41" customFormat="1" ht="15" customHeight="1"/>
    <row r="737" s="41" customFormat="1" ht="15" customHeight="1"/>
    <row r="738" s="41" customFormat="1" ht="15" customHeight="1"/>
    <row r="739" s="41" customFormat="1" ht="15" customHeight="1"/>
    <row r="740" s="41" customFormat="1" ht="15" customHeight="1"/>
    <row r="741" s="41" customFormat="1" ht="15" customHeight="1"/>
    <row r="742" s="41" customFormat="1" ht="15" customHeight="1"/>
    <row r="743" s="41" customFormat="1" ht="15" customHeight="1"/>
    <row r="744" s="41" customFormat="1" ht="15" customHeight="1"/>
    <row r="745" s="41" customFormat="1" ht="15" customHeight="1"/>
    <row r="746" s="41" customFormat="1" ht="15" customHeight="1"/>
    <row r="747" s="41" customFormat="1" ht="15" customHeight="1"/>
    <row r="748" s="41" customFormat="1" ht="15" customHeight="1"/>
    <row r="749" s="41" customFormat="1" ht="15" customHeight="1"/>
    <row r="750" s="41" customFormat="1" ht="15" customHeight="1"/>
    <row r="751" s="41" customFormat="1" ht="15" customHeight="1"/>
    <row r="752" s="41" customFormat="1" ht="15" customHeight="1"/>
    <row r="753" s="41" customFormat="1" ht="15" customHeight="1"/>
    <row r="754" s="41" customFormat="1" ht="15" customHeight="1"/>
    <row r="755" s="41" customFormat="1" ht="15" customHeight="1"/>
    <row r="756" s="41" customFormat="1" ht="15" customHeight="1"/>
    <row r="757" s="41" customFormat="1" ht="15" customHeight="1"/>
    <row r="758" s="41" customFormat="1" ht="15" customHeight="1"/>
    <row r="759" s="41" customFormat="1" ht="15" customHeight="1"/>
    <row r="760" s="41" customFormat="1" ht="15" customHeight="1"/>
    <row r="761" s="41" customFormat="1" ht="15" customHeight="1"/>
    <row r="762" s="41" customFormat="1" ht="15" customHeight="1"/>
    <row r="763" s="41" customFormat="1" ht="15" customHeight="1"/>
    <row r="764" s="41" customFormat="1" ht="15" customHeight="1"/>
    <row r="765" s="41" customFormat="1" ht="15" customHeight="1"/>
    <row r="766" s="41" customFormat="1" ht="15" customHeight="1"/>
    <row r="767" s="41" customFormat="1" ht="15" customHeight="1"/>
    <row r="768" s="41" customFormat="1" ht="15" customHeight="1"/>
    <row r="769" s="41" customFormat="1" ht="15" customHeight="1"/>
    <row r="770" s="41" customFormat="1" ht="15" customHeight="1"/>
    <row r="771" s="41" customFormat="1" ht="15" customHeight="1"/>
    <row r="772" s="41" customFormat="1" ht="15" customHeight="1"/>
    <row r="773" s="41" customFormat="1" ht="15" customHeight="1"/>
    <row r="774" s="41" customFormat="1" ht="15" customHeight="1"/>
    <row r="775" s="41" customFormat="1" ht="15" customHeight="1"/>
    <row r="776" s="41" customFormat="1" ht="15" customHeight="1"/>
    <row r="777" s="41" customFormat="1" ht="15" customHeight="1"/>
    <row r="778" s="41" customFormat="1" ht="15" customHeight="1"/>
    <row r="779" s="41" customFormat="1" ht="15" customHeight="1"/>
    <row r="780" s="41" customFormat="1" ht="15" customHeight="1"/>
    <row r="781" s="41" customFormat="1" ht="15" customHeight="1"/>
    <row r="782" s="41" customFormat="1" ht="15" customHeight="1"/>
    <row r="783" s="41" customFormat="1" ht="15" customHeight="1"/>
    <row r="784" s="41" customFormat="1" ht="15" customHeight="1"/>
    <row r="785" s="41" customFormat="1" ht="15" customHeight="1"/>
    <row r="786" s="41" customFormat="1" ht="15" customHeight="1"/>
    <row r="787" s="41" customFormat="1" ht="15" customHeight="1"/>
    <row r="788" s="41" customFormat="1" ht="15" customHeight="1"/>
    <row r="789" s="41" customFormat="1" ht="15" customHeight="1"/>
    <row r="790" s="41" customFormat="1" ht="15" customHeight="1"/>
    <row r="791" s="41" customFormat="1" ht="15" customHeight="1"/>
    <row r="792" s="41" customFormat="1" ht="15" customHeight="1"/>
    <row r="793" s="41" customFormat="1" ht="15" customHeight="1"/>
    <row r="794" s="41" customFormat="1" ht="15" customHeight="1"/>
    <row r="795" s="41" customFormat="1" ht="15" customHeight="1"/>
    <row r="796" s="41" customFormat="1" ht="15" customHeight="1"/>
    <row r="797" s="41" customFormat="1" ht="15" customHeight="1"/>
    <row r="798" s="41" customFormat="1" ht="15" customHeight="1"/>
    <row r="799" s="41" customFormat="1" ht="15" customHeight="1"/>
    <row r="800" s="41" customFormat="1" ht="15" customHeight="1"/>
    <row r="801" s="41" customFormat="1" ht="15" customHeight="1"/>
    <row r="802" s="41" customFormat="1" ht="15" customHeight="1"/>
    <row r="803" s="41" customFormat="1" ht="15" customHeight="1"/>
    <row r="804" s="41" customFormat="1" ht="15" customHeight="1"/>
    <row r="805" s="41" customFormat="1" ht="15" customHeight="1"/>
    <row r="806" s="41" customFormat="1" ht="15" customHeight="1"/>
    <row r="807" s="41" customFormat="1" ht="15" customHeight="1"/>
    <row r="808" s="41" customFormat="1" ht="15" customHeight="1"/>
    <row r="809" s="41" customFormat="1" ht="15" customHeight="1"/>
    <row r="810" s="41" customFormat="1" ht="15" customHeight="1"/>
    <row r="811" s="41" customFormat="1" ht="15" customHeight="1"/>
    <row r="812" s="41" customFormat="1" ht="15" customHeight="1"/>
    <row r="813" s="41" customFormat="1" ht="15" customHeight="1"/>
    <row r="814" s="41" customFormat="1" ht="15" customHeight="1"/>
    <row r="815" s="41" customFormat="1" ht="15" customHeight="1"/>
    <row r="816" s="41" customFormat="1" ht="15" customHeight="1"/>
    <row r="817" s="41" customFormat="1" ht="15" customHeight="1"/>
    <row r="818" s="41" customFormat="1" ht="15" customHeight="1"/>
    <row r="819" s="41" customFormat="1" ht="15" customHeight="1"/>
    <row r="820" s="41" customFormat="1" ht="15" customHeight="1"/>
    <row r="821" s="41" customFormat="1" ht="15" customHeight="1"/>
    <row r="822" s="41" customFormat="1" ht="15" customHeight="1"/>
    <row r="823" s="41" customFormat="1" ht="15" customHeight="1"/>
    <row r="824" s="41" customFormat="1" ht="15" customHeight="1"/>
    <row r="825" s="41" customFormat="1" ht="15" customHeight="1"/>
    <row r="826" s="41" customFormat="1" ht="15" customHeight="1"/>
    <row r="827" s="41" customFormat="1" ht="15" customHeight="1"/>
    <row r="828" s="41" customFormat="1" ht="15" customHeight="1"/>
    <row r="829" s="41" customFormat="1" ht="15" customHeight="1"/>
    <row r="830" s="41" customFormat="1" ht="15" customHeight="1"/>
    <row r="831" s="41" customFormat="1" ht="15" customHeight="1"/>
    <row r="832" s="41" customFormat="1" ht="15" customHeight="1"/>
    <row r="833" s="41" customFormat="1" ht="15" customHeight="1"/>
    <row r="834" s="41" customFormat="1" ht="15" customHeight="1"/>
    <row r="835" s="41" customFormat="1" ht="15" customHeight="1"/>
    <row r="836" s="41" customFormat="1" ht="15" customHeight="1"/>
    <row r="837" s="41" customFormat="1" ht="15" customHeight="1"/>
    <row r="838" s="41" customFormat="1" ht="15" customHeight="1"/>
    <row r="839" s="41" customFormat="1" ht="15" customHeight="1"/>
    <row r="840" s="41" customFormat="1" ht="15" customHeight="1"/>
    <row r="841" s="41" customFormat="1" ht="15" customHeight="1"/>
    <row r="842" s="41" customFormat="1" ht="15" customHeight="1"/>
    <row r="843" s="41" customFormat="1" ht="15" customHeight="1"/>
    <row r="844" s="41" customFormat="1" ht="15" customHeight="1"/>
    <row r="845" s="41" customFormat="1" ht="15" customHeight="1"/>
    <row r="846" s="41" customFormat="1" ht="15" customHeight="1"/>
    <row r="847" s="41" customFormat="1" ht="15" customHeight="1"/>
    <row r="848" s="41" customFormat="1" ht="15" customHeight="1"/>
    <row r="849" s="41" customFormat="1" ht="15" customHeight="1"/>
    <row r="850" s="41" customFormat="1" ht="15" customHeight="1"/>
    <row r="851" s="41" customFormat="1" ht="15" customHeight="1"/>
    <row r="852" s="41" customFormat="1" ht="15" customHeight="1"/>
    <row r="853" s="41" customFormat="1" ht="15" customHeight="1"/>
    <row r="854" s="41" customFormat="1" ht="15" customHeight="1"/>
    <row r="855" s="41" customFormat="1" ht="15" customHeight="1"/>
    <row r="856" s="41" customFormat="1" ht="15" customHeight="1"/>
    <row r="857" s="41" customFormat="1" ht="15" customHeight="1"/>
    <row r="858" s="41" customFormat="1" ht="15" customHeight="1"/>
    <row r="859" s="41" customFormat="1" ht="15" customHeight="1"/>
    <row r="860" s="41" customFormat="1" ht="15" customHeight="1"/>
    <row r="861" s="41" customFormat="1" ht="15" customHeight="1"/>
    <row r="862" s="41" customFormat="1" ht="15" customHeight="1"/>
    <row r="863" s="41" customFormat="1" ht="15" customHeight="1"/>
    <row r="864" s="41" customFormat="1" ht="15" customHeight="1"/>
    <row r="865" s="41" customFormat="1" ht="15" customHeight="1"/>
    <row r="866" s="41" customFormat="1" ht="15" customHeight="1"/>
    <row r="867" s="41" customFormat="1" ht="15" customHeight="1"/>
    <row r="868" s="41" customFormat="1" ht="15" customHeight="1"/>
    <row r="869" s="41" customFormat="1" ht="15" customHeight="1"/>
    <row r="870" s="41" customFormat="1" ht="15" customHeight="1"/>
    <row r="871" s="41" customFormat="1" ht="15" customHeight="1"/>
    <row r="872" s="41" customFormat="1" ht="15" customHeight="1"/>
    <row r="873" s="41" customFormat="1" ht="15" customHeight="1"/>
    <row r="874" s="41" customFormat="1" ht="15" customHeight="1"/>
    <row r="875" s="41" customFormat="1" ht="15" customHeight="1"/>
    <row r="876" s="41" customFormat="1" ht="15" customHeight="1"/>
    <row r="877" s="41" customFormat="1" ht="15" customHeight="1"/>
    <row r="878" s="41" customFormat="1" ht="15" customHeight="1"/>
    <row r="879" s="41" customFormat="1" ht="15" customHeight="1"/>
    <row r="880" s="41" customFormat="1" ht="15" customHeight="1"/>
    <row r="881" s="41" customFormat="1" ht="15" customHeight="1"/>
    <row r="882" s="41" customFormat="1" ht="15" customHeight="1"/>
    <row r="883" s="41" customFormat="1" ht="15" customHeight="1"/>
    <row r="884" s="41" customFormat="1" ht="15" customHeight="1"/>
    <row r="885" s="41" customFormat="1" ht="15" customHeight="1"/>
    <row r="886" s="41" customFormat="1" ht="15" customHeight="1"/>
    <row r="887" s="41" customFormat="1" ht="15" customHeight="1"/>
    <row r="888" s="41" customFormat="1" ht="15" customHeight="1"/>
    <row r="889" s="41" customFormat="1" ht="15" customHeight="1"/>
    <row r="890" s="41" customFormat="1" ht="15" customHeight="1"/>
    <row r="891" s="41" customFormat="1" ht="15" customHeight="1"/>
    <row r="892" s="41" customFormat="1" ht="15" customHeight="1"/>
    <row r="893" s="41" customFormat="1" ht="15" customHeight="1"/>
    <row r="894" s="41" customFormat="1" ht="15" customHeight="1"/>
    <row r="895" s="41" customFormat="1" ht="15" customHeight="1"/>
    <row r="896" s="41" customFormat="1" ht="15" customHeight="1"/>
    <row r="897" s="41" customFormat="1" ht="15" customHeight="1"/>
    <row r="898" s="41" customFormat="1" ht="15" customHeight="1"/>
    <row r="899" s="41" customFormat="1" ht="15" customHeight="1"/>
    <row r="900" s="41" customFormat="1" ht="15" customHeight="1"/>
    <row r="901" s="41" customFormat="1" ht="15" customHeight="1"/>
    <row r="902" s="41" customFormat="1" ht="15" customHeight="1"/>
    <row r="903" s="41" customFormat="1" ht="15" customHeight="1"/>
    <row r="904" s="41" customFormat="1" ht="15" customHeight="1"/>
    <row r="905" s="41" customFormat="1" ht="15" customHeight="1"/>
    <row r="906" s="41" customFormat="1" ht="15" customHeight="1"/>
    <row r="907" s="41" customFormat="1" ht="15" customHeight="1"/>
    <row r="908" s="41" customFormat="1" ht="15" customHeight="1"/>
    <row r="909" s="41" customFormat="1" ht="15" customHeight="1"/>
    <row r="910" s="41" customFormat="1" ht="15" customHeight="1"/>
    <row r="911" s="41" customFormat="1" ht="15" customHeight="1"/>
    <row r="912" s="41" customFormat="1" ht="15" customHeight="1"/>
    <row r="913" s="41" customFormat="1" ht="15" customHeight="1"/>
    <row r="914" s="41" customFormat="1" ht="15" customHeight="1"/>
    <row r="915" s="41" customFormat="1" ht="15" customHeight="1"/>
    <row r="916" s="41" customFormat="1" ht="15" customHeight="1"/>
    <row r="917" s="41" customFormat="1" ht="15" customHeight="1"/>
    <row r="918" s="41" customFormat="1" ht="15" customHeight="1"/>
    <row r="919" s="41" customFormat="1" ht="15" customHeight="1"/>
    <row r="920" s="41" customFormat="1" ht="15" customHeight="1"/>
    <row r="921" s="41" customFormat="1" ht="15" customHeight="1"/>
    <row r="922" s="41" customFormat="1" ht="15" customHeight="1"/>
    <row r="923" s="41" customFormat="1" ht="15" customHeight="1"/>
    <row r="924" s="41" customFormat="1" ht="15" customHeight="1"/>
    <row r="925" s="41" customFormat="1" ht="15" customHeight="1"/>
    <row r="926" s="41" customFormat="1" ht="15" customHeight="1"/>
    <row r="927" s="41" customFormat="1" ht="15" customHeight="1"/>
    <row r="928" s="41" customFormat="1" ht="15" customHeight="1"/>
    <row r="929" s="41" customFormat="1" ht="15" customHeight="1"/>
    <row r="930" s="41" customFormat="1" ht="15" customHeight="1"/>
    <row r="931" s="41" customFormat="1" ht="15" customHeight="1"/>
    <row r="932" s="41" customFormat="1" ht="15" customHeight="1"/>
    <row r="933" s="41" customFormat="1" ht="15" customHeight="1"/>
    <row r="934" s="41" customFormat="1" ht="15" customHeight="1"/>
    <row r="935" s="41" customFormat="1" ht="15" customHeight="1"/>
    <row r="936" s="41" customFormat="1" ht="15" customHeight="1"/>
    <row r="937" s="41" customFormat="1" ht="15" customHeight="1"/>
    <row r="938" s="41" customFormat="1" ht="15" customHeight="1"/>
    <row r="939" s="41" customFormat="1" ht="15" customHeight="1"/>
    <row r="940" s="41" customFormat="1" ht="15" customHeight="1"/>
    <row r="941" s="41" customFormat="1" ht="15" customHeight="1"/>
    <row r="942" s="41" customFormat="1" ht="15" customHeight="1"/>
    <row r="943" s="41" customFormat="1" ht="15" customHeight="1"/>
    <row r="944" s="41" customFormat="1" ht="15" customHeight="1"/>
    <row r="945" s="41" customFormat="1" ht="15" customHeight="1"/>
    <row r="946" s="41" customFormat="1" ht="15" customHeight="1"/>
    <row r="947" s="41" customFormat="1" ht="15" customHeight="1"/>
    <row r="948" s="41" customFormat="1" ht="15" customHeight="1"/>
    <row r="949" s="41" customFormat="1" ht="15" customHeight="1"/>
    <row r="950" s="41" customFormat="1" ht="15" customHeight="1"/>
    <row r="951" s="41" customFormat="1" ht="15" customHeight="1"/>
    <row r="952" s="41" customFormat="1" ht="15" customHeight="1"/>
    <row r="953" s="41" customFormat="1" ht="15" customHeight="1"/>
    <row r="954" s="41" customFormat="1" ht="15" customHeight="1"/>
    <row r="955" s="41" customFormat="1" ht="15" customHeight="1"/>
    <row r="956" s="41" customFormat="1" ht="15" customHeight="1"/>
    <row r="957" s="41" customFormat="1" ht="15" customHeight="1"/>
    <row r="958" s="41" customFormat="1" ht="15" customHeight="1"/>
    <row r="959" s="41" customFormat="1" ht="15" customHeight="1"/>
    <row r="960" s="41" customFormat="1" ht="15" customHeight="1"/>
    <row r="961" s="41" customFormat="1" ht="15" customHeight="1"/>
    <row r="962" s="41" customFormat="1" ht="15" customHeight="1"/>
    <row r="963" s="41" customFormat="1" ht="15" customHeight="1"/>
    <row r="964" s="41" customFormat="1" ht="15" customHeight="1"/>
    <row r="965" s="41" customFormat="1" ht="15" customHeight="1"/>
    <row r="966" s="41" customFormat="1" ht="15" customHeight="1"/>
    <row r="967" s="41" customFormat="1" ht="15" customHeight="1"/>
    <row r="968" s="41" customFormat="1" ht="15" customHeight="1"/>
    <row r="969" s="41" customFormat="1" ht="15" customHeight="1"/>
    <row r="970" s="41" customFormat="1" ht="15" customHeight="1"/>
    <row r="971" s="41" customFormat="1" ht="15" customHeight="1"/>
    <row r="972" s="41" customFormat="1" ht="15" customHeight="1"/>
    <row r="973" s="41" customFormat="1" ht="15" customHeight="1"/>
    <row r="974" s="41" customFormat="1" ht="15" customHeight="1"/>
    <row r="975" s="41" customFormat="1" ht="15" customHeight="1"/>
    <row r="976" s="41" customFormat="1" ht="15" customHeight="1"/>
    <row r="977" s="41" customFormat="1" ht="15" customHeight="1"/>
    <row r="978" s="41" customFormat="1" ht="15" customHeight="1"/>
    <row r="979" s="41" customFormat="1" ht="15" customHeight="1"/>
    <row r="980" s="41" customFormat="1" ht="15" customHeight="1"/>
    <row r="981" s="41" customFormat="1" ht="15" customHeight="1"/>
    <row r="982" s="41" customFormat="1" ht="15" customHeight="1"/>
    <row r="983" s="41" customFormat="1" ht="15" customHeight="1"/>
    <row r="984" s="41" customFormat="1" ht="15" customHeight="1"/>
    <row r="985" s="41" customFormat="1" ht="15" customHeight="1"/>
    <row r="986" s="41" customFormat="1" ht="15" customHeight="1"/>
    <row r="987" s="41" customFormat="1" ht="15" customHeight="1"/>
    <row r="988" s="41" customFormat="1" ht="15" customHeight="1"/>
    <row r="989" s="41" customFormat="1" ht="15" customHeight="1"/>
    <row r="990" s="41" customFormat="1" ht="15" customHeight="1"/>
    <row r="991" s="41" customFormat="1" ht="15" customHeight="1"/>
    <row r="992" s="41" customFormat="1" ht="15" customHeight="1"/>
    <row r="993" s="41" customFormat="1" ht="15" customHeight="1"/>
    <row r="994" s="41" customFormat="1" ht="15" customHeight="1"/>
    <row r="995" s="41" customFormat="1" ht="15" customHeight="1"/>
    <row r="996" s="41" customFormat="1" ht="15" customHeight="1"/>
    <row r="997" s="41" customFormat="1" ht="15" customHeight="1"/>
    <row r="998" s="41" customFormat="1" ht="15" customHeight="1"/>
    <row r="999" s="41" customFormat="1" ht="15" customHeight="1"/>
    <row r="1000" s="41" customFormat="1" ht="15" customHeight="1"/>
    <row r="1001" s="41" customFormat="1" ht="15" customHeight="1"/>
    <row r="1002" s="41" customFormat="1" ht="15" customHeight="1"/>
    <row r="1003" s="41" customFormat="1" ht="15" customHeight="1"/>
    <row r="1004" s="41" customFormat="1" ht="15" customHeight="1"/>
    <row r="1005" s="41" customFormat="1" ht="15" customHeight="1"/>
    <row r="1006" s="41" customFormat="1" ht="15" customHeight="1"/>
    <row r="1007" s="41" customFormat="1" ht="15" customHeight="1"/>
    <row r="1008" s="41" customFormat="1" ht="15" customHeight="1"/>
    <row r="1009" s="41" customFormat="1" ht="15" customHeight="1"/>
    <row r="1010" s="41" customFormat="1" ht="15" customHeight="1"/>
    <row r="1011" s="41" customFormat="1" ht="15" customHeight="1"/>
    <row r="1012" s="41" customFormat="1" ht="15" customHeight="1"/>
    <row r="1013" s="41" customFormat="1" ht="15" customHeight="1"/>
    <row r="1014" s="41" customFormat="1" ht="15" customHeight="1"/>
    <row r="1015" s="41" customFormat="1" ht="15" customHeight="1"/>
    <row r="1016" s="41" customFormat="1" ht="15" customHeight="1"/>
    <row r="1017" s="41" customFormat="1" ht="15" customHeight="1"/>
    <row r="1018" s="41" customFormat="1" ht="15" customHeight="1"/>
    <row r="1019" s="41" customFormat="1" ht="15" customHeight="1"/>
    <row r="1020" s="41" customFormat="1" ht="15" customHeight="1"/>
    <row r="1021" s="41" customFormat="1" ht="15" customHeight="1"/>
    <row r="1022" s="41" customFormat="1" ht="15" customHeight="1"/>
    <row r="1023" s="41" customFormat="1" ht="15" customHeight="1"/>
    <row r="1024" s="41" customFormat="1" ht="15" customHeight="1"/>
    <row r="1025" s="41" customFormat="1" ht="15" customHeight="1"/>
    <row r="1026" s="41" customFormat="1" ht="15" customHeight="1"/>
    <row r="1027" s="41" customFormat="1" ht="15" customHeight="1"/>
    <row r="1028" s="41" customFormat="1" ht="15" customHeight="1"/>
    <row r="1029" s="41" customFormat="1" ht="15" customHeight="1"/>
    <row r="1030" s="41" customFormat="1" ht="15" customHeight="1"/>
    <row r="1031" s="41" customFormat="1" ht="15" customHeight="1"/>
    <row r="1032" s="41" customFormat="1" ht="15" customHeight="1"/>
    <row r="1033" s="41" customFormat="1" ht="15" customHeight="1"/>
    <row r="1034" s="41" customFormat="1" ht="15" customHeight="1"/>
    <row r="1035" s="41" customFormat="1" ht="15" customHeight="1"/>
    <row r="1036" s="41" customFormat="1" ht="15" customHeight="1"/>
    <row r="1037" s="41" customFormat="1" ht="15" customHeight="1"/>
    <row r="1038" s="41" customFormat="1" ht="15" customHeight="1"/>
    <row r="1039" s="41" customFormat="1" ht="15" customHeight="1"/>
    <row r="1040" s="41" customFormat="1" ht="15" customHeight="1"/>
    <row r="1041" s="41" customFormat="1" ht="15" customHeight="1"/>
    <row r="1042" s="41" customFormat="1" ht="15" customHeight="1"/>
    <row r="1043" s="41" customFormat="1" ht="15" customHeight="1"/>
    <row r="1044" s="41" customFormat="1" ht="15" customHeight="1"/>
    <row r="1045" s="41" customFormat="1" ht="15" customHeight="1"/>
    <row r="1046" s="41" customFormat="1" ht="15" customHeight="1"/>
    <row r="1047" s="41" customFormat="1" ht="15" customHeight="1"/>
    <row r="1048" s="41" customFormat="1" ht="15" customHeight="1"/>
    <row r="1049" s="41" customFormat="1" ht="15" customHeight="1"/>
    <row r="1050" s="41" customFormat="1" ht="15" customHeight="1"/>
    <row r="1051" s="41" customFormat="1" ht="15" customHeight="1"/>
    <row r="1052" s="41" customFormat="1" ht="15" customHeight="1"/>
    <row r="1053" s="41" customFormat="1" ht="15" customHeight="1"/>
    <row r="1054" s="41" customFormat="1" ht="15" customHeight="1"/>
    <row r="1055" s="41" customFormat="1" ht="15" customHeight="1"/>
    <row r="1056" s="41" customFormat="1" ht="15" customHeight="1"/>
    <row r="1057" s="41" customFormat="1" ht="15" customHeight="1"/>
    <row r="1058" s="41" customFormat="1" ht="15" customHeight="1"/>
    <row r="1059" s="41" customFormat="1" ht="15" customHeight="1"/>
    <row r="1060" s="41" customFormat="1" ht="15" customHeight="1"/>
    <row r="1061" s="41" customFormat="1" ht="15" customHeight="1"/>
    <row r="1062" s="41" customFormat="1" ht="15" customHeight="1"/>
    <row r="1063" s="41" customFormat="1" ht="15" customHeight="1"/>
    <row r="1064" s="41" customFormat="1" ht="15" customHeight="1"/>
    <row r="1065" s="41" customFormat="1" ht="15" customHeight="1"/>
    <row r="1066" s="41" customFormat="1" ht="15" customHeight="1"/>
    <row r="1067" s="41" customFormat="1" ht="15" customHeight="1"/>
    <row r="1068" s="41" customFormat="1" ht="15" customHeight="1"/>
    <row r="1069" s="41" customFormat="1" ht="15" customHeight="1"/>
    <row r="1070" s="41" customFormat="1" ht="15" customHeight="1"/>
    <row r="1071" s="41" customFormat="1" ht="15" customHeight="1"/>
    <row r="1072" s="41" customFormat="1" ht="15" customHeight="1"/>
    <row r="1073" s="41" customFormat="1" ht="15" customHeight="1"/>
    <row r="1074" s="41" customFormat="1" ht="15" customHeight="1"/>
    <row r="1075" s="41" customFormat="1" ht="15" customHeight="1"/>
    <row r="1076" s="41" customFormat="1" ht="15" customHeight="1"/>
    <row r="1077" s="41" customFormat="1" ht="15" customHeight="1"/>
    <row r="1078" s="41" customFormat="1" ht="15" customHeight="1"/>
    <row r="1079" s="41" customFormat="1" ht="15" customHeight="1"/>
    <row r="1080" s="41" customFormat="1" ht="15" customHeight="1"/>
    <row r="1081" s="41" customFormat="1" ht="15" customHeight="1"/>
    <row r="1082" s="41" customFormat="1" ht="15" customHeight="1"/>
    <row r="1083" s="41" customFormat="1" ht="15" customHeight="1"/>
    <row r="1084" s="41" customFormat="1" ht="15" customHeight="1"/>
    <row r="1085" s="41" customFormat="1" ht="15" customHeight="1"/>
    <row r="1086" s="41" customFormat="1" ht="15" customHeight="1"/>
    <row r="1087" s="41" customFormat="1" ht="15" customHeight="1"/>
    <row r="1088" s="41" customFormat="1" ht="15" customHeight="1"/>
    <row r="1089" s="41" customFormat="1" ht="15" customHeight="1"/>
    <row r="1090" s="41" customFormat="1" ht="15" customHeight="1"/>
    <row r="1091" s="41" customFormat="1" ht="15" customHeight="1"/>
    <row r="1092" s="41" customFormat="1" ht="15" customHeight="1"/>
    <row r="1093" s="41" customFormat="1" ht="15" customHeight="1"/>
    <row r="1094" s="41" customFormat="1" ht="15" customHeight="1"/>
    <row r="1095" s="41" customFormat="1" ht="15" customHeight="1"/>
    <row r="1096" s="41" customFormat="1" ht="15" customHeight="1"/>
    <row r="1097" s="41" customFormat="1" ht="15" customHeight="1"/>
    <row r="1098" s="41" customFormat="1" ht="15" customHeight="1"/>
    <row r="1099" s="41" customFormat="1" ht="15" customHeight="1"/>
    <row r="1100" s="41" customFormat="1" ht="15" customHeight="1"/>
    <row r="1101" s="41" customFormat="1" ht="15" customHeight="1"/>
    <row r="1102" s="41" customFormat="1" ht="15" customHeight="1"/>
    <row r="1103" s="41" customFormat="1" ht="15" customHeight="1"/>
    <row r="1104" s="41" customFormat="1" ht="15" customHeight="1"/>
    <row r="1105" s="41" customFormat="1" ht="15" customHeight="1"/>
    <row r="1106" s="41" customFormat="1" ht="15" customHeight="1"/>
    <row r="1107" s="41" customFormat="1" ht="15" customHeight="1"/>
    <row r="1108" s="41" customFormat="1" ht="15" customHeight="1"/>
    <row r="1109" s="41" customFormat="1" ht="15" customHeight="1"/>
    <row r="1110" s="41" customFormat="1" ht="15" customHeight="1"/>
    <row r="1111" s="41" customFormat="1" ht="15" customHeight="1"/>
    <row r="1112" s="41" customFormat="1" ht="15" customHeight="1"/>
    <row r="1113" s="41" customFormat="1" ht="15" customHeight="1"/>
    <row r="1114" s="41" customFormat="1" ht="15" customHeight="1"/>
    <row r="1115" s="41" customFormat="1" ht="15" customHeight="1"/>
    <row r="1116" s="41" customFormat="1" ht="15" customHeight="1"/>
    <row r="1117" s="41" customFormat="1" ht="15" customHeight="1"/>
    <row r="1118" s="41" customFormat="1" ht="15" customHeight="1"/>
    <row r="1119" s="41" customFormat="1" ht="15" customHeight="1"/>
    <row r="1120" s="41" customFormat="1" ht="15" customHeight="1"/>
    <row r="1121" s="41" customFormat="1" ht="15" customHeight="1"/>
    <row r="1122" s="41" customFormat="1" ht="15" customHeight="1"/>
    <row r="1123" s="41" customFormat="1" ht="15" customHeight="1"/>
    <row r="1124" s="41" customFormat="1" ht="15" customHeight="1"/>
    <row r="1125" s="41" customFormat="1" ht="15" customHeight="1"/>
    <row r="1126" s="41" customFormat="1" ht="15" customHeight="1"/>
    <row r="1127" s="41" customFormat="1" ht="15" customHeight="1"/>
    <row r="1128" s="41" customFormat="1" ht="15" customHeight="1"/>
    <row r="1129" s="41" customFormat="1" ht="15" customHeight="1"/>
    <row r="1130" s="41" customFormat="1" ht="15" customHeight="1"/>
    <row r="1131" s="41" customFormat="1" ht="15" customHeight="1"/>
    <row r="1132" s="41" customFormat="1" ht="15" customHeight="1"/>
    <row r="1133" s="41" customFormat="1" ht="15" customHeight="1"/>
    <row r="1134" s="41" customFormat="1" ht="15" customHeight="1"/>
    <row r="1135" s="41" customFormat="1" ht="15" customHeight="1"/>
    <row r="1136" s="41" customFormat="1" ht="15" customHeight="1"/>
    <row r="1137" s="41" customFormat="1" ht="15" customHeight="1"/>
    <row r="1138" s="41" customFormat="1" ht="15" customHeight="1"/>
    <row r="1139" s="41" customFormat="1" ht="15" customHeight="1"/>
    <row r="1140" s="41" customFormat="1" ht="15" customHeight="1"/>
    <row r="1141" s="41" customFormat="1" ht="15" customHeight="1"/>
    <row r="1142" s="41" customFormat="1" ht="15" customHeight="1"/>
    <row r="1143" s="41" customFormat="1" ht="15" customHeight="1"/>
    <row r="1144" s="41" customFormat="1" ht="15" customHeight="1"/>
    <row r="1145" s="41" customFormat="1" ht="15" customHeight="1"/>
    <row r="1146" s="41" customFormat="1" ht="15" customHeight="1"/>
    <row r="1147" s="41" customFormat="1" ht="15" customHeight="1"/>
    <row r="1148" s="41" customFormat="1" ht="15" customHeight="1"/>
    <row r="1149" s="41" customFormat="1" ht="15" customHeight="1"/>
    <row r="1150" s="41" customFormat="1" ht="15" customHeight="1"/>
    <row r="1151" s="41" customFormat="1" ht="15" customHeight="1"/>
    <row r="1152" s="41" customFormat="1" ht="15" customHeight="1"/>
    <row r="1153" s="41" customFormat="1" ht="15" customHeight="1"/>
    <row r="1154" s="41" customFormat="1" ht="15" customHeight="1"/>
    <row r="1155" s="41" customFormat="1" ht="15" customHeight="1"/>
    <row r="1156" s="41" customFormat="1" ht="15" customHeight="1"/>
    <row r="1157" s="41" customFormat="1" ht="15" customHeight="1"/>
    <row r="1158" s="41" customFormat="1" ht="15" customHeight="1"/>
    <row r="1159" s="41" customFormat="1" ht="15" customHeight="1"/>
    <row r="1160" s="41" customFormat="1" ht="15" customHeight="1"/>
    <row r="1161" s="41" customFormat="1" ht="15" customHeight="1"/>
    <row r="1162" s="41" customFormat="1" ht="15" customHeight="1"/>
    <row r="1163" s="41" customFormat="1" ht="15" customHeight="1"/>
    <row r="1164" s="41" customFormat="1" ht="15" customHeight="1"/>
    <row r="1165" s="41" customFormat="1" ht="15" customHeight="1"/>
    <row r="1166" s="41" customFormat="1" ht="15" customHeight="1"/>
    <row r="1167" s="41" customFormat="1" ht="15" customHeight="1"/>
    <row r="1168" s="41" customFormat="1" ht="15" customHeight="1"/>
    <row r="1169" s="41" customFormat="1" ht="15" customHeight="1"/>
    <row r="1170" s="41" customFormat="1" ht="15" customHeight="1"/>
    <row r="1171" s="41" customFormat="1" ht="15" customHeight="1"/>
    <row r="1172" s="41" customFormat="1" ht="15" customHeight="1"/>
    <row r="1173" s="41" customFormat="1" ht="15" customHeight="1"/>
    <row r="1174" s="41" customFormat="1" ht="15" customHeight="1"/>
    <row r="1175" s="41" customFormat="1" ht="15" customHeight="1"/>
    <row r="1176" s="41" customFormat="1" ht="15" customHeight="1"/>
    <row r="1177" s="41" customFormat="1" ht="15" customHeight="1"/>
    <row r="1178" s="41" customFormat="1" ht="15" customHeight="1"/>
    <row r="1179" s="41" customFormat="1" ht="15" customHeight="1"/>
    <row r="1180" s="41" customFormat="1" ht="15" customHeight="1"/>
    <row r="1181" s="41" customFormat="1" ht="15" customHeight="1"/>
    <row r="1182" s="41" customFormat="1" ht="15" customHeight="1"/>
    <row r="1183" s="41" customFormat="1" ht="15" customHeight="1"/>
    <row r="1184" s="41" customFormat="1" ht="15" customHeight="1"/>
    <row r="1185" s="41" customFormat="1" ht="15" customHeight="1"/>
    <row r="1186" s="41" customFormat="1" ht="15" customHeight="1"/>
    <row r="1187" s="41" customFormat="1" ht="15" customHeight="1"/>
    <row r="1188" s="41" customFormat="1" ht="15" customHeight="1"/>
    <row r="1189" s="41" customFormat="1" ht="15" customHeight="1"/>
    <row r="1190" s="41" customFormat="1" ht="15" customHeight="1"/>
    <row r="1191" s="41" customFormat="1" ht="15" customHeight="1"/>
    <row r="1192" s="41" customFormat="1" ht="15" customHeight="1"/>
    <row r="1193" s="41" customFormat="1" ht="15" customHeight="1"/>
    <row r="1194" s="41" customFormat="1" ht="15" customHeight="1"/>
    <row r="1195" s="41" customFormat="1" ht="15" customHeight="1"/>
    <row r="1196" s="41" customFormat="1" ht="15" customHeight="1"/>
    <row r="1197" s="41" customFormat="1" ht="15" customHeight="1"/>
    <row r="1198" s="41" customFormat="1" ht="15" customHeight="1"/>
    <row r="1199" s="41" customFormat="1" ht="15" customHeight="1"/>
    <row r="1200" s="41" customFormat="1" ht="15" customHeight="1"/>
    <row r="1201" s="41" customFormat="1" ht="15" customHeight="1"/>
    <row r="1202" s="41" customFormat="1" ht="15" customHeight="1"/>
    <row r="1203" s="41" customFormat="1" ht="15" customHeight="1"/>
    <row r="1204" s="41" customFormat="1" ht="15" customHeight="1"/>
    <row r="1205" s="41" customFormat="1" ht="15" customHeight="1"/>
    <row r="1206" s="41" customFormat="1" ht="15" customHeight="1"/>
    <row r="1207" s="41" customFormat="1" ht="15" customHeight="1"/>
    <row r="1208" s="41" customFormat="1" ht="15" customHeight="1"/>
    <row r="1209" s="41" customFormat="1" ht="15" customHeight="1"/>
    <row r="1210" s="41" customFormat="1" ht="15" customHeight="1"/>
    <row r="1211" s="41" customFormat="1" ht="15" customHeight="1"/>
    <row r="1212" s="41" customFormat="1" ht="15" customHeight="1"/>
    <row r="1213" s="41" customFormat="1" ht="15" customHeight="1"/>
    <row r="1214" s="41" customFormat="1" ht="15" customHeight="1"/>
    <row r="1215" s="41" customFormat="1" ht="15" customHeight="1"/>
    <row r="1216" s="41" customFormat="1" ht="15" customHeight="1"/>
    <row r="1217" s="41" customFormat="1" ht="15" customHeight="1"/>
    <row r="1218" s="41" customFormat="1" ht="15" customHeight="1"/>
    <row r="1219" s="41" customFormat="1" ht="15" customHeight="1"/>
    <row r="1220" s="41" customFormat="1" ht="15" customHeight="1"/>
    <row r="1221" s="41" customFormat="1" ht="15" customHeight="1"/>
    <row r="1222" s="41" customFormat="1" ht="15" customHeight="1"/>
    <row r="1223" s="41" customFormat="1" ht="15" customHeight="1"/>
    <row r="1224" s="41" customFormat="1" ht="15" customHeight="1"/>
    <row r="1225" s="41" customFormat="1" ht="15" customHeight="1"/>
    <row r="1226" s="41" customFormat="1" ht="15" customHeight="1"/>
    <row r="1227" s="41" customFormat="1" ht="15" customHeight="1"/>
    <row r="1228" s="41" customFormat="1" ht="15" customHeight="1"/>
    <row r="1229" s="41" customFormat="1" ht="15" customHeight="1"/>
    <row r="1230" s="41" customFormat="1" ht="15" customHeight="1"/>
    <row r="1231" s="41" customFormat="1" ht="15" customHeight="1"/>
    <row r="1232" s="41" customFormat="1" ht="15" customHeight="1"/>
    <row r="1233" s="41" customFormat="1" ht="15" customHeight="1"/>
    <row r="1234" s="41" customFormat="1" ht="15" customHeight="1"/>
    <row r="1235" s="41" customFormat="1" ht="15" customHeight="1"/>
    <row r="1236" s="41" customFormat="1" ht="15" customHeight="1"/>
    <row r="1237" s="41" customFormat="1" ht="15" customHeight="1"/>
    <row r="1238" s="41" customFormat="1" ht="15" customHeight="1"/>
    <row r="1239" s="41" customFormat="1" ht="15" customHeight="1"/>
    <row r="1240" s="41" customFormat="1" ht="15" customHeight="1"/>
    <row r="1241" s="41" customFormat="1" ht="15" customHeight="1"/>
    <row r="1242" s="41" customFormat="1" ht="15" customHeight="1"/>
    <row r="1243" s="41" customFormat="1" ht="15" customHeight="1"/>
    <row r="1244" s="41" customFormat="1" ht="15" customHeight="1"/>
    <row r="1245" s="41" customFormat="1" ht="15" customHeight="1"/>
    <row r="1246" s="41" customFormat="1" ht="15" customHeight="1"/>
    <row r="1247" s="41" customFormat="1" ht="15" customHeight="1"/>
    <row r="1248" s="41" customFormat="1" ht="15" customHeight="1"/>
    <row r="1249" s="41" customFormat="1" ht="15" customHeight="1"/>
    <row r="1250" s="41" customFormat="1" ht="15" customHeight="1"/>
    <row r="1251" s="41" customFormat="1" ht="15" customHeight="1"/>
    <row r="1252" s="41" customFormat="1" ht="15" customHeight="1"/>
    <row r="1253" s="41" customFormat="1" ht="15" customHeight="1"/>
    <row r="1254" s="41" customFormat="1" ht="15" customHeight="1"/>
    <row r="1255" s="41" customFormat="1" ht="15" customHeight="1"/>
    <row r="1256" s="41" customFormat="1" ht="15" customHeight="1"/>
    <row r="1257" s="41" customFormat="1" ht="15" customHeight="1"/>
    <row r="1258" s="41" customFormat="1" ht="15" customHeight="1"/>
    <row r="1259" s="41" customFormat="1" ht="15" customHeight="1"/>
    <row r="1260" s="41" customFormat="1" ht="15" customHeight="1"/>
    <row r="1261" s="41" customFormat="1" ht="15" customHeight="1"/>
    <row r="1262" s="41" customFormat="1" ht="15" customHeight="1"/>
    <row r="1263" s="41" customFormat="1" ht="15" customHeight="1"/>
    <row r="1264" s="41" customFormat="1" ht="15" customHeight="1"/>
    <row r="1265" s="41" customFormat="1" ht="15" customHeight="1"/>
    <row r="1266" s="41" customFormat="1" ht="15" customHeight="1"/>
    <row r="1267" s="41" customFormat="1" ht="15" customHeight="1"/>
    <row r="1268" s="41" customFormat="1" ht="15" customHeight="1"/>
    <row r="1269" s="41" customFormat="1" ht="15" customHeight="1"/>
    <row r="1270" s="41" customFormat="1" ht="15" customHeight="1"/>
    <row r="1271" s="41" customFormat="1" ht="15" customHeight="1"/>
    <row r="1272" s="41" customFormat="1" ht="15" customHeight="1"/>
    <row r="1273" s="41" customFormat="1" ht="15" customHeight="1"/>
    <row r="1274" s="41" customFormat="1" ht="15" customHeight="1"/>
    <row r="1275" s="41" customFormat="1" ht="15" customHeight="1"/>
    <row r="1276" s="41" customFormat="1" ht="15" customHeight="1"/>
    <row r="1277" s="41" customFormat="1" ht="15" customHeight="1"/>
    <row r="1278" s="41" customFormat="1" ht="15" customHeight="1"/>
    <row r="1279" s="41" customFormat="1" ht="15" customHeight="1"/>
    <row r="1280" s="41" customFormat="1" ht="15" customHeight="1"/>
    <row r="1281" s="41" customFormat="1" ht="15" customHeight="1"/>
    <row r="1282" s="41" customFormat="1" ht="15" customHeight="1"/>
    <row r="1283" s="41" customFormat="1" ht="15" customHeight="1"/>
    <row r="1284" s="41" customFormat="1" ht="15" customHeight="1"/>
    <row r="1285" s="41" customFormat="1" ht="15" customHeight="1"/>
    <row r="1286" s="41" customFormat="1" ht="15" customHeight="1"/>
    <row r="1287" s="41" customFormat="1" ht="15" customHeight="1"/>
    <row r="1288" s="41" customFormat="1" ht="15" customHeight="1"/>
    <row r="1289" s="41" customFormat="1" ht="15" customHeight="1"/>
    <row r="1290" s="41" customFormat="1" ht="15" customHeight="1"/>
    <row r="1291" s="41" customFormat="1" ht="15" customHeight="1"/>
    <row r="1292" s="41" customFormat="1" ht="15" customHeight="1"/>
    <row r="1293" s="41" customFormat="1" ht="15" customHeight="1"/>
    <row r="1294" s="41" customFormat="1" ht="15" customHeight="1"/>
    <row r="1295" s="41" customFormat="1" ht="15" customHeight="1"/>
    <row r="1296" s="41" customFormat="1" ht="15" customHeight="1"/>
    <row r="1297" s="41" customFormat="1" ht="15" customHeight="1"/>
    <row r="1298" s="41" customFormat="1" ht="15" customHeight="1"/>
    <row r="1299" s="41" customFormat="1" ht="15" customHeight="1"/>
    <row r="1300" s="41" customFormat="1" ht="15" customHeight="1"/>
    <row r="1301" s="41" customFormat="1" ht="15" customHeight="1"/>
    <row r="1302" s="41" customFormat="1" ht="15" customHeight="1"/>
    <row r="1303" s="41" customFormat="1" ht="15" customHeight="1"/>
    <row r="1304" s="41" customFormat="1" ht="15" customHeight="1"/>
    <row r="1305" s="41" customFormat="1" ht="15" customHeight="1"/>
    <row r="1306" s="41" customFormat="1" ht="15" customHeight="1"/>
    <row r="1307" s="41" customFormat="1" ht="15" customHeight="1"/>
    <row r="1308" s="41" customFormat="1" ht="15" customHeight="1"/>
    <row r="1309" s="41" customFormat="1" ht="15" customHeight="1"/>
    <row r="1310" s="41" customFormat="1" ht="15" customHeight="1"/>
    <row r="1311" s="41" customFormat="1" ht="15" customHeight="1"/>
    <row r="1312" s="41" customFormat="1" ht="15" customHeight="1"/>
    <row r="1313" s="41" customFormat="1" ht="15" customHeight="1"/>
    <row r="1314" s="41" customFormat="1" ht="15" customHeight="1"/>
    <row r="1315" s="41" customFormat="1" ht="15" customHeight="1"/>
    <row r="1316" s="41" customFormat="1" ht="15" customHeight="1"/>
    <row r="1317" s="41" customFormat="1" ht="15" customHeight="1"/>
    <row r="1318" s="41" customFormat="1" ht="15" customHeight="1"/>
    <row r="1319" s="41" customFormat="1" ht="15" customHeight="1"/>
    <row r="1320" s="41" customFormat="1" ht="15" customHeight="1"/>
    <row r="1321" s="41" customFormat="1" ht="15" customHeight="1"/>
    <row r="1322" s="41" customFormat="1" ht="15" customHeight="1"/>
    <row r="1323" s="41" customFormat="1" ht="15" customHeight="1"/>
    <row r="1324" s="41" customFormat="1" ht="15" customHeight="1"/>
    <row r="1325" s="41" customFormat="1" ht="15" customHeight="1"/>
    <row r="1326" s="41" customFormat="1" ht="15" customHeight="1"/>
    <row r="1327" s="41" customFormat="1" ht="15" customHeight="1"/>
    <row r="1328" s="41" customFormat="1" ht="15" customHeight="1"/>
    <row r="1329" s="41" customFormat="1" ht="15" customHeight="1"/>
    <row r="1330" s="41" customFormat="1" ht="15" customHeight="1"/>
    <row r="1331" s="41" customFormat="1" ht="15" customHeight="1"/>
    <row r="1332" s="41" customFormat="1" ht="15" customHeight="1"/>
    <row r="1333" s="41" customFormat="1" ht="15" customHeight="1"/>
    <row r="1334" s="41" customFormat="1" ht="15" customHeight="1"/>
    <row r="1335" s="41" customFormat="1" ht="15" customHeight="1"/>
    <row r="1336" s="41" customFormat="1" ht="15" customHeight="1"/>
    <row r="1337" s="41" customFormat="1" ht="15" customHeight="1"/>
    <row r="1338" s="41" customFormat="1" ht="15" customHeight="1"/>
    <row r="1339" s="41" customFormat="1" ht="15" customHeight="1"/>
    <row r="1340" s="41" customFormat="1" ht="15" customHeight="1"/>
    <row r="1341" s="41" customFormat="1" ht="15" customHeight="1"/>
    <row r="1342" s="41" customFormat="1" ht="15" customHeight="1"/>
    <row r="1343" s="41" customFormat="1" ht="15" customHeight="1"/>
    <row r="1344" s="41" customFormat="1" ht="15" customHeight="1"/>
    <row r="1345" s="41" customFormat="1" ht="15" customHeight="1"/>
    <row r="1346" s="41" customFormat="1" ht="15" customHeight="1"/>
    <row r="1347" s="41" customFormat="1" ht="15" customHeight="1"/>
    <row r="1348" s="41" customFormat="1" ht="15" customHeight="1"/>
    <row r="1349" s="41" customFormat="1" ht="15" customHeight="1"/>
    <row r="1350" s="41" customFormat="1" ht="15" customHeight="1"/>
    <row r="1351" s="41" customFormat="1" ht="15" customHeight="1"/>
    <row r="1352" s="41" customFormat="1" ht="15" customHeight="1"/>
    <row r="1353" s="41" customFormat="1" ht="15" customHeight="1"/>
    <row r="1354" s="41" customFormat="1" ht="15" customHeight="1"/>
    <row r="1355" s="41" customFormat="1" ht="15" customHeight="1"/>
    <row r="1356" s="41" customFormat="1" ht="15" customHeight="1"/>
    <row r="1357" s="41" customFormat="1" ht="15" customHeight="1"/>
    <row r="1358" s="41" customFormat="1" ht="15" customHeight="1"/>
    <row r="1359" s="41" customFormat="1" ht="15" customHeight="1"/>
    <row r="1360" s="41" customFormat="1" ht="15" customHeight="1"/>
    <row r="1361" s="41" customFormat="1" ht="15" customHeight="1"/>
    <row r="1362" s="41" customFormat="1" ht="15" customHeight="1"/>
    <row r="1363" s="41" customFormat="1" ht="15" customHeight="1"/>
    <row r="1364" s="41" customFormat="1" ht="15" customHeight="1"/>
    <row r="1365" s="41" customFormat="1" ht="15" customHeight="1"/>
    <row r="1366" s="41" customFormat="1" ht="15" customHeight="1"/>
    <row r="1367" s="41" customFormat="1" ht="15" customHeight="1"/>
    <row r="1368" s="41" customFormat="1" ht="15" customHeight="1"/>
    <row r="1369" s="41" customFormat="1" ht="15" customHeight="1"/>
    <row r="1370" s="41" customFormat="1" ht="15" customHeight="1"/>
    <row r="1371" s="41" customFormat="1" ht="15" customHeight="1"/>
    <row r="1372" s="41" customFormat="1" ht="15" customHeight="1"/>
    <row r="1373" s="41" customFormat="1" ht="15" customHeight="1"/>
    <row r="1374" s="41" customFormat="1" ht="15" customHeight="1"/>
    <row r="1375" s="41" customFormat="1" ht="15" customHeight="1"/>
    <row r="1376" s="41" customFormat="1" ht="15" customHeight="1"/>
    <row r="1377" s="41" customFormat="1" ht="15" customHeight="1"/>
    <row r="1378" s="41" customFormat="1" ht="15" customHeight="1"/>
    <row r="1379" s="41" customFormat="1" ht="15" customHeight="1"/>
    <row r="1380" s="41" customFormat="1" ht="15" customHeight="1"/>
    <row r="1381" s="41" customFormat="1" ht="15" customHeight="1"/>
    <row r="1382" s="41" customFormat="1" ht="15" customHeight="1"/>
    <row r="1383" s="41" customFormat="1" ht="15" customHeight="1"/>
    <row r="1384" s="41" customFormat="1" ht="15" customHeight="1"/>
    <row r="1385" s="41" customFormat="1" ht="15" customHeight="1"/>
    <row r="1386" s="41" customFormat="1" ht="15" customHeight="1"/>
    <row r="1387" s="41" customFormat="1" ht="15" customHeight="1"/>
    <row r="1388" s="41" customFormat="1" ht="15" customHeight="1"/>
    <row r="1389" s="41" customFormat="1" ht="15" customHeight="1"/>
    <row r="1390" s="41" customFormat="1" ht="15" customHeight="1"/>
    <row r="1391" s="41" customFormat="1" ht="15" customHeight="1"/>
    <row r="1392" s="41" customFormat="1" ht="15" customHeight="1"/>
    <row r="1393" s="41" customFormat="1" ht="15" customHeight="1"/>
    <row r="1394" s="41" customFormat="1" ht="15" customHeight="1"/>
    <row r="1395" s="41" customFormat="1" ht="15" customHeight="1"/>
    <row r="1396" s="41" customFormat="1" ht="15" customHeight="1"/>
    <row r="1397" s="41" customFormat="1" ht="15" customHeight="1"/>
    <row r="1398" s="41" customFormat="1" ht="15" customHeight="1"/>
    <row r="1399" s="41" customFormat="1" ht="15" customHeight="1"/>
    <row r="1400" s="41" customFormat="1" ht="15" customHeight="1"/>
    <row r="1401" s="41" customFormat="1" ht="15" customHeight="1"/>
    <row r="1402" s="41" customFormat="1" ht="15" customHeight="1"/>
    <row r="1403" s="41" customFormat="1" ht="15" customHeight="1"/>
    <row r="1404" s="41" customFormat="1" ht="15" customHeight="1"/>
    <row r="1405" s="41" customFormat="1" ht="15" customHeight="1"/>
    <row r="1406" s="41" customFormat="1" ht="15" customHeight="1"/>
    <row r="1407" s="41" customFormat="1" ht="15" customHeight="1"/>
    <row r="1408" s="41" customFormat="1" ht="15" customHeight="1"/>
    <row r="1409" s="41" customFormat="1" ht="15" customHeight="1"/>
    <row r="1410" s="41" customFormat="1" ht="15" customHeight="1"/>
    <row r="1411" s="41" customFormat="1" ht="15" customHeight="1"/>
    <row r="1412" s="41" customFormat="1" ht="15" customHeight="1"/>
    <row r="1413" s="41" customFormat="1" ht="15" customHeight="1"/>
    <row r="1414" s="41" customFormat="1" ht="15" customHeight="1"/>
    <row r="1415" s="41" customFormat="1" ht="15" customHeight="1"/>
    <row r="1416" s="41" customFormat="1" ht="15" customHeight="1"/>
    <row r="1417" s="41" customFormat="1" ht="15" customHeight="1"/>
    <row r="1418" s="41" customFormat="1" ht="15" customHeight="1"/>
    <row r="1419" s="41" customFormat="1" ht="15" customHeight="1"/>
    <row r="1420" s="41" customFormat="1" ht="15" customHeight="1"/>
    <row r="1421" s="41" customFormat="1" ht="15" customHeight="1"/>
    <row r="1422" s="41" customFormat="1" ht="15" customHeight="1"/>
    <row r="1423" s="41" customFormat="1" ht="15" customHeight="1"/>
    <row r="1424" s="41" customFormat="1" ht="15" customHeight="1"/>
    <row r="1425" s="41" customFormat="1" ht="15" customHeight="1"/>
    <row r="1426" s="41" customFormat="1" ht="15" customHeight="1"/>
    <row r="1427" s="41" customFormat="1" ht="15" customHeight="1"/>
    <row r="1428" s="41" customFormat="1" ht="15" customHeight="1"/>
    <row r="1429" s="41" customFormat="1" ht="15" customHeight="1"/>
    <row r="1430" s="41" customFormat="1" ht="15" customHeight="1"/>
    <row r="1431" s="41" customFormat="1" ht="15" customHeight="1"/>
    <row r="1432" s="41" customFormat="1" ht="15" customHeight="1"/>
    <row r="1433" s="41" customFormat="1" ht="15" customHeight="1"/>
    <row r="1434" s="41" customFormat="1" ht="15" customHeight="1"/>
    <row r="1435" s="41" customFormat="1" ht="15" customHeight="1"/>
    <row r="1436" s="41" customFormat="1" ht="15" customHeight="1"/>
    <row r="1437" s="41" customFormat="1" ht="15" customHeight="1"/>
    <row r="1438" s="41" customFormat="1" ht="15" customHeight="1"/>
    <row r="1439" s="41" customFormat="1" ht="15" customHeight="1"/>
    <row r="1440" s="41" customFormat="1" ht="15" customHeight="1"/>
    <row r="1441" s="41" customFormat="1" ht="15" customHeight="1"/>
    <row r="1442" s="41" customFormat="1" ht="15" customHeight="1"/>
    <row r="1443" s="41" customFormat="1" ht="15" customHeight="1"/>
    <row r="1444" s="41" customFormat="1" ht="15" customHeight="1"/>
    <row r="1445" s="41" customFormat="1" ht="15" customHeight="1"/>
    <row r="1446" s="41" customFormat="1" ht="15" customHeight="1"/>
    <row r="1447" s="41" customFormat="1" ht="15" customHeight="1"/>
    <row r="1448" s="41" customFormat="1" ht="15" customHeight="1"/>
    <row r="1449" s="41" customFormat="1" ht="15" customHeight="1"/>
    <row r="1450" s="41" customFormat="1" ht="15" customHeight="1"/>
    <row r="1451" s="41" customFormat="1" ht="15" customHeight="1"/>
    <row r="1452" s="41" customFormat="1" ht="15" customHeight="1"/>
    <row r="1453" s="41" customFormat="1" ht="15" customHeight="1"/>
    <row r="1454" s="41" customFormat="1" ht="15" customHeight="1"/>
    <row r="1455" s="41" customFormat="1" ht="15" customHeight="1"/>
    <row r="1456" s="41" customFormat="1" ht="15" customHeight="1"/>
    <row r="1457" s="41" customFormat="1" ht="15" customHeight="1"/>
    <row r="1458" s="41" customFormat="1" ht="15" customHeight="1"/>
    <row r="1459" s="41" customFormat="1" ht="15" customHeight="1"/>
    <row r="1460" s="41" customFormat="1" ht="15" customHeight="1"/>
    <row r="1461" s="41" customFormat="1" ht="15" customHeight="1"/>
    <row r="1462" s="41" customFormat="1" ht="15" customHeight="1"/>
    <row r="1463" s="41" customFormat="1" ht="15" customHeight="1"/>
    <row r="1464" s="41" customFormat="1" ht="15" customHeight="1"/>
    <row r="1465" s="41" customFormat="1" ht="15" customHeight="1"/>
    <row r="1466" s="41" customFormat="1" ht="15" customHeight="1"/>
    <row r="1467" s="41" customFormat="1" ht="15" customHeight="1"/>
    <row r="1468" s="41" customFormat="1" ht="15" customHeight="1"/>
    <row r="1469" s="41" customFormat="1" ht="15" customHeight="1"/>
    <row r="1470" s="41" customFormat="1" ht="15" customHeight="1"/>
    <row r="1471" s="41" customFormat="1" ht="15" customHeight="1"/>
    <row r="1472" s="41" customFormat="1" ht="15" customHeight="1"/>
    <row r="1473" s="41" customFormat="1" ht="15" customHeight="1"/>
    <row r="1474" s="41" customFormat="1" ht="15" customHeight="1"/>
    <row r="1475" s="41" customFormat="1" ht="15" customHeight="1"/>
    <row r="1476" s="41" customFormat="1" ht="15" customHeight="1"/>
    <row r="1477" s="41" customFormat="1" ht="15" customHeight="1"/>
    <row r="1478" s="41" customFormat="1" ht="15" customHeight="1"/>
    <row r="1479" s="41" customFormat="1" ht="15" customHeight="1"/>
    <row r="1480" s="41" customFormat="1" ht="15" customHeight="1"/>
    <row r="1481" s="41" customFormat="1" ht="15" customHeight="1"/>
    <row r="1482" s="41" customFormat="1" ht="15" customHeight="1"/>
    <row r="1483" s="41" customFormat="1" ht="15" customHeight="1"/>
    <row r="1484" s="41" customFormat="1" ht="15" customHeight="1"/>
    <row r="1485" s="41" customFormat="1" ht="15" customHeight="1"/>
    <row r="1486" s="41" customFormat="1" ht="15" customHeight="1"/>
    <row r="1487" s="41" customFormat="1" ht="15" customHeight="1"/>
    <row r="1488" s="41" customFormat="1" ht="15" customHeight="1"/>
    <row r="1489" s="41" customFormat="1" ht="15" customHeight="1"/>
    <row r="1490" s="41" customFormat="1" ht="15" customHeight="1"/>
    <row r="1491" s="41" customFormat="1" ht="15" customHeight="1"/>
    <row r="1492" s="41" customFormat="1" ht="15" customHeight="1"/>
    <row r="1493" s="41" customFormat="1" ht="15" customHeight="1"/>
    <row r="1494" s="41" customFormat="1" ht="15" customHeight="1"/>
    <row r="1495" s="41" customFormat="1" ht="15" customHeight="1"/>
    <row r="1496" s="41" customFormat="1" ht="15" customHeight="1"/>
    <row r="1497" s="41" customFormat="1" ht="15" customHeight="1"/>
    <row r="1498" s="41" customFormat="1" ht="15" customHeight="1"/>
    <row r="1499" s="41" customFormat="1" ht="15" customHeight="1"/>
    <row r="1500" s="41" customFormat="1" ht="15" customHeight="1"/>
    <row r="1501" s="41" customFormat="1" ht="15" customHeight="1"/>
    <row r="1502" s="41" customFormat="1" ht="15" customHeight="1"/>
    <row r="1503" s="41" customFormat="1" ht="15" customHeight="1"/>
    <row r="1504" s="41" customFormat="1" ht="15" customHeight="1"/>
    <row r="1505" s="41" customFormat="1" ht="15" customHeight="1"/>
    <row r="1506" s="41" customFormat="1" ht="15" customHeight="1"/>
    <row r="1507" s="41" customFormat="1" ht="15" customHeight="1"/>
    <row r="1508" s="41" customFormat="1" ht="15" customHeight="1"/>
    <row r="1509" s="41" customFormat="1" ht="15" customHeight="1"/>
    <row r="1510" s="41" customFormat="1" ht="15" customHeight="1"/>
    <row r="1511" s="41" customFormat="1" ht="15" customHeight="1"/>
    <row r="1512" s="41" customFormat="1" ht="15" customHeight="1"/>
    <row r="1513" s="41" customFormat="1" ht="15" customHeight="1"/>
    <row r="1514" s="41" customFormat="1" ht="15" customHeight="1"/>
    <row r="1515" s="41" customFormat="1" ht="15" customHeight="1"/>
    <row r="1516" s="41" customFormat="1" ht="15" customHeight="1"/>
    <row r="1517" s="41" customFormat="1" ht="15" customHeight="1"/>
    <row r="1518" s="41" customFormat="1" ht="15" customHeight="1"/>
    <row r="1519" s="41" customFormat="1" ht="15" customHeight="1"/>
    <row r="1520" s="41" customFormat="1" ht="15" customHeight="1"/>
    <row r="1521" s="41" customFormat="1" ht="15" customHeight="1"/>
    <row r="1522" s="41" customFormat="1" ht="15" customHeight="1"/>
    <row r="1523" s="41" customFormat="1" ht="15" customHeight="1"/>
    <row r="1524" s="41" customFormat="1" ht="15" customHeight="1"/>
    <row r="1525" s="41" customFormat="1" ht="15" customHeight="1"/>
    <row r="1526" s="41" customFormat="1" ht="15" customHeight="1"/>
    <row r="1527" s="41" customFormat="1" ht="15" customHeight="1"/>
    <row r="1528" s="41" customFormat="1" ht="15" customHeight="1"/>
    <row r="1529" s="41" customFormat="1" ht="15" customHeight="1"/>
    <row r="1530" s="41" customFormat="1" ht="15" customHeight="1"/>
    <row r="1531" s="41" customFormat="1" ht="15" customHeight="1"/>
    <row r="1532" s="41" customFormat="1" ht="15" customHeight="1"/>
    <row r="1533" s="41" customFormat="1" ht="15" customHeight="1"/>
    <row r="1534" s="41" customFormat="1" ht="15" customHeight="1"/>
    <row r="1535" s="41" customFormat="1" ht="15" customHeight="1"/>
    <row r="1536" s="41" customFormat="1" ht="15" customHeight="1"/>
    <row r="1537" s="41" customFormat="1" ht="15" customHeight="1"/>
    <row r="1538" s="41" customFormat="1" ht="15" customHeight="1"/>
    <row r="1539" s="41" customFormat="1" ht="15" customHeight="1"/>
    <row r="1540" s="41" customFormat="1" ht="15" customHeight="1"/>
    <row r="1541" s="41" customFormat="1" ht="15" customHeight="1"/>
    <row r="1542" s="41" customFormat="1" ht="15" customHeight="1"/>
    <row r="1543" s="41" customFormat="1" ht="15" customHeight="1"/>
    <row r="1544" s="41" customFormat="1" ht="15" customHeight="1"/>
    <row r="1545" s="41" customFormat="1" ht="15" customHeight="1"/>
    <row r="1546" s="41" customFormat="1" ht="15" customHeight="1"/>
    <row r="1547" s="41" customFormat="1" ht="15" customHeight="1"/>
    <row r="1548" s="41" customFormat="1" ht="15" customHeight="1"/>
    <row r="1549" s="41" customFormat="1" ht="15" customHeight="1"/>
    <row r="1550" s="41" customFormat="1" ht="15" customHeight="1"/>
    <row r="1551" s="41" customFormat="1" ht="15" customHeight="1"/>
    <row r="1552" s="41" customFormat="1" ht="15" customHeight="1"/>
    <row r="1553" s="41" customFormat="1" ht="15" customHeight="1"/>
    <row r="1554" s="41" customFormat="1" ht="15" customHeight="1"/>
    <row r="1555" s="41" customFormat="1" ht="15" customHeight="1"/>
    <row r="1556" s="41" customFormat="1" ht="15" customHeight="1"/>
    <row r="1557" s="41" customFormat="1" ht="15" customHeight="1"/>
    <row r="1558" s="41" customFormat="1" ht="15" customHeight="1"/>
    <row r="1559" s="41" customFormat="1" ht="15" customHeight="1"/>
    <row r="1560" s="41" customFormat="1" ht="15" customHeight="1"/>
    <row r="1561" s="41" customFormat="1" ht="15" customHeight="1"/>
    <row r="1562" s="41" customFormat="1" ht="15" customHeight="1"/>
    <row r="1563" s="41" customFormat="1" ht="15" customHeight="1"/>
    <row r="1564" s="41" customFormat="1" ht="15" customHeight="1"/>
    <row r="1565" s="41" customFormat="1" ht="15" customHeight="1"/>
    <row r="1566" s="41" customFormat="1" ht="15" customHeight="1"/>
    <row r="1567" s="41" customFormat="1" ht="15" customHeight="1"/>
    <row r="1568" s="41" customFormat="1" ht="15" customHeight="1"/>
    <row r="1569" s="41" customFormat="1" ht="15" customHeight="1"/>
    <row r="1570" s="41" customFormat="1" ht="15" customHeight="1"/>
    <row r="1571" s="41" customFormat="1" ht="15" customHeight="1"/>
    <row r="1572" s="41" customFormat="1" ht="15" customHeight="1"/>
    <row r="1573" s="41" customFormat="1" ht="15" customHeight="1"/>
    <row r="1574" s="41" customFormat="1" ht="15" customHeight="1"/>
    <row r="1575" s="41" customFormat="1" ht="15" customHeight="1"/>
    <row r="1576" s="41" customFormat="1" ht="15" customHeight="1"/>
    <row r="1577" s="41" customFormat="1" ht="15" customHeight="1"/>
    <row r="1578" s="41" customFormat="1" ht="15" customHeight="1"/>
    <row r="1579" s="41" customFormat="1" ht="15" customHeight="1"/>
    <row r="1580" s="41" customFormat="1" ht="15" customHeight="1"/>
    <row r="1581" s="41" customFormat="1" ht="15" customHeight="1"/>
    <row r="1582" s="41" customFormat="1" ht="15" customHeight="1"/>
    <row r="1583" s="41" customFormat="1" ht="15" customHeight="1"/>
    <row r="1584" s="41" customFormat="1" ht="15" customHeight="1"/>
    <row r="1585" s="41" customFormat="1" ht="15" customHeight="1"/>
    <row r="1586" s="41" customFormat="1" ht="15" customHeight="1"/>
    <row r="1587" s="41" customFormat="1" ht="15" customHeight="1"/>
    <row r="1588" s="41" customFormat="1" ht="15" customHeight="1"/>
    <row r="1589" s="41" customFormat="1" ht="15" customHeight="1"/>
    <row r="1590" s="41" customFormat="1" ht="15" customHeight="1"/>
    <row r="1591" s="41" customFormat="1" ht="15" customHeight="1"/>
    <row r="1592" s="41" customFormat="1" ht="15" customHeight="1"/>
    <row r="1593" s="41" customFormat="1" ht="15" customHeight="1"/>
    <row r="1594" s="41" customFormat="1" ht="15" customHeight="1"/>
    <row r="1595" s="41" customFormat="1" ht="15" customHeight="1"/>
    <row r="1596" s="41" customFormat="1" ht="15" customHeight="1"/>
    <row r="1597" s="41" customFormat="1" ht="15" customHeight="1"/>
    <row r="1598" s="41" customFormat="1" ht="15" customHeight="1"/>
    <row r="1599" s="41" customFormat="1" ht="15" customHeight="1"/>
    <row r="1600" s="41" customFormat="1" ht="15" customHeight="1"/>
    <row r="1601" s="41" customFormat="1" ht="15" customHeight="1"/>
    <row r="1602" s="41" customFormat="1" ht="15" customHeight="1"/>
    <row r="1603" s="41" customFormat="1" ht="15" customHeight="1"/>
    <row r="1604" s="41" customFormat="1" ht="15" customHeight="1"/>
    <row r="1605" s="41" customFormat="1" ht="15" customHeight="1"/>
    <row r="1606" s="41" customFormat="1" ht="15" customHeight="1"/>
    <row r="1607" s="41" customFormat="1" ht="15" customHeight="1"/>
    <row r="1608" s="41" customFormat="1" ht="15" customHeight="1"/>
    <row r="1609" s="41" customFormat="1" ht="15" customHeight="1"/>
    <row r="1610" s="41" customFormat="1" ht="15" customHeight="1"/>
    <row r="1611" s="41" customFormat="1" ht="15" customHeight="1"/>
    <row r="1612" s="41" customFormat="1" ht="15" customHeight="1"/>
    <row r="1613" s="41" customFormat="1" ht="15" customHeight="1"/>
    <row r="1614" s="41" customFormat="1" ht="15" customHeight="1"/>
    <row r="1615" s="41" customFormat="1" ht="15" customHeight="1"/>
    <row r="1616" s="41" customFormat="1" ht="15" customHeight="1"/>
    <row r="1617" s="41" customFormat="1" ht="15" customHeight="1"/>
    <row r="1618" s="41" customFormat="1" ht="15" customHeight="1"/>
    <row r="1619" s="41" customFormat="1" ht="15" customHeight="1"/>
    <row r="1620" s="41" customFormat="1" ht="15" customHeight="1"/>
    <row r="1621" s="41" customFormat="1" ht="15" customHeight="1"/>
    <row r="1622" s="41" customFormat="1" ht="15" customHeight="1"/>
    <row r="1623" s="41" customFormat="1" ht="15" customHeight="1"/>
    <row r="1624" s="41" customFormat="1" ht="15" customHeight="1"/>
    <row r="1625" s="41" customFormat="1" ht="15" customHeight="1"/>
    <row r="1626" s="41" customFormat="1" ht="15" customHeight="1"/>
    <row r="1627" s="41" customFormat="1" ht="15" customHeight="1"/>
    <row r="1628" s="41" customFormat="1" ht="15" customHeight="1"/>
    <row r="1629" s="41" customFormat="1" ht="15" customHeight="1"/>
    <row r="1630" s="41" customFormat="1" ht="15" customHeight="1"/>
    <row r="1631" s="41" customFormat="1" ht="15" customHeight="1"/>
    <row r="1632" s="41" customFormat="1" ht="15" customHeight="1"/>
    <row r="1633" s="41" customFormat="1" ht="15" customHeight="1"/>
    <row r="1634" s="41" customFormat="1" ht="15" customHeight="1"/>
    <row r="1635" s="41" customFormat="1" ht="15" customHeight="1"/>
    <row r="1636" s="41" customFormat="1" ht="15" customHeight="1"/>
    <row r="1637" s="41" customFormat="1" ht="15" customHeight="1"/>
    <row r="1638" s="41" customFormat="1" ht="15" customHeight="1"/>
    <row r="1639" s="41" customFormat="1" ht="15" customHeight="1"/>
    <row r="1640" s="41" customFormat="1" ht="15" customHeight="1"/>
    <row r="1641" s="41" customFormat="1" ht="15" customHeight="1"/>
    <row r="1642" s="41" customFormat="1" ht="15" customHeight="1"/>
    <row r="1643" s="41" customFormat="1" ht="15" customHeight="1"/>
    <row r="1644" s="41" customFormat="1" ht="15" customHeight="1"/>
    <row r="1645" s="41" customFormat="1" ht="15" customHeight="1"/>
    <row r="1646" s="41" customFormat="1" ht="15" customHeight="1"/>
    <row r="1647" s="41" customFormat="1" ht="15" customHeight="1"/>
    <row r="1648" s="41" customFormat="1" ht="15" customHeight="1"/>
    <row r="1649" s="41" customFormat="1" ht="15" customHeight="1"/>
    <row r="1650" s="41" customFormat="1" ht="15" customHeight="1"/>
    <row r="1651" s="41" customFormat="1" ht="15" customHeight="1"/>
    <row r="1652" s="41" customFormat="1" ht="15" customHeight="1"/>
    <row r="1653" s="41" customFormat="1" ht="15" customHeight="1"/>
    <row r="1654" s="41" customFormat="1" ht="15" customHeight="1"/>
    <row r="1655" s="41" customFormat="1" ht="15" customHeight="1"/>
    <row r="1656" s="41" customFormat="1" ht="15" customHeight="1"/>
    <row r="1657" s="41" customFormat="1" ht="15" customHeight="1"/>
    <row r="1658" s="41" customFormat="1" ht="15" customHeight="1"/>
    <row r="1659" s="41" customFormat="1" ht="15" customHeight="1"/>
    <row r="1660" s="41" customFormat="1" ht="15" customHeight="1"/>
    <row r="1661" s="41" customFormat="1" ht="15" customHeight="1"/>
    <row r="1662" s="41" customFormat="1" ht="15" customHeight="1"/>
    <row r="1663" s="41" customFormat="1" ht="15" customHeight="1"/>
    <row r="1664" s="41" customFormat="1" ht="15" customHeight="1"/>
    <row r="1665" s="41" customFormat="1" ht="15" customHeight="1"/>
    <row r="1666" s="41" customFormat="1" ht="15" customHeight="1"/>
    <row r="1667" s="41" customFormat="1" ht="15" customHeight="1"/>
    <row r="1668" s="41" customFormat="1" ht="15" customHeight="1"/>
    <row r="1669" s="41" customFormat="1" ht="15" customHeight="1"/>
    <row r="1670" s="41" customFormat="1" ht="15" customHeight="1"/>
    <row r="1671" s="41" customFormat="1" ht="15" customHeight="1"/>
    <row r="1672" s="41" customFormat="1" ht="15" customHeight="1"/>
    <row r="1673" s="41" customFormat="1" ht="15" customHeight="1"/>
    <row r="1674" s="41" customFormat="1" ht="15" customHeight="1"/>
    <row r="1675" s="41" customFormat="1" ht="15" customHeight="1"/>
    <row r="1676" s="41" customFormat="1" ht="15" customHeight="1"/>
    <row r="1677" s="41" customFormat="1" ht="15" customHeight="1"/>
    <row r="1678" s="41" customFormat="1" ht="15" customHeight="1"/>
    <row r="1679" s="41" customFormat="1" ht="15" customHeight="1"/>
    <row r="1680" s="41" customFormat="1" ht="15" customHeight="1"/>
    <row r="1681" s="41" customFormat="1" ht="15" customHeight="1"/>
    <row r="1682" s="41" customFormat="1" ht="15" customHeight="1"/>
    <row r="1683" s="41" customFormat="1" ht="15" customHeight="1"/>
    <row r="1684" s="41" customFormat="1" ht="15" customHeight="1"/>
    <row r="1685" s="41" customFormat="1" ht="15" customHeight="1"/>
    <row r="1686" s="41" customFormat="1" ht="15" customHeight="1"/>
    <row r="1687" s="41" customFormat="1" ht="15" customHeight="1"/>
    <row r="1688" s="41" customFormat="1" ht="15" customHeight="1"/>
    <row r="1689" s="41" customFormat="1" ht="15" customHeight="1"/>
    <row r="1690" s="41" customFormat="1" ht="15" customHeight="1"/>
    <row r="1691" s="41" customFormat="1" ht="15" customHeight="1"/>
    <row r="1692" s="41" customFormat="1" ht="15" customHeight="1"/>
    <row r="1693" s="41" customFormat="1" ht="15" customHeight="1"/>
    <row r="1694" s="41" customFormat="1" ht="15" customHeight="1"/>
    <row r="1695" s="41" customFormat="1" ht="15" customHeight="1"/>
    <row r="1696" s="41" customFormat="1" ht="15" customHeight="1"/>
    <row r="1697" s="41" customFormat="1" ht="15" customHeight="1"/>
    <row r="1698" s="41" customFormat="1" ht="15" customHeight="1"/>
    <row r="1699" s="41" customFormat="1" ht="15" customHeight="1"/>
    <row r="1700" s="41" customFormat="1" ht="15" customHeight="1"/>
    <row r="1701" s="41" customFormat="1" ht="15" customHeight="1"/>
    <row r="1702" s="41" customFormat="1" ht="15" customHeight="1"/>
    <row r="1703" s="41" customFormat="1" ht="15" customHeight="1"/>
    <row r="1704" s="41" customFormat="1" ht="15" customHeight="1"/>
    <row r="1705" s="41" customFormat="1" ht="15" customHeight="1"/>
    <row r="1706" s="41" customFormat="1" ht="15" customHeight="1"/>
    <row r="1707" s="41" customFormat="1" ht="15" customHeight="1"/>
    <row r="1708" s="41" customFormat="1" ht="15" customHeight="1"/>
    <row r="1709" s="41" customFormat="1" ht="15" customHeight="1"/>
    <row r="1710" s="41" customFormat="1" ht="15" customHeight="1"/>
    <row r="1711" s="41" customFormat="1" ht="15" customHeight="1"/>
    <row r="1712" s="41" customFormat="1" ht="15" customHeight="1"/>
    <row r="1713" s="41" customFormat="1" ht="15" customHeight="1"/>
    <row r="1714" s="41" customFormat="1" ht="15" customHeight="1"/>
    <row r="1715" s="41" customFormat="1" ht="15" customHeight="1"/>
    <row r="1716" s="41" customFormat="1" ht="15" customHeight="1"/>
    <row r="1717" s="41" customFormat="1" ht="15" customHeight="1"/>
    <row r="1718" s="41" customFormat="1" ht="15" customHeight="1"/>
    <row r="1719" s="41" customFormat="1" ht="15" customHeight="1"/>
    <row r="1720" s="41" customFormat="1" ht="15" customHeight="1"/>
    <row r="1721" s="41" customFormat="1" ht="15" customHeight="1"/>
    <row r="1722" s="41" customFormat="1" ht="15" customHeight="1"/>
    <row r="1723" s="41" customFormat="1" ht="15" customHeight="1"/>
    <row r="1724" s="41" customFormat="1" ht="15" customHeight="1"/>
    <row r="1725" s="41" customFormat="1" ht="15" customHeight="1"/>
    <row r="1726" s="41" customFormat="1" ht="15" customHeight="1"/>
    <row r="1727" s="41" customFormat="1" ht="15" customHeight="1"/>
    <row r="1728" s="41" customFormat="1" ht="15" customHeight="1"/>
    <row r="1729" s="41" customFormat="1" ht="15" customHeight="1"/>
    <row r="1730" s="41" customFormat="1" ht="15" customHeight="1"/>
    <row r="1731" s="41" customFormat="1" ht="15" customHeight="1"/>
    <row r="1732" s="41" customFormat="1" ht="15" customHeight="1"/>
    <row r="1733" s="41" customFormat="1" ht="15" customHeight="1"/>
    <row r="1734" s="41" customFormat="1" ht="15" customHeight="1"/>
    <row r="1735" s="41" customFormat="1" ht="15" customHeight="1"/>
    <row r="1736" s="41" customFormat="1" ht="15" customHeight="1"/>
    <row r="1737" s="41" customFormat="1" ht="15" customHeight="1"/>
    <row r="1738" s="41" customFormat="1" ht="15" customHeight="1"/>
    <row r="1739" s="41" customFormat="1" ht="15" customHeight="1"/>
    <row r="1740" s="41" customFormat="1" ht="15" customHeight="1"/>
    <row r="1741" s="41" customFormat="1" ht="15" customHeight="1"/>
    <row r="1742" s="41" customFormat="1" ht="15" customHeight="1"/>
    <row r="1743" s="41" customFormat="1" ht="15" customHeight="1"/>
    <row r="1744" s="41" customFormat="1" ht="15" customHeight="1"/>
    <row r="1745" s="41" customFormat="1" ht="15" customHeight="1"/>
    <row r="1746" s="41" customFormat="1" ht="15" customHeight="1"/>
    <row r="1747" s="41" customFormat="1" ht="15" customHeight="1"/>
    <row r="1748" s="41" customFormat="1" ht="15" customHeight="1"/>
    <row r="1749" s="41" customFormat="1" ht="15" customHeight="1"/>
    <row r="1750" s="41" customFormat="1" ht="15" customHeight="1"/>
    <row r="1751" s="41" customFormat="1" ht="15" customHeight="1"/>
    <row r="1752" s="41" customFormat="1" ht="15" customHeight="1"/>
    <row r="1753" s="41" customFormat="1" ht="15" customHeight="1"/>
    <row r="1754" s="41" customFormat="1" ht="15" customHeight="1"/>
    <row r="1755" s="41" customFormat="1" ht="15" customHeight="1"/>
    <row r="1756" s="41" customFormat="1" ht="15" customHeight="1"/>
    <row r="1757" s="41" customFormat="1" ht="15" customHeight="1"/>
    <row r="1758" s="41" customFormat="1" ht="15" customHeight="1"/>
    <row r="1759" s="41" customFormat="1" ht="15" customHeight="1"/>
    <row r="1760" s="41" customFormat="1" ht="15" customHeight="1"/>
    <row r="1761" s="41" customFormat="1" ht="15" customHeight="1"/>
    <row r="1762" s="41" customFormat="1" ht="15" customHeight="1"/>
    <row r="1763" s="41" customFormat="1" ht="15" customHeight="1"/>
    <row r="1764" s="41" customFormat="1" ht="15" customHeight="1"/>
    <row r="1765" s="41" customFormat="1" ht="15" customHeight="1"/>
    <row r="1766" s="41" customFormat="1" ht="15" customHeight="1"/>
    <row r="1767" s="41" customFormat="1" ht="15" customHeight="1"/>
    <row r="1768" s="41" customFormat="1" ht="15" customHeight="1"/>
    <row r="1769" s="41" customFormat="1" ht="15" customHeight="1"/>
    <row r="1770" s="41" customFormat="1" ht="15" customHeight="1"/>
    <row r="1771" s="41" customFormat="1" ht="15" customHeight="1"/>
    <row r="1772" s="41" customFormat="1" ht="15" customHeight="1"/>
    <row r="1773" s="41" customFormat="1" ht="15" customHeight="1"/>
    <row r="1774" s="41" customFormat="1" ht="15" customHeight="1"/>
    <row r="1775" s="41" customFormat="1" ht="15" customHeight="1"/>
    <row r="1776" s="41" customFormat="1" ht="15" customHeight="1"/>
    <row r="1777" s="41" customFormat="1" ht="15" customHeight="1"/>
    <row r="1778" s="41" customFormat="1" ht="15" customHeight="1"/>
    <row r="1779" s="41" customFormat="1" ht="15" customHeight="1"/>
    <row r="1780" s="41" customFormat="1" ht="15" customHeight="1"/>
    <row r="1781" s="41" customFormat="1" ht="15" customHeight="1"/>
    <row r="1782" s="41" customFormat="1" ht="15" customHeight="1"/>
    <row r="1783" s="41" customFormat="1" ht="15" customHeight="1"/>
    <row r="1784" s="41" customFormat="1" ht="15" customHeight="1"/>
    <row r="1785" s="41" customFormat="1" ht="15" customHeight="1"/>
    <row r="1786" s="41" customFormat="1" ht="15" customHeight="1"/>
    <row r="1787" s="41" customFormat="1" ht="15" customHeight="1"/>
    <row r="1788" s="41" customFormat="1" ht="15" customHeight="1"/>
    <row r="1789" s="41" customFormat="1" ht="15" customHeight="1"/>
    <row r="1790" s="41" customFormat="1" ht="15" customHeight="1"/>
    <row r="1791" s="41" customFormat="1" ht="15" customHeight="1"/>
    <row r="1792" s="41" customFormat="1" ht="15" customHeight="1"/>
    <row r="1793" s="41" customFormat="1" ht="15" customHeight="1"/>
    <row r="1794" s="41" customFormat="1" ht="15" customHeight="1"/>
    <row r="1795" s="41" customFormat="1" ht="15" customHeight="1"/>
    <row r="1796" s="41" customFormat="1" ht="15" customHeight="1"/>
    <row r="1797" s="41" customFormat="1" ht="15" customHeight="1"/>
    <row r="1798" s="41" customFormat="1" ht="15" customHeight="1"/>
    <row r="1799" s="41" customFormat="1" ht="15" customHeight="1"/>
    <row r="1800" s="41" customFormat="1" ht="15" customHeight="1"/>
    <row r="1801" s="41" customFormat="1" ht="15" customHeight="1"/>
    <row r="1802" s="41" customFormat="1" ht="15" customHeight="1"/>
    <row r="1803" s="41" customFormat="1" ht="15" customHeight="1"/>
    <row r="1804" s="41" customFormat="1" ht="15" customHeight="1"/>
    <row r="1805" s="41" customFormat="1" ht="15" customHeight="1"/>
    <row r="1806" s="41" customFormat="1" ht="15" customHeight="1"/>
    <row r="1807" s="41" customFormat="1" ht="15" customHeight="1"/>
    <row r="1808" s="41" customFormat="1" ht="15" customHeight="1"/>
    <row r="1809" s="41" customFormat="1" ht="15" customHeight="1"/>
    <row r="1810" s="41" customFormat="1" ht="15" customHeight="1"/>
    <row r="1811" s="41" customFormat="1" ht="15" customHeight="1"/>
    <row r="1812" s="41" customFormat="1" ht="15" customHeight="1"/>
    <row r="1813" s="41" customFormat="1" ht="15" customHeight="1"/>
    <row r="1814" s="41" customFormat="1" ht="15" customHeight="1"/>
    <row r="1815" s="41" customFormat="1" ht="15" customHeight="1"/>
    <row r="1816" s="41" customFormat="1" ht="15" customHeight="1"/>
    <row r="1817" s="41" customFormat="1" ht="15" customHeight="1"/>
    <row r="1818" s="41" customFormat="1" ht="15" customHeight="1"/>
    <row r="1819" s="41" customFormat="1" ht="15" customHeight="1"/>
    <row r="1820" s="41" customFormat="1" ht="15" customHeight="1"/>
    <row r="1821" s="41" customFormat="1" ht="15" customHeight="1"/>
    <row r="1822" s="41" customFormat="1" ht="15" customHeight="1"/>
    <row r="1823" s="41" customFormat="1" ht="15" customHeight="1"/>
    <row r="1824" s="41" customFormat="1" ht="15" customHeight="1"/>
    <row r="1825" s="41" customFormat="1" ht="15" customHeight="1"/>
    <row r="1826" s="41" customFormat="1" ht="15" customHeight="1"/>
    <row r="1827" s="41" customFormat="1" ht="15" customHeight="1"/>
    <row r="1828" s="41" customFormat="1" ht="15" customHeight="1"/>
    <row r="1829" s="41" customFormat="1" ht="15" customHeight="1"/>
    <row r="1830" s="41" customFormat="1" ht="15" customHeight="1"/>
    <row r="1831" s="41" customFormat="1" ht="15" customHeight="1"/>
    <row r="1832" s="41" customFormat="1" ht="15" customHeight="1"/>
    <row r="1833" s="41" customFormat="1" ht="15" customHeight="1"/>
    <row r="1834" s="41" customFormat="1" ht="15" customHeight="1"/>
    <row r="1835" s="41" customFormat="1" ht="15" customHeight="1"/>
    <row r="1836" s="41" customFormat="1" ht="15" customHeight="1"/>
    <row r="1837" s="41" customFormat="1" ht="15" customHeight="1"/>
    <row r="1838" s="41" customFormat="1" ht="15" customHeight="1"/>
    <row r="1839" s="41" customFormat="1" ht="15" customHeight="1"/>
    <row r="1840" s="41" customFormat="1" ht="15" customHeight="1"/>
    <row r="1841" s="41" customFormat="1" ht="15" customHeight="1"/>
    <row r="1842" s="41" customFormat="1" ht="15" customHeight="1"/>
    <row r="1843" s="41" customFormat="1" ht="15" customHeight="1"/>
    <row r="1844" s="41" customFormat="1" ht="15" customHeight="1"/>
    <row r="1845" s="41" customFormat="1" ht="15" customHeight="1"/>
    <row r="1846" s="41" customFormat="1" ht="15" customHeight="1"/>
    <row r="1847" s="41" customFormat="1" ht="15" customHeight="1"/>
    <row r="1848" s="41" customFormat="1" ht="15" customHeight="1"/>
    <row r="1849" s="41" customFormat="1" ht="15" customHeight="1"/>
    <row r="1850" s="41" customFormat="1" ht="15" customHeight="1"/>
    <row r="1851" s="41" customFormat="1" ht="15" customHeight="1"/>
    <row r="1852" s="41" customFormat="1" ht="15" customHeight="1"/>
    <row r="1853" s="41" customFormat="1" ht="15" customHeight="1"/>
    <row r="1854" s="41" customFormat="1" ht="15" customHeight="1"/>
    <row r="1855" s="41" customFormat="1" ht="15" customHeight="1"/>
    <row r="1856" s="41" customFormat="1" ht="15" customHeight="1"/>
    <row r="1857" s="41" customFormat="1" ht="15" customHeight="1"/>
    <row r="1858" s="41" customFormat="1" ht="15" customHeight="1"/>
    <row r="1859" s="41" customFormat="1" ht="15" customHeight="1"/>
    <row r="1860" s="41" customFormat="1" ht="15" customHeight="1"/>
    <row r="1861" s="41" customFormat="1" ht="15" customHeight="1"/>
    <row r="1862" s="41" customFormat="1" ht="15" customHeight="1"/>
    <row r="1863" s="41" customFormat="1" ht="15" customHeight="1"/>
    <row r="1864" s="41" customFormat="1" ht="15" customHeight="1"/>
    <row r="1865" s="41" customFormat="1" ht="15" customHeight="1"/>
    <row r="1866" s="41" customFormat="1" ht="15" customHeight="1"/>
    <row r="1867" s="41" customFormat="1" ht="15" customHeight="1"/>
    <row r="1868" s="41" customFormat="1" ht="15" customHeight="1"/>
    <row r="1869" s="41" customFormat="1" ht="15" customHeight="1"/>
    <row r="1870" s="41" customFormat="1" ht="15" customHeight="1"/>
    <row r="1871" s="41" customFormat="1" ht="15" customHeight="1"/>
    <row r="1872" s="41" customFormat="1" ht="15" customHeight="1"/>
    <row r="1873" s="41" customFormat="1" ht="15" customHeight="1"/>
    <row r="1874" s="41" customFormat="1" ht="15" customHeight="1"/>
    <row r="1875" s="41" customFormat="1" ht="15" customHeight="1"/>
    <row r="1876" s="41" customFormat="1" ht="15" customHeight="1"/>
    <row r="1877" s="41" customFormat="1" ht="15" customHeight="1"/>
    <row r="1878" s="41" customFormat="1" ht="15" customHeight="1"/>
    <row r="1879" s="41" customFormat="1" ht="15" customHeight="1"/>
    <row r="1880" s="41" customFormat="1" ht="15" customHeight="1"/>
    <row r="1881" s="41" customFormat="1" ht="15" customHeight="1"/>
    <row r="1882" s="41" customFormat="1" ht="15" customHeight="1"/>
    <row r="1883" s="41" customFormat="1" ht="15" customHeight="1"/>
    <row r="1884" s="41" customFormat="1" ht="15" customHeight="1"/>
    <row r="1885" s="41" customFormat="1" ht="15" customHeight="1"/>
    <row r="1886" s="41" customFormat="1" ht="15" customHeight="1"/>
    <row r="1887" s="41" customFormat="1" ht="15" customHeight="1"/>
    <row r="1888" s="41" customFormat="1" ht="15" customHeight="1"/>
    <row r="1889" s="41" customFormat="1" ht="15" customHeight="1"/>
    <row r="1890" s="41" customFormat="1" ht="15" customHeight="1"/>
    <row r="1891" s="41" customFormat="1" ht="15" customHeight="1"/>
    <row r="1892" s="41" customFormat="1" ht="15" customHeight="1"/>
    <row r="1893" s="41" customFormat="1" ht="15" customHeight="1"/>
    <row r="1894" s="41" customFormat="1" ht="15" customHeight="1"/>
    <row r="1895" s="41" customFormat="1" ht="15" customHeight="1"/>
    <row r="1896" s="41" customFormat="1" ht="15" customHeight="1"/>
    <row r="1897" s="41" customFormat="1" ht="15" customHeight="1"/>
    <row r="1898" s="41" customFormat="1" ht="15" customHeight="1"/>
    <row r="1899" s="41" customFormat="1" ht="15" customHeight="1"/>
    <row r="1900" s="41" customFormat="1" ht="15" customHeight="1"/>
    <row r="1901" s="41" customFormat="1" ht="15" customHeight="1"/>
    <row r="1902" s="41" customFormat="1" ht="15" customHeight="1"/>
    <row r="1903" s="41" customFormat="1" ht="15" customHeight="1"/>
    <row r="1904" s="41" customFormat="1" ht="15" customHeight="1"/>
    <row r="1905" s="41" customFormat="1" ht="15" customHeight="1"/>
    <row r="1906" s="41" customFormat="1" ht="15" customHeight="1"/>
    <row r="1907" s="41" customFormat="1" ht="15" customHeight="1"/>
    <row r="1908" s="41" customFormat="1" ht="15" customHeight="1"/>
    <row r="1909" s="41" customFormat="1" ht="15" customHeight="1"/>
    <row r="1910" s="41" customFormat="1" ht="15" customHeight="1"/>
    <row r="1911" s="41" customFormat="1" ht="15" customHeight="1"/>
    <row r="1912" s="41" customFormat="1" ht="15" customHeight="1"/>
    <row r="1913" s="41" customFormat="1" ht="15" customHeight="1"/>
    <row r="1914" s="41" customFormat="1" ht="15" customHeight="1"/>
    <row r="1915" s="41" customFormat="1" ht="15" customHeight="1"/>
    <row r="1916" s="41" customFormat="1" ht="15" customHeight="1"/>
    <row r="1917" s="41" customFormat="1" ht="15" customHeight="1"/>
    <row r="1918" s="41" customFormat="1" ht="15" customHeight="1"/>
    <row r="1919" s="41" customFormat="1" ht="15" customHeight="1"/>
    <row r="1920" s="41" customFormat="1" ht="15" customHeight="1"/>
    <row r="1921" s="41" customFormat="1" ht="15" customHeight="1"/>
    <row r="1922" s="41" customFormat="1" ht="15" customHeight="1"/>
    <row r="1923" s="41" customFormat="1" ht="15" customHeight="1"/>
    <row r="1924" s="41" customFormat="1" ht="15" customHeight="1"/>
    <row r="1925" s="41" customFormat="1" ht="15" customHeight="1"/>
    <row r="1926" s="41" customFormat="1" ht="15" customHeight="1"/>
    <row r="1927" s="41" customFormat="1" ht="15" customHeight="1"/>
    <row r="1928" s="41" customFormat="1" ht="15" customHeight="1"/>
    <row r="1929" s="41" customFormat="1" ht="15" customHeight="1"/>
    <row r="1930" s="41" customFormat="1" ht="15" customHeight="1"/>
    <row r="1931" s="41" customFormat="1" ht="15" customHeight="1"/>
    <row r="1932" s="41" customFormat="1" ht="15" customHeight="1"/>
    <row r="1933" s="41" customFormat="1" ht="15" customHeight="1"/>
    <row r="1934" s="41" customFormat="1" ht="15" customHeight="1"/>
    <row r="1935" s="41" customFormat="1" ht="15" customHeight="1"/>
    <row r="1936" s="41" customFormat="1" ht="15" customHeight="1"/>
    <row r="1937" s="41" customFormat="1" ht="15" customHeight="1"/>
    <row r="1938" s="41" customFormat="1" ht="15" customHeight="1"/>
    <row r="1939" s="41" customFormat="1" ht="15" customHeight="1"/>
    <row r="1940" s="41" customFormat="1" ht="15" customHeight="1"/>
    <row r="1941" s="41" customFormat="1" ht="15" customHeight="1"/>
    <row r="1942" s="41" customFormat="1" ht="15" customHeight="1"/>
    <row r="1943" s="41" customFormat="1" ht="15" customHeight="1"/>
    <row r="1944" s="41" customFormat="1" ht="15" customHeight="1"/>
    <row r="1945" s="41" customFormat="1" ht="15" customHeight="1"/>
    <row r="1946" s="41" customFormat="1" ht="15" customHeight="1"/>
    <row r="1947" s="41" customFormat="1" ht="15" customHeight="1"/>
    <row r="1948" s="41" customFormat="1" ht="15" customHeight="1"/>
    <row r="1949" s="41" customFormat="1" ht="15" customHeight="1"/>
    <row r="1950" s="41" customFormat="1" ht="15" customHeight="1"/>
    <row r="1951" s="41" customFormat="1" ht="15" customHeight="1"/>
    <row r="1952" s="41" customFormat="1" ht="15" customHeight="1"/>
    <row r="1953" s="41" customFormat="1" ht="15" customHeight="1"/>
    <row r="1954" s="41" customFormat="1" ht="15" customHeight="1"/>
    <row r="1955" s="41" customFormat="1" ht="15" customHeight="1"/>
    <row r="1956" s="41" customFormat="1" ht="15" customHeight="1"/>
    <row r="1957" s="41" customFormat="1" ht="15" customHeight="1"/>
    <row r="1958" s="41" customFormat="1" ht="15" customHeight="1"/>
    <row r="1959" s="41" customFormat="1" ht="15" customHeight="1"/>
    <row r="1960" s="41" customFormat="1" ht="15" customHeight="1"/>
    <row r="1961" s="41" customFormat="1" ht="15" customHeight="1"/>
    <row r="1962" s="41" customFormat="1" ht="15" customHeight="1"/>
    <row r="1963" s="41" customFormat="1" ht="15" customHeight="1"/>
    <row r="1964" s="41" customFormat="1" ht="15" customHeight="1"/>
    <row r="1965" s="41" customFormat="1" ht="15" customHeight="1"/>
    <row r="1966" s="41" customFormat="1" ht="15" customHeight="1"/>
    <row r="1967" s="41" customFormat="1" ht="15" customHeight="1"/>
    <row r="1968" s="41" customFormat="1" ht="15" customHeight="1"/>
    <row r="1969" s="41" customFormat="1" ht="15" customHeight="1"/>
    <row r="1970" s="41" customFormat="1" ht="15" customHeight="1"/>
    <row r="1971" s="41" customFormat="1" ht="15" customHeight="1"/>
    <row r="1972" s="41" customFormat="1" ht="15" customHeight="1"/>
    <row r="1973" s="41" customFormat="1" ht="15" customHeight="1"/>
    <row r="1974" s="41" customFormat="1" ht="15" customHeight="1"/>
    <row r="1975" s="41" customFormat="1" ht="15" customHeight="1"/>
    <row r="1976" s="41" customFormat="1" ht="15" customHeight="1"/>
    <row r="1977" s="41" customFormat="1" ht="15" customHeight="1"/>
    <row r="1978" s="41" customFormat="1" ht="15" customHeight="1"/>
    <row r="1979" s="41" customFormat="1" ht="15" customHeight="1"/>
    <row r="1980" s="41" customFormat="1" ht="15" customHeight="1"/>
    <row r="1981" s="41" customFormat="1" ht="15" customHeight="1"/>
    <row r="1982" s="41" customFormat="1" ht="15" customHeight="1"/>
    <row r="1983" s="41" customFormat="1" ht="15" customHeight="1"/>
    <row r="1984" s="41" customFormat="1" ht="15" customHeight="1"/>
    <row r="1985" s="41" customFormat="1" ht="15" customHeight="1"/>
    <row r="1986" s="41" customFormat="1" ht="15" customHeight="1"/>
    <row r="1987" s="41" customFormat="1" ht="15" customHeight="1"/>
    <row r="1988" s="41" customFormat="1" ht="15" customHeight="1"/>
    <row r="1989" s="41" customFormat="1" ht="15" customHeight="1"/>
    <row r="1990" s="41" customFormat="1" ht="15" customHeight="1"/>
    <row r="1991" s="41" customFormat="1" ht="15" customHeight="1"/>
    <row r="1992" s="41" customFormat="1" ht="15" customHeight="1"/>
    <row r="1993" s="41" customFormat="1" ht="15" customHeight="1"/>
    <row r="1994" s="41" customFormat="1" ht="15" customHeight="1"/>
    <row r="1995" s="41" customFormat="1" ht="15" customHeight="1"/>
    <row r="1996" s="41" customFormat="1" ht="15" customHeight="1"/>
    <row r="1997" s="41" customFormat="1" ht="15" customHeight="1"/>
    <row r="1998" s="41" customFormat="1" ht="15" customHeight="1"/>
    <row r="1999" s="41" customFormat="1" ht="15" customHeight="1"/>
    <row r="2000" s="41" customFormat="1" ht="15" customHeight="1"/>
    <row r="2001" s="41" customFormat="1" ht="15" customHeight="1"/>
    <row r="2002" s="41" customFormat="1" ht="15" customHeight="1"/>
    <row r="2003" s="41" customFormat="1" ht="15" customHeight="1"/>
    <row r="2004" s="41" customFormat="1" ht="15" customHeight="1"/>
    <row r="2005" s="41" customFormat="1" ht="15" customHeight="1"/>
    <row r="2006" s="41" customFormat="1" ht="15" customHeight="1"/>
    <row r="2007" s="41" customFormat="1" ht="15" customHeight="1"/>
    <row r="2008" s="41" customFormat="1" ht="15" customHeight="1"/>
    <row r="2009" s="41" customFormat="1" ht="15" customHeight="1"/>
    <row r="2010" s="41" customFormat="1" ht="15" customHeight="1"/>
    <row r="2011" s="41" customFormat="1" ht="15" customHeight="1"/>
    <row r="2012" s="41" customFormat="1" ht="15" customHeight="1"/>
    <row r="2013" s="41" customFormat="1" ht="15" customHeight="1"/>
    <row r="2014" s="41" customFormat="1" ht="15" customHeight="1"/>
    <row r="2015" s="41" customFormat="1" ht="15" customHeight="1"/>
    <row r="2016" s="41" customFormat="1" ht="15" customHeight="1"/>
    <row r="2017" s="41" customFormat="1" ht="15" customHeight="1"/>
    <row r="2018" s="41" customFormat="1" ht="15" customHeight="1"/>
    <row r="2019" s="41" customFormat="1" ht="15" customHeight="1"/>
    <row r="2020" s="41" customFormat="1" ht="15" customHeight="1"/>
    <row r="2021" s="41" customFormat="1" ht="15" customHeight="1"/>
    <row r="2022" s="41" customFormat="1" ht="15" customHeight="1"/>
    <row r="2023" s="41" customFormat="1" ht="15" customHeight="1"/>
    <row r="2024" s="41" customFormat="1" ht="15" customHeight="1"/>
    <row r="2025" s="41" customFormat="1" ht="15" customHeight="1"/>
    <row r="2026" s="41" customFormat="1" ht="15" customHeight="1"/>
    <row r="2027" s="41" customFormat="1" ht="15" customHeight="1"/>
    <row r="2028" s="41" customFormat="1" ht="15" customHeight="1"/>
    <row r="2029" s="41" customFormat="1" ht="15" customHeight="1"/>
    <row r="2030" s="41" customFormat="1" ht="15" customHeight="1"/>
    <row r="2031" s="41" customFormat="1" ht="15" customHeight="1"/>
    <row r="2032" s="41" customFormat="1" ht="15" customHeight="1"/>
    <row r="2033" s="41" customFormat="1" ht="15" customHeight="1"/>
    <row r="2034" s="41" customFormat="1" ht="15" customHeight="1"/>
    <row r="2035" s="41" customFormat="1" ht="15" customHeight="1"/>
    <row r="2036" s="41" customFormat="1" ht="15" customHeight="1"/>
    <row r="2037" s="41" customFormat="1" ht="15" customHeight="1"/>
    <row r="2038" s="41" customFormat="1" ht="15" customHeight="1"/>
    <row r="2039" s="41" customFormat="1" ht="15" customHeight="1"/>
    <row r="2040" s="41" customFormat="1" ht="15" customHeight="1"/>
    <row r="2041" s="41" customFormat="1" ht="15" customHeight="1"/>
    <row r="2042" s="41" customFormat="1" ht="15" customHeight="1"/>
    <row r="2043" s="41" customFormat="1" ht="15" customHeight="1"/>
    <row r="2044" s="41" customFormat="1" ht="15" customHeight="1"/>
    <row r="2045" s="41" customFormat="1" ht="15" customHeight="1"/>
    <row r="2046" s="41" customFormat="1" ht="15" customHeight="1"/>
    <row r="2047" s="41" customFormat="1" ht="15" customHeight="1"/>
    <row r="2048" s="41" customFormat="1" ht="15" customHeight="1"/>
    <row r="2049" s="41" customFormat="1" ht="15" customHeight="1"/>
    <row r="2050" s="41" customFormat="1" ht="15" customHeight="1"/>
    <row r="2051" s="41" customFormat="1" ht="15" customHeight="1"/>
    <row r="2052" s="41" customFormat="1" ht="15" customHeight="1"/>
    <row r="2053" s="41" customFormat="1" ht="15" customHeight="1"/>
    <row r="2054" s="41" customFormat="1" ht="15" customHeight="1"/>
    <row r="2055" s="41" customFormat="1" ht="15" customHeight="1"/>
    <row r="2056" s="41" customFormat="1" ht="15" customHeight="1"/>
    <row r="2057" s="41" customFormat="1" ht="15" customHeight="1"/>
    <row r="2058" s="41" customFormat="1" ht="15" customHeight="1"/>
    <row r="2059" s="41" customFormat="1" ht="15" customHeight="1"/>
    <row r="2060" s="41" customFormat="1" ht="15" customHeight="1"/>
    <row r="2061" s="41" customFormat="1" ht="15" customHeight="1"/>
    <row r="2062" s="41" customFormat="1" ht="15" customHeight="1"/>
    <row r="2063" s="41" customFormat="1" ht="15" customHeight="1"/>
    <row r="2064" s="41" customFormat="1" ht="15" customHeight="1"/>
    <row r="2065" s="41" customFormat="1" ht="15" customHeight="1"/>
    <row r="2066" s="41" customFormat="1" ht="15" customHeight="1"/>
    <row r="2067" s="41" customFormat="1" ht="15" customHeight="1"/>
    <row r="2068" s="41" customFormat="1" ht="15" customHeight="1"/>
    <row r="2069" s="41" customFormat="1" ht="15" customHeight="1"/>
    <row r="2070" s="41" customFormat="1" ht="15" customHeight="1"/>
    <row r="2071" s="41" customFormat="1" ht="15" customHeight="1"/>
    <row r="2072" s="41" customFormat="1" ht="15" customHeight="1"/>
    <row r="2073" s="41" customFormat="1" ht="15" customHeight="1"/>
    <row r="2074" s="41" customFormat="1" ht="15" customHeight="1"/>
    <row r="2075" s="41" customFormat="1" ht="15" customHeight="1"/>
    <row r="2076" s="41" customFormat="1" ht="15" customHeight="1"/>
    <row r="2077" s="41" customFormat="1" ht="15" customHeight="1"/>
    <row r="2078" s="41" customFormat="1" ht="15" customHeight="1"/>
    <row r="2079" s="41" customFormat="1" ht="15" customHeight="1"/>
    <row r="2080" s="41" customFormat="1" ht="15" customHeight="1"/>
    <row r="2081" s="41" customFormat="1" ht="15" customHeight="1"/>
    <row r="2082" s="41" customFormat="1" ht="15" customHeight="1"/>
    <row r="2083" s="41" customFormat="1" ht="15" customHeight="1"/>
    <row r="2084" s="41" customFormat="1" ht="15" customHeight="1"/>
    <row r="2085" s="41" customFormat="1" ht="15" customHeight="1"/>
    <row r="2086" s="41" customFormat="1" ht="15" customHeight="1"/>
    <row r="2087" s="41" customFormat="1" ht="15" customHeight="1"/>
    <row r="2088" s="41" customFormat="1" ht="15" customHeight="1"/>
    <row r="2089" s="41" customFormat="1" ht="15" customHeight="1"/>
    <row r="2090" s="41" customFormat="1" ht="15" customHeight="1"/>
    <row r="2091" s="41" customFormat="1" ht="15" customHeight="1"/>
    <row r="2092" s="41" customFormat="1" ht="15" customHeight="1"/>
    <row r="2093" s="41" customFormat="1" ht="15" customHeight="1"/>
    <row r="2094" s="41" customFormat="1" ht="15" customHeight="1"/>
    <row r="2095" s="41" customFormat="1" ht="15" customHeight="1"/>
    <row r="2096" s="41" customFormat="1" ht="15" customHeight="1"/>
    <row r="2097" s="41" customFormat="1" ht="15" customHeight="1"/>
    <row r="2098" s="41" customFormat="1" ht="15" customHeight="1"/>
    <row r="2099" s="41" customFormat="1" ht="15" customHeight="1"/>
    <row r="2100" s="41" customFormat="1" ht="15" customHeight="1"/>
    <row r="2101" s="41" customFormat="1" ht="15" customHeight="1"/>
    <row r="2102" s="41" customFormat="1" ht="15" customHeight="1"/>
    <row r="2103" s="41" customFormat="1" ht="15" customHeight="1"/>
    <row r="2104" s="41" customFormat="1" ht="15" customHeight="1"/>
    <row r="2105" s="41" customFormat="1" ht="15" customHeight="1"/>
    <row r="2106" s="41" customFormat="1" ht="15" customHeight="1"/>
    <row r="2107" s="41" customFormat="1" ht="15" customHeight="1"/>
    <row r="2108" s="41" customFormat="1" ht="15" customHeight="1"/>
    <row r="2109" s="41" customFormat="1" ht="15" customHeight="1"/>
    <row r="2110" s="41" customFormat="1" ht="15" customHeight="1"/>
    <row r="2111" s="41" customFormat="1" ht="15" customHeight="1"/>
    <row r="2112" s="41" customFormat="1" ht="15" customHeight="1"/>
    <row r="2113" s="41" customFormat="1" ht="15" customHeight="1"/>
    <row r="2114" s="41" customFormat="1" ht="15" customHeight="1"/>
    <row r="2115" s="41" customFormat="1" ht="15" customHeight="1"/>
    <row r="2116" s="41" customFormat="1" ht="15" customHeight="1"/>
    <row r="2117" s="41" customFormat="1" ht="15" customHeight="1"/>
    <row r="2118" s="41" customFormat="1" ht="15" customHeight="1"/>
    <row r="2119" s="41" customFormat="1" ht="15" customHeight="1"/>
    <row r="2120" s="41" customFormat="1" ht="15" customHeight="1"/>
    <row r="2121" s="41" customFormat="1" ht="15" customHeight="1"/>
    <row r="2122" s="41" customFormat="1" ht="15" customHeight="1"/>
    <row r="2123" s="41" customFormat="1" ht="15" customHeight="1"/>
    <row r="2124" s="41" customFormat="1" ht="15" customHeight="1"/>
    <row r="2125" s="41" customFormat="1" ht="15" customHeight="1"/>
    <row r="2126" s="41" customFormat="1" ht="15" customHeight="1"/>
    <row r="2127" s="41" customFormat="1" ht="15" customHeight="1"/>
    <row r="2128" s="41" customFormat="1" ht="15" customHeight="1"/>
    <row r="2129" s="41" customFormat="1" ht="15" customHeight="1"/>
    <row r="2130" s="41" customFormat="1" ht="15" customHeight="1"/>
    <row r="2131" s="41" customFormat="1" ht="15" customHeight="1"/>
    <row r="2132" s="41" customFormat="1" ht="15" customHeight="1"/>
    <row r="2133" s="41" customFormat="1" ht="15" customHeight="1"/>
    <row r="2134" s="41" customFormat="1" ht="15" customHeight="1"/>
    <row r="2135" s="41" customFormat="1" ht="15" customHeight="1"/>
    <row r="2136" s="41" customFormat="1" ht="15" customHeight="1"/>
    <row r="2137" s="41" customFormat="1" ht="15" customHeight="1"/>
    <row r="2138" s="41" customFormat="1" ht="15" customHeight="1"/>
    <row r="2139" s="41" customFormat="1" ht="15" customHeight="1"/>
    <row r="2140" s="41" customFormat="1" ht="15" customHeight="1"/>
    <row r="2141" s="41" customFormat="1" ht="15" customHeight="1"/>
    <row r="2142" s="41" customFormat="1" ht="15" customHeight="1"/>
    <row r="2143" s="41" customFormat="1" ht="15" customHeight="1"/>
    <row r="2144" s="41" customFormat="1" ht="15" customHeight="1"/>
    <row r="2145" s="41" customFormat="1" ht="15" customHeight="1"/>
    <row r="2146" s="41" customFormat="1" ht="15" customHeight="1"/>
    <row r="2147" s="41" customFormat="1" ht="15" customHeight="1"/>
    <row r="2148" s="41" customFormat="1" ht="15" customHeight="1"/>
    <row r="2149" s="41" customFormat="1" ht="15" customHeight="1"/>
    <row r="2150" s="41" customFormat="1" ht="15" customHeight="1"/>
    <row r="2151" s="41" customFormat="1" ht="15" customHeight="1"/>
    <row r="2152" s="41" customFormat="1" ht="15" customHeight="1"/>
    <row r="2153" s="41" customFormat="1" ht="15" customHeight="1"/>
    <row r="2154" s="41" customFormat="1" ht="15" customHeight="1"/>
    <row r="2155" s="41" customFormat="1" ht="15" customHeight="1"/>
    <row r="2156" s="41" customFormat="1" ht="15" customHeight="1"/>
    <row r="2157" s="41" customFormat="1" ht="15" customHeight="1"/>
    <row r="2158" s="41" customFormat="1" ht="15" customHeight="1"/>
    <row r="2159" s="41" customFormat="1" ht="15" customHeight="1"/>
    <row r="2160" s="41" customFormat="1" ht="15" customHeight="1"/>
    <row r="2161" s="41" customFormat="1" ht="15" customHeight="1"/>
    <row r="2162" s="41" customFormat="1" ht="15" customHeight="1"/>
    <row r="2163" s="41" customFormat="1" ht="15" customHeight="1"/>
    <row r="2164" s="41" customFormat="1" ht="15" customHeight="1"/>
    <row r="2165" s="41" customFormat="1" ht="15" customHeight="1"/>
    <row r="2166" s="41" customFormat="1" ht="15" customHeight="1"/>
    <row r="2167" s="41" customFormat="1" ht="15" customHeight="1"/>
    <row r="2168" s="41" customFormat="1" ht="15" customHeight="1"/>
    <row r="2169" s="41" customFormat="1" ht="15" customHeight="1"/>
    <row r="2170" s="41" customFormat="1" ht="15" customHeight="1"/>
    <row r="2171" s="41" customFormat="1" ht="15" customHeight="1"/>
    <row r="2172" s="41" customFormat="1" ht="15" customHeight="1"/>
    <row r="2173" s="41" customFormat="1" ht="15" customHeight="1"/>
    <row r="2174" s="41" customFormat="1" ht="15" customHeight="1"/>
    <row r="2175" s="41" customFormat="1" ht="15" customHeight="1"/>
    <row r="2176" s="41" customFormat="1" ht="15" customHeight="1"/>
    <row r="2177" s="41" customFormat="1" ht="15" customHeight="1"/>
    <row r="2178" s="41" customFormat="1" ht="15" customHeight="1"/>
    <row r="2179" s="41" customFormat="1" ht="15" customHeight="1"/>
    <row r="2180" s="41" customFormat="1" ht="15" customHeight="1"/>
    <row r="2181" s="41" customFormat="1" ht="15" customHeight="1"/>
    <row r="2182" s="41" customFormat="1" ht="15" customHeight="1"/>
    <row r="2183" s="41" customFormat="1" ht="15" customHeight="1"/>
    <row r="2184" s="41" customFormat="1" ht="15" customHeight="1"/>
    <row r="2185" s="41" customFormat="1" ht="15" customHeight="1"/>
    <row r="2186" s="41" customFormat="1" ht="15" customHeight="1"/>
    <row r="2187" s="41" customFormat="1" ht="15" customHeight="1"/>
    <row r="2188" s="41" customFormat="1" ht="15" customHeight="1"/>
    <row r="2189" s="41" customFormat="1" ht="15" customHeight="1"/>
    <row r="2190" s="41" customFormat="1" ht="15" customHeight="1"/>
    <row r="2191" s="41" customFormat="1" ht="15" customHeight="1"/>
    <row r="2192" s="41" customFormat="1" ht="15" customHeight="1"/>
    <row r="2193" s="41" customFormat="1" ht="15" customHeight="1"/>
    <row r="2194" s="41" customFormat="1" ht="15" customHeight="1"/>
    <row r="2195" s="41" customFormat="1" ht="15" customHeight="1"/>
    <row r="2196" s="41" customFormat="1" ht="15" customHeight="1"/>
    <row r="2197" s="41" customFormat="1" ht="15" customHeight="1"/>
    <row r="2198" s="41" customFormat="1" ht="15" customHeight="1"/>
    <row r="2199" s="41" customFormat="1" ht="15" customHeight="1"/>
    <row r="2200" s="41" customFormat="1" ht="15" customHeight="1"/>
    <row r="2201" s="41" customFormat="1" ht="15" customHeight="1"/>
    <row r="2202" s="41" customFormat="1" ht="15" customHeight="1"/>
    <row r="2203" s="41" customFormat="1" ht="15" customHeight="1"/>
    <row r="2204" s="41" customFormat="1" ht="15" customHeight="1"/>
    <row r="2205" s="41" customFormat="1" ht="15" customHeight="1"/>
    <row r="2206" s="41" customFormat="1" ht="15" customHeight="1"/>
    <row r="2207" s="41" customFormat="1" ht="15" customHeight="1"/>
    <row r="2208" s="41" customFormat="1" ht="15" customHeight="1"/>
    <row r="2209" s="41" customFormat="1" ht="15" customHeight="1"/>
    <row r="2210" s="41" customFormat="1" ht="15" customHeight="1"/>
    <row r="2211" s="41" customFormat="1" ht="15" customHeight="1"/>
    <row r="2212" s="41" customFormat="1" ht="15" customHeight="1"/>
    <row r="2213" s="41" customFormat="1" ht="15" customHeight="1"/>
    <row r="2214" s="41" customFormat="1" ht="15" customHeight="1"/>
    <row r="2215" s="41" customFormat="1" ht="15" customHeight="1"/>
    <row r="2216" s="41" customFormat="1" ht="15" customHeight="1"/>
    <row r="2217" s="41" customFormat="1" ht="15" customHeight="1"/>
    <row r="2218" s="41" customFormat="1" ht="15" customHeight="1"/>
    <row r="2219" s="41" customFormat="1" ht="15" customHeight="1"/>
    <row r="2220" s="41" customFormat="1" ht="15" customHeight="1"/>
    <row r="2221" s="41" customFormat="1" ht="15" customHeight="1"/>
    <row r="2222" s="41" customFormat="1" ht="15" customHeight="1"/>
    <row r="2223" s="41" customFormat="1" ht="15" customHeight="1"/>
    <row r="2224" s="41" customFormat="1" ht="15" customHeight="1"/>
    <row r="2225" s="41" customFormat="1" ht="15" customHeight="1"/>
    <row r="2226" s="41" customFormat="1" ht="15" customHeight="1"/>
    <row r="2227" s="41" customFormat="1" ht="15" customHeight="1"/>
    <row r="2228" s="41" customFormat="1" ht="15" customHeight="1"/>
    <row r="2229" s="41" customFormat="1" ht="15" customHeight="1"/>
    <row r="2230" s="41" customFormat="1" ht="15" customHeight="1"/>
    <row r="2231" s="41" customFormat="1" ht="15" customHeight="1"/>
    <row r="2232" s="41" customFormat="1" ht="15" customHeight="1"/>
    <row r="2233" s="41" customFormat="1" ht="15" customHeight="1"/>
    <row r="2234" s="41" customFormat="1" ht="15" customHeight="1"/>
    <row r="2235" s="41" customFormat="1" ht="15" customHeight="1"/>
    <row r="2236" s="41" customFormat="1" ht="15" customHeight="1"/>
    <row r="2237" s="41" customFormat="1" ht="15" customHeight="1"/>
    <row r="2238" s="41" customFormat="1" ht="15" customHeight="1"/>
    <row r="2239" s="41" customFormat="1" ht="15" customHeight="1"/>
    <row r="2240" s="41" customFormat="1" ht="15" customHeight="1"/>
    <row r="2241" s="41" customFormat="1" ht="15" customHeight="1"/>
    <row r="2242" s="41" customFormat="1" ht="15" customHeight="1"/>
    <row r="2243" s="41" customFormat="1" ht="15" customHeight="1"/>
    <row r="2244" s="41" customFormat="1" ht="15" customHeight="1"/>
    <row r="2245" s="41" customFormat="1" ht="15" customHeight="1"/>
    <row r="2246" s="41" customFormat="1" ht="15" customHeight="1"/>
    <row r="2247" s="41" customFormat="1" ht="15" customHeight="1"/>
    <row r="2248" s="41" customFormat="1" ht="15" customHeight="1"/>
    <row r="2249" s="41" customFormat="1" ht="15" customHeight="1"/>
    <row r="2250" s="41" customFormat="1" ht="15" customHeight="1"/>
    <row r="2251" s="41" customFormat="1" ht="15" customHeight="1"/>
    <row r="2252" s="41" customFormat="1" ht="15" customHeight="1"/>
    <row r="2253" s="41" customFormat="1" ht="15" customHeight="1"/>
    <row r="2254" s="41" customFormat="1" ht="15" customHeight="1"/>
    <row r="2255" s="41" customFormat="1" ht="15" customHeight="1"/>
    <row r="2256" s="41" customFormat="1" ht="15" customHeight="1"/>
    <row r="2257" s="41" customFormat="1" ht="15" customHeight="1"/>
    <row r="2258" s="41" customFormat="1" ht="15" customHeight="1"/>
    <row r="2259" s="41" customFormat="1" ht="15" customHeight="1"/>
    <row r="2260" s="41" customFormat="1" ht="15" customHeight="1"/>
    <row r="2261" s="41" customFormat="1" ht="15" customHeight="1"/>
    <row r="2262" s="41" customFormat="1" ht="15" customHeight="1"/>
    <row r="2263" s="41" customFormat="1" ht="15" customHeight="1"/>
    <row r="2264" s="41" customFormat="1" ht="15" customHeight="1"/>
    <row r="2265" s="41" customFormat="1" ht="15" customHeight="1"/>
    <row r="2266" s="41" customFormat="1" ht="15" customHeight="1"/>
    <row r="2267" s="41" customFormat="1" ht="15" customHeight="1"/>
    <row r="2268" s="41" customFormat="1" ht="15" customHeight="1"/>
    <row r="2269" s="41" customFormat="1" ht="15" customHeight="1"/>
    <row r="2270" s="41" customFormat="1" ht="15" customHeight="1"/>
    <row r="2271" s="41" customFormat="1" ht="15" customHeight="1"/>
    <row r="2272" s="41" customFormat="1" ht="15" customHeight="1"/>
    <row r="2273" s="41" customFormat="1" ht="15" customHeight="1"/>
    <row r="2274" s="41" customFormat="1" ht="15" customHeight="1"/>
    <row r="2275" s="41" customFormat="1" ht="15" customHeight="1"/>
    <row r="2276" s="41" customFormat="1" ht="15" customHeight="1"/>
    <row r="2277" s="41" customFormat="1" ht="15" customHeight="1"/>
    <row r="2278" s="41" customFormat="1" ht="15" customHeight="1"/>
    <row r="2279" s="41" customFormat="1" ht="15" customHeight="1"/>
    <row r="2280" s="41" customFormat="1" ht="15" customHeight="1"/>
    <row r="2281" s="41" customFormat="1" ht="15" customHeight="1"/>
    <row r="2282" s="41" customFormat="1" ht="15" customHeight="1"/>
    <row r="2283" s="41" customFormat="1" ht="15" customHeight="1"/>
    <row r="2284" s="41" customFormat="1" ht="15" customHeight="1"/>
    <row r="2285" s="41" customFormat="1" ht="15" customHeight="1"/>
    <row r="2286" s="41" customFormat="1" ht="15" customHeight="1"/>
    <row r="2287" s="41" customFormat="1" ht="15" customHeight="1"/>
    <row r="2288" s="41" customFormat="1" ht="15" customHeight="1"/>
    <row r="2289" s="41" customFormat="1" ht="15" customHeight="1"/>
    <row r="2290" s="41" customFormat="1" ht="15" customHeight="1"/>
    <row r="2291" s="41" customFormat="1" ht="15" customHeight="1"/>
    <row r="2292" s="41" customFormat="1" ht="15" customHeight="1"/>
    <row r="2293" s="41" customFormat="1" ht="15" customHeight="1"/>
    <row r="2294" s="41" customFormat="1" ht="15" customHeight="1"/>
    <row r="2295" s="41" customFormat="1" ht="15" customHeight="1"/>
    <row r="2296" s="41" customFormat="1" ht="15" customHeight="1"/>
    <row r="2297" s="41" customFormat="1" ht="15" customHeight="1"/>
    <row r="2298" s="41" customFormat="1" ht="15" customHeight="1"/>
    <row r="2299" s="41" customFormat="1" ht="15" customHeight="1"/>
    <row r="2300" s="41" customFormat="1" ht="15" customHeight="1"/>
    <row r="2301" s="41" customFormat="1" ht="15" customHeight="1"/>
    <row r="2302" s="41" customFormat="1" ht="15" customHeight="1"/>
    <row r="2303" s="41" customFormat="1" ht="15" customHeight="1"/>
    <row r="2304" s="41" customFormat="1" ht="15" customHeight="1"/>
    <row r="2305" s="41" customFormat="1" ht="15" customHeight="1"/>
    <row r="2306" s="41" customFormat="1" ht="15" customHeight="1"/>
    <row r="2307" s="41" customFormat="1" ht="15" customHeight="1"/>
    <row r="2308" s="41" customFormat="1" ht="15" customHeight="1"/>
    <row r="2309" s="41" customFormat="1" ht="15" customHeight="1"/>
    <row r="2310" s="41" customFormat="1" ht="15" customHeight="1"/>
    <row r="2311" s="41" customFormat="1" ht="15" customHeight="1"/>
    <row r="2312" s="41" customFormat="1" ht="15" customHeight="1"/>
    <row r="2313" s="41" customFormat="1" ht="15" customHeight="1"/>
    <row r="2314" s="41" customFormat="1" ht="15" customHeight="1"/>
    <row r="2315" s="41" customFormat="1" ht="15" customHeight="1"/>
    <row r="2316" s="41" customFormat="1" ht="15" customHeight="1"/>
    <row r="2317" s="41" customFormat="1" ht="15" customHeight="1"/>
    <row r="2318" s="41" customFormat="1" ht="15" customHeight="1"/>
    <row r="2319" s="41" customFormat="1" ht="15" customHeight="1"/>
    <row r="2320" s="41" customFormat="1" ht="15" customHeight="1"/>
    <row r="2321" s="41" customFormat="1" ht="15" customHeight="1"/>
    <row r="2322" s="41" customFormat="1" ht="15" customHeight="1"/>
    <row r="2323" s="41" customFormat="1" ht="15" customHeight="1"/>
    <row r="2324" s="41" customFormat="1" ht="15" customHeight="1"/>
    <row r="2325" s="41" customFormat="1" ht="15" customHeight="1"/>
    <row r="2326" s="41" customFormat="1" ht="15" customHeight="1"/>
  </sheetData>
  <mergeCells count="4">
    <mergeCell ref="B6:E6"/>
    <mergeCell ref="B23:E23"/>
    <mergeCell ref="B43:E43"/>
    <mergeCell ref="B62:B64"/>
  </mergeCells>
  <pageMargins left="0.7" right="0.7" top="0.75" bottom="0.75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2650C-D038-0145-A09B-717B1B735A31}">
  <dimension ref="A1:X2326"/>
  <sheetViews>
    <sheetView zoomScale="125" workbookViewId="0">
      <selection activeCell="C34" sqref="C34"/>
    </sheetView>
  </sheetViews>
  <sheetFormatPr baseColWidth="10" defaultColWidth="14.5" defaultRowHeight="15" customHeight="1"/>
  <cols>
    <col min="1" max="1" width="10.1640625" customWidth="1"/>
    <col min="2" max="2" width="18.5" customWidth="1"/>
    <col min="3" max="4" width="13.6640625" customWidth="1"/>
    <col min="5" max="5" width="21.6640625" customWidth="1"/>
    <col min="6" max="6" width="13" customWidth="1"/>
    <col min="7" max="24" width="8.6640625" customWidth="1"/>
    <col min="25" max="16384" width="14.5" style="41"/>
  </cols>
  <sheetData>
    <row r="1" spans="1:24" ht="16">
      <c r="A1" s="19"/>
      <c r="B1" s="19"/>
      <c r="C1" s="19"/>
      <c r="D1" s="19"/>
      <c r="E1" s="20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spans="1:24" ht="18">
      <c r="A2" s="19"/>
      <c r="B2" s="21" t="s">
        <v>33</v>
      </c>
      <c r="C2" s="21"/>
      <c r="D2" s="21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 ht="16">
      <c r="A3" s="19"/>
      <c r="B3" s="42" t="s">
        <v>57</v>
      </c>
      <c r="C3" s="19"/>
      <c r="D3" s="19"/>
      <c r="E3" s="20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ht="16">
      <c r="A4" s="19"/>
      <c r="B4" s="19"/>
      <c r="C4" s="19"/>
      <c r="D4" s="19"/>
      <c r="E4" s="20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6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</row>
    <row r="6" spans="1:24" ht="25.5" customHeight="1">
      <c r="A6" s="19"/>
      <c r="B6" s="49" t="s">
        <v>35</v>
      </c>
      <c r="C6" s="50"/>
      <c r="D6" s="50"/>
      <c r="E6" s="51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</row>
    <row r="7" spans="1:24" ht="16">
      <c r="A7" s="19"/>
      <c r="B7" s="22" t="s">
        <v>36</v>
      </c>
      <c r="C7" s="22" t="s">
        <v>37</v>
      </c>
      <c r="D7" s="23" t="s">
        <v>6</v>
      </c>
      <c r="E7" s="22" t="s">
        <v>7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</row>
    <row r="8" spans="1:24" ht="16">
      <c r="A8" s="19"/>
      <c r="B8" s="24" t="s">
        <v>8</v>
      </c>
      <c r="C8" s="24" t="s">
        <v>9</v>
      </c>
      <c r="D8" s="25" t="s">
        <v>10</v>
      </c>
      <c r="E8" s="24" t="s">
        <v>11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6">
      <c r="A9" s="19"/>
      <c r="B9" s="26">
        <v>0</v>
      </c>
      <c r="C9" s="26">
        <v>0</v>
      </c>
      <c r="D9" s="27">
        <v>0</v>
      </c>
      <c r="E9" s="28">
        <v>0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</row>
    <row r="10" spans="1:24" ht="16">
      <c r="A10" s="19" t="s">
        <v>25</v>
      </c>
      <c r="B10" s="26">
        <v>17.010000000000002</v>
      </c>
      <c r="C10" s="29">
        <v>28.2</v>
      </c>
      <c r="D10" s="27">
        <f t="shared" ref="D10:D16" si="0">C10/(B10-B9)</f>
        <v>1.6578483245149911</v>
      </c>
      <c r="E10" s="28">
        <f t="shared" ref="E10:E16" si="1">E9+C10</f>
        <v>28.2</v>
      </c>
      <c r="F10" s="42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</row>
    <row r="11" spans="1:24" ht="16">
      <c r="A11" s="19"/>
      <c r="B11" s="26">
        <v>25.06</v>
      </c>
      <c r="C11" s="26">
        <v>20.88</v>
      </c>
      <c r="D11" s="27">
        <f t="shared" si="0"/>
        <v>2.593788819875777</v>
      </c>
      <c r="E11" s="28">
        <f t="shared" si="1"/>
        <v>49.08</v>
      </c>
      <c r="F11" s="42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6">
      <c r="A12" s="19"/>
      <c r="B12" s="26">
        <v>35.9</v>
      </c>
      <c r="C12" s="26">
        <v>24.7</v>
      </c>
      <c r="D12" s="27">
        <f t="shared" si="0"/>
        <v>2.2785977859778597</v>
      </c>
      <c r="E12" s="28">
        <f t="shared" si="1"/>
        <v>73.78</v>
      </c>
      <c r="F12" s="42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</row>
    <row r="13" spans="1:24" ht="16">
      <c r="A13" s="19"/>
      <c r="B13" s="26">
        <v>42.1</v>
      </c>
      <c r="C13" s="26">
        <v>24</v>
      </c>
      <c r="D13" s="27">
        <f t="shared" si="0"/>
        <v>3.8709677419354822</v>
      </c>
      <c r="E13" s="28">
        <f t="shared" si="1"/>
        <v>97.78</v>
      </c>
      <c r="F13" s="42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</row>
    <row r="14" spans="1:24" ht="16">
      <c r="A14" s="19"/>
      <c r="B14" s="26">
        <v>55.8</v>
      </c>
      <c r="C14" s="26">
        <v>26.2</v>
      </c>
      <c r="D14" s="27">
        <f t="shared" si="0"/>
        <v>1.9124087591240881</v>
      </c>
      <c r="E14" s="28">
        <f t="shared" si="1"/>
        <v>123.98</v>
      </c>
      <c r="F14" s="42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</row>
    <row r="15" spans="1:24" ht="16">
      <c r="A15" s="19"/>
      <c r="B15" s="26">
        <v>70</v>
      </c>
      <c r="C15" s="26">
        <v>23.9</v>
      </c>
      <c r="D15" s="27">
        <f t="shared" si="0"/>
        <v>1.6830985915492953</v>
      </c>
      <c r="E15" s="28">
        <f t="shared" si="1"/>
        <v>147.88</v>
      </c>
      <c r="F15" s="42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</row>
    <row r="16" spans="1:24" ht="16">
      <c r="A16" s="19"/>
      <c r="B16" s="26">
        <v>100</v>
      </c>
      <c r="C16" s="26">
        <v>19.2</v>
      </c>
      <c r="D16" s="27">
        <f t="shared" si="0"/>
        <v>0.64</v>
      </c>
      <c r="E16" s="28">
        <f t="shared" si="1"/>
        <v>167.07999999999998</v>
      </c>
      <c r="F16" s="42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</row>
    <row r="17" spans="1:24" ht="16">
      <c r="A17" s="19"/>
      <c r="B17" s="19"/>
      <c r="C17" s="31">
        <f>SUM(C9:C16)</f>
        <v>167.07999999999998</v>
      </c>
      <c r="D17" s="32" t="s">
        <v>9</v>
      </c>
      <c r="E17" s="33">
        <f>C17-C10</f>
        <v>138.88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</row>
    <row r="18" spans="1:24" ht="16">
      <c r="A18" s="19"/>
      <c r="B18" s="19"/>
      <c r="C18" s="31">
        <f>C17/100</f>
        <v>1.6707999999999998</v>
      </c>
      <c r="D18" s="32" t="s">
        <v>12</v>
      </c>
      <c r="E18" s="34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</row>
    <row r="19" spans="1:24" ht="16">
      <c r="A19" s="19"/>
      <c r="B19" s="19"/>
      <c r="C19" s="19"/>
      <c r="D19" s="19"/>
      <c r="E19" s="20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</row>
    <row r="20" spans="1:24" ht="15.75" customHeight="1">
      <c r="A20" s="19"/>
      <c r="B20" s="19"/>
      <c r="C20" s="19"/>
      <c r="D20" s="19"/>
      <c r="E20" s="20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</row>
    <row r="21" spans="1:24" ht="15.75" customHeight="1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</row>
    <row r="22" spans="1:24" ht="15.75" customHeight="1">
      <c r="A22" s="19"/>
      <c r="B22" s="19"/>
      <c r="C22" s="19"/>
      <c r="D22" s="19"/>
      <c r="E22" s="20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</row>
    <row r="23" spans="1:24" ht="22.5" customHeight="1">
      <c r="A23" s="19"/>
      <c r="B23" s="49" t="s">
        <v>39</v>
      </c>
      <c r="C23" s="50"/>
      <c r="D23" s="50"/>
      <c r="E23" s="51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</row>
    <row r="24" spans="1:24" ht="15.75" customHeight="1">
      <c r="A24" s="19"/>
      <c r="B24" s="22" t="s">
        <v>36</v>
      </c>
      <c r="C24" s="22" t="s">
        <v>37</v>
      </c>
      <c r="D24" s="23" t="s">
        <v>6</v>
      </c>
      <c r="E24" s="22" t="s">
        <v>7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</row>
    <row r="25" spans="1:24" ht="15.75" customHeight="1">
      <c r="A25" s="19"/>
      <c r="B25" s="24" t="s">
        <v>8</v>
      </c>
      <c r="C25" s="24" t="s">
        <v>9</v>
      </c>
      <c r="D25" s="25" t="s">
        <v>10</v>
      </c>
      <c r="E25" s="24" t="s">
        <v>11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</row>
    <row r="26" spans="1:24" ht="15.75" customHeight="1">
      <c r="A26" s="19"/>
      <c r="B26" s="26">
        <v>0</v>
      </c>
      <c r="C26" s="26">
        <v>0</v>
      </c>
      <c r="D26" s="27">
        <v>0</v>
      </c>
      <c r="E26" s="28">
        <v>0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ht="15.75" customHeight="1">
      <c r="A27" s="19" t="s">
        <v>25</v>
      </c>
      <c r="B27" s="26">
        <v>44</v>
      </c>
      <c r="C27" s="29">
        <v>202.5</v>
      </c>
      <c r="D27" s="27">
        <f t="shared" ref="D27:D33" si="2">C27/(B27-B26)</f>
        <v>4.6022727272727275</v>
      </c>
      <c r="E27" s="28">
        <f t="shared" ref="E27:E33" si="3">E26+C27</f>
        <v>202.5</v>
      </c>
      <c r="F27" s="42" t="s">
        <v>58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5.75" customHeight="1">
      <c r="A28" s="19"/>
      <c r="B28" s="26">
        <v>48.1</v>
      </c>
      <c r="C28" s="26">
        <v>22.9</v>
      </c>
      <c r="D28" s="27">
        <f t="shared" si="2"/>
        <v>5.5853658536585344</v>
      </c>
      <c r="E28" s="28">
        <f t="shared" si="3"/>
        <v>225.4</v>
      </c>
      <c r="F28" s="42" t="s">
        <v>58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ht="15.75" customHeight="1">
      <c r="A29" s="19"/>
      <c r="B29" s="26">
        <v>52.6</v>
      </c>
      <c r="C29" s="26">
        <v>23.3</v>
      </c>
      <c r="D29" s="27">
        <f t="shared" si="2"/>
        <v>5.177777777777778</v>
      </c>
      <c r="E29" s="28">
        <f t="shared" si="3"/>
        <v>248.70000000000002</v>
      </c>
      <c r="F29" s="42" t="s">
        <v>59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</row>
    <row r="30" spans="1:24" ht="15.75" customHeight="1">
      <c r="A30" s="19"/>
      <c r="B30" s="26">
        <v>57</v>
      </c>
      <c r="C30" s="26">
        <v>24</v>
      </c>
      <c r="D30" s="27">
        <f t="shared" si="2"/>
        <v>5.4545454545454559</v>
      </c>
      <c r="E30" s="28">
        <f t="shared" si="3"/>
        <v>272.70000000000005</v>
      </c>
      <c r="F30" s="42" t="s">
        <v>64</v>
      </c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ht="15.75" customHeight="1">
      <c r="A31" s="19"/>
      <c r="B31" s="26">
        <v>63.9</v>
      </c>
      <c r="C31" s="26">
        <v>24.8</v>
      </c>
      <c r="D31" s="27">
        <f t="shared" si="2"/>
        <v>3.5942028985507255</v>
      </c>
      <c r="E31" s="28">
        <f t="shared" si="3"/>
        <v>297.50000000000006</v>
      </c>
      <c r="F31" s="42" t="s">
        <v>60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</row>
    <row r="32" spans="1:24" ht="15.75" customHeight="1">
      <c r="A32" s="19"/>
      <c r="B32" s="26">
        <v>71</v>
      </c>
      <c r="C32" s="26">
        <v>22.3</v>
      </c>
      <c r="D32" s="27">
        <f t="shared" si="2"/>
        <v>3.1408450704225346</v>
      </c>
      <c r="E32" s="28">
        <f t="shared" si="3"/>
        <v>319.80000000000007</v>
      </c>
      <c r="F32" s="42" t="s">
        <v>61</v>
      </c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ht="15.75" customHeight="1">
      <c r="A33" s="19"/>
      <c r="B33" s="26">
        <v>100</v>
      </c>
      <c r="C33" s="26">
        <v>17.7</v>
      </c>
      <c r="D33" s="27">
        <f t="shared" si="2"/>
        <v>0.6103448275862069</v>
      </c>
      <c r="E33" s="28">
        <f t="shared" si="3"/>
        <v>337.50000000000006</v>
      </c>
      <c r="F33" s="42" t="s">
        <v>62</v>
      </c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5.75" customHeight="1">
      <c r="A34" s="19"/>
      <c r="B34" s="19"/>
      <c r="C34" s="35">
        <f>SUM(C27:C33)</f>
        <v>337.50000000000006</v>
      </c>
      <c r="D34" s="32" t="s">
        <v>9</v>
      </c>
      <c r="E34" s="35">
        <f>C34-C27</f>
        <v>135.00000000000006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 ht="15.75" customHeight="1">
      <c r="A35" s="19"/>
      <c r="B35" s="19"/>
      <c r="C35" s="33">
        <f>C34/100</f>
        <v>3.3750000000000004</v>
      </c>
      <c r="D35" s="32" t="s">
        <v>12</v>
      </c>
      <c r="E35" s="34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</row>
    <row r="36" spans="1:24" ht="15.75" customHeight="1">
      <c r="A36" s="19"/>
      <c r="B36" s="19"/>
      <c r="C36" s="19"/>
      <c r="D36" s="20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 ht="15.75" customHeight="1">
      <c r="A37" s="19"/>
      <c r="B37" s="19"/>
      <c r="C37" s="19"/>
      <c r="D37" s="19"/>
      <c r="E37" s="20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</row>
    <row r="38" spans="1:24" ht="15.75" customHeight="1">
      <c r="A38" s="19"/>
      <c r="B38" s="19"/>
      <c r="C38" s="19"/>
      <c r="D38" s="19"/>
      <c r="E38" s="20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1:24" ht="15.75" customHeight="1">
      <c r="A39" s="19"/>
      <c r="B39" s="19"/>
      <c r="C39" s="19"/>
      <c r="D39" s="19"/>
      <c r="E39" s="20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</row>
    <row r="40" spans="1:24" ht="15.75" customHeight="1">
      <c r="A40" s="19"/>
      <c r="B40" s="19"/>
      <c r="C40" s="19"/>
      <c r="D40" s="19"/>
      <c r="E40" s="20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ht="15.75" customHeight="1">
      <c r="A41" s="19"/>
      <c r="B41" s="19"/>
      <c r="C41" s="19"/>
      <c r="D41" s="19"/>
      <c r="E41" s="20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</row>
    <row r="42" spans="1:24" ht="15.75" customHeight="1">
      <c r="A42" s="19"/>
      <c r="B42" s="19"/>
      <c r="C42" s="19"/>
      <c r="D42" s="19"/>
      <c r="E42" s="20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ht="22.5" customHeight="1">
      <c r="A43" s="19"/>
      <c r="B43" s="49" t="s">
        <v>40</v>
      </c>
      <c r="C43" s="50"/>
      <c r="D43" s="50"/>
      <c r="E43" s="51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1:24" ht="15.75" customHeight="1">
      <c r="A44" s="19"/>
      <c r="B44" s="22" t="s">
        <v>36</v>
      </c>
      <c r="C44" s="22" t="s">
        <v>37</v>
      </c>
      <c r="D44" s="23" t="s">
        <v>6</v>
      </c>
      <c r="E44" s="22" t="s">
        <v>7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ht="15.75" customHeight="1">
      <c r="A45" s="19"/>
      <c r="B45" s="24" t="s">
        <v>8</v>
      </c>
      <c r="C45" s="24" t="s">
        <v>9</v>
      </c>
      <c r="D45" s="25" t="s">
        <v>10</v>
      </c>
      <c r="E45" s="24" t="s">
        <v>11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</row>
    <row r="46" spans="1:24" ht="15.75" customHeight="1">
      <c r="A46" s="19"/>
      <c r="B46" s="26">
        <v>0</v>
      </c>
      <c r="C46" s="26">
        <v>0</v>
      </c>
      <c r="D46" s="27">
        <v>0</v>
      </c>
      <c r="E46" s="28">
        <v>0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1:24" ht="15.75" customHeight="1">
      <c r="A47" s="19" t="s">
        <v>25</v>
      </c>
      <c r="B47" s="26">
        <v>41.2</v>
      </c>
      <c r="C47" s="29">
        <v>194.06</v>
      </c>
      <c r="D47" s="27">
        <f t="shared" ref="D47:D54" si="4">C47/(B47-B46)</f>
        <v>4.7101941747572811</v>
      </c>
      <c r="E47" s="28">
        <f t="shared" ref="E47:E54" si="5">E46+C47</f>
        <v>194.06</v>
      </c>
      <c r="F47" s="42" t="s">
        <v>59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</row>
    <row r="48" spans="1:24" ht="15.75" customHeight="1">
      <c r="A48" s="19"/>
      <c r="B48" s="26">
        <v>44</v>
      </c>
      <c r="C48" s="26">
        <v>21.02</v>
      </c>
      <c r="D48" s="27">
        <f t="shared" si="4"/>
        <v>7.5071428571428642</v>
      </c>
      <c r="E48" s="28">
        <f t="shared" si="5"/>
        <v>215.08</v>
      </c>
      <c r="F48" s="42" t="s">
        <v>58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 ht="15.75" customHeight="1">
      <c r="A49" s="19"/>
      <c r="B49" s="26">
        <v>49.8</v>
      </c>
      <c r="C49" s="26">
        <v>22.72</v>
      </c>
      <c r="D49" s="27">
        <f t="shared" si="4"/>
        <v>3.9172413793103464</v>
      </c>
      <c r="E49" s="28">
        <f t="shared" si="5"/>
        <v>237.8</v>
      </c>
      <c r="F49" s="42" t="s">
        <v>59</v>
      </c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</row>
    <row r="50" spans="1:24" ht="15.75" customHeight="1">
      <c r="A50" s="19"/>
      <c r="B50" s="26">
        <v>54.8</v>
      </c>
      <c r="C50" s="26">
        <v>23.08</v>
      </c>
      <c r="D50" s="27">
        <f t="shared" si="4"/>
        <v>4.6159999999999997</v>
      </c>
      <c r="E50" s="28">
        <f t="shared" si="5"/>
        <v>260.88</v>
      </c>
      <c r="F50" s="42" t="s">
        <v>64</v>
      </c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spans="1:24" ht="15.75" customHeight="1">
      <c r="A51" s="19"/>
      <c r="B51" s="26">
        <v>60.4</v>
      </c>
      <c r="C51" s="26">
        <v>21.79</v>
      </c>
      <c r="D51" s="27">
        <f t="shared" si="4"/>
        <v>3.8910714285714274</v>
      </c>
      <c r="E51" s="28">
        <f t="shared" si="5"/>
        <v>282.67</v>
      </c>
      <c r="F51" s="42" t="s">
        <v>60</v>
      </c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  <row r="52" spans="1:24" ht="15.75" customHeight="1">
      <c r="A52" s="19"/>
      <c r="B52" s="26">
        <v>67.400000000000006</v>
      </c>
      <c r="C52" s="26">
        <v>23.09</v>
      </c>
      <c r="D52" s="27">
        <f t="shared" si="4"/>
        <v>3.2985714285714254</v>
      </c>
      <c r="E52" s="28">
        <f t="shared" si="5"/>
        <v>305.76</v>
      </c>
      <c r="F52" s="42" t="s">
        <v>61</v>
      </c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spans="1:24" ht="15.75" customHeight="1">
      <c r="A53" s="19"/>
      <c r="B53" s="26">
        <v>76.400000000000006</v>
      </c>
      <c r="C53" s="26">
        <v>22.43</v>
      </c>
      <c r="D53" s="27">
        <f t="shared" si="4"/>
        <v>2.4922222222222223</v>
      </c>
      <c r="E53" s="28">
        <f t="shared" si="5"/>
        <v>328.19</v>
      </c>
      <c r="F53" s="42" t="s">
        <v>62</v>
      </c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1:24" ht="15.75" customHeight="1">
      <c r="A54" s="19"/>
      <c r="B54" s="26">
        <v>100</v>
      </c>
      <c r="C54" s="26">
        <v>18.89</v>
      </c>
      <c r="D54" s="27">
        <f t="shared" si="4"/>
        <v>0.8004237288135595</v>
      </c>
      <c r="E54" s="28">
        <f t="shared" si="5"/>
        <v>347.08</v>
      </c>
      <c r="F54" s="42" t="s">
        <v>58</v>
      </c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ht="15.75" customHeight="1">
      <c r="A55" s="19"/>
      <c r="B55" s="19"/>
      <c r="C55" s="33">
        <f>SUM(C46:C54)</f>
        <v>347.08</v>
      </c>
      <c r="D55" s="32" t="s">
        <v>9</v>
      </c>
      <c r="E55" s="33">
        <f>C55-C47</f>
        <v>153.01999999999998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</row>
    <row r="56" spans="1:24" ht="15.75" customHeight="1">
      <c r="A56" s="19"/>
      <c r="B56" s="19"/>
      <c r="C56" s="33">
        <f>C55/100</f>
        <v>3.4707999999999997</v>
      </c>
      <c r="D56" s="32" t="s">
        <v>12</v>
      </c>
      <c r="E56" s="34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</row>
    <row r="57" spans="1:24" ht="15.75" customHeight="1">
      <c r="A57" s="19"/>
      <c r="B57" s="19"/>
      <c r="C57" s="34"/>
      <c r="D57" s="37"/>
      <c r="E57" s="32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</row>
    <row r="58" spans="1:24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 spans="1:24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</row>
    <row r="60" spans="1:24" ht="15.75" customHeight="1">
      <c r="A60" s="19"/>
      <c r="B60" s="19"/>
      <c r="C60" s="31" t="s">
        <v>26</v>
      </c>
      <c r="D60" s="31" t="s">
        <v>27</v>
      </c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</row>
    <row r="61" spans="1:24" ht="15.75" customHeight="1">
      <c r="A61" s="19"/>
      <c r="B61" s="33" t="s">
        <v>15</v>
      </c>
      <c r="C61" s="38">
        <f>C55+C34+C17</f>
        <v>851.66000000000008</v>
      </c>
      <c r="D61" s="28">
        <f t="shared" ref="D61:D66" si="6">C61/100</f>
        <v>8.5166000000000004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</row>
    <row r="62" spans="1:24" ht="15.75" customHeight="1">
      <c r="A62" s="19"/>
      <c r="B62" s="52" t="s">
        <v>16</v>
      </c>
      <c r="C62" s="38">
        <f>C17-C10</f>
        <v>138.88</v>
      </c>
      <c r="D62" s="28">
        <f t="shared" si="6"/>
        <v>1.3888</v>
      </c>
      <c r="E62" s="27" t="s">
        <v>41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</row>
    <row r="63" spans="1:24" ht="15.75" customHeight="1">
      <c r="A63" s="19"/>
      <c r="B63" s="53"/>
      <c r="C63" s="38">
        <f>C34-C27</f>
        <v>135.00000000000006</v>
      </c>
      <c r="D63" s="28">
        <f t="shared" si="6"/>
        <v>1.3500000000000005</v>
      </c>
      <c r="E63" s="27" t="s">
        <v>42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</row>
    <row r="64" spans="1:24" ht="15.75" customHeight="1">
      <c r="A64" s="19"/>
      <c r="B64" s="54"/>
      <c r="C64" s="38">
        <f>C55-C47</f>
        <v>153.01999999999998</v>
      </c>
      <c r="D64" s="28">
        <f t="shared" si="6"/>
        <v>1.5301999999999998</v>
      </c>
      <c r="E64" s="27" t="s">
        <v>43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</row>
    <row r="65" spans="1:24" ht="15.75" customHeight="1">
      <c r="A65" s="19"/>
      <c r="B65" s="33" t="s">
        <v>20</v>
      </c>
      <c r="C65" s="38">
        <f>C61-C66-AVERAGE(C62:C64)</f>
        <v>362.28000000000009</v>
      </c>
      <c r="D65" s="28">
        <f t="shared" si="6"/>
        <v>3.6228000000000007</v>
      </c>
      <c r="E65" s="20"/>
      <c r="F65" s="19" t="s">
        <v>56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</row>
    <row r="66" spans="1:24" ht="15.75" customHeight="1">
      <c r="A66" s="19"/>
      <c r="B66" s="33" t="s">
        <v>21</v>
      </c>
      <c r="C66" s="38">
        <f>C55</f>
        <v>347.08</v>
      </c>
      <c r="D66" s="28">
        <f t="shared" si="6"/>
        <v>3.4707999999999997</v>
      </c>
      <c r="E66" s="20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</row>
    <row r="67" spans="1:24" ht="15.75" customHeight="1">
      <c r="A67" s="19"/>
      <c r="B67" s="42" t="s">
        <v>65</v>
      </c>
      <c r="C67" s="19"/>
      <c r="D67" s="19"/>
      <c r="E67" s="20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</row>
    <row r="68" spans="1:24" ht="15.75" customHeight="1">
      <c r="A68" s="19"/>
      <c r="B68" s="19"/>
      <c r="C68" s="19"/>
      <c r="D68" s="19"/>
      <c r="E68" s="20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</row>
    <row r="69" spans="1:24" ht="15.75" customHeight="1">
      <c r="A69" s="19"/>
      <c r="B69" s="19"/>
      <c r="C69" s="19"/>
      <c r="D69" s="19"/>
      <c r="E69" s="20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</row>
    <row r="70" spans="1:24" ht="15.75" customHeight="1">
      <c r="A70" s="19"/>
      <c r="B70" s="19"/>
      <c r="C70" s="19"/>
      <c r="D70" s="19"/>
      <c r="E70" s="20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</row>
    <row r="71" spans="1:24" ht="15.75" customHeight="1">
      <c r="A71" s="19"/>
      <c r="B71" s="19"/>
      <c r="C71" s="19"/>
      <c r="D71" s="19"/>
      <c r="E71" s="20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</row>
    <row r="72" spans="1:24" ht="15.75" customHeight="1">
      <c r="A72" s="19"/>
      <c r="B72" s="19"/>
      <c r="C72" s="19"/>
      <c r="D72" s="19"/>
      <c r="E72" s="20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</row>
    <row r="73" spans="1:24" ht="15.75" customHeight="1">
      <c r="A73" s="19"/>
      <c r="B73" s="19"/>
      <c r="C73" s="19"/>
      <c r="D73" s="19"/>
      <c r="E73" s="20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</row>
    <row r="74" spans="1:24" ht="15.75" customHeight="1">
      <c r="A74" s="19"/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</row>
    <row r="75" spans="1:24" ht="15.75" customHeight="1">
      <c r="A75" s="19"/>
      <c r="B75" s="19"/>
      <c r="C75" s="19"/>
      <c r="D75" s="19"/>
      <c r="E75" s="20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</row>
    <row r="76" spans="1:24" ht="15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</row>
    <row r="77" spans="1:24" ht="15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</row>
    <row r="78" spans="1:24" ht="15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</row>
    <row r="79" spans="1:24" ht="15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</row>
    <row r="80" spans="1:24" ht="15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</row>
    <row r="81" s="41" customFormat="1" ht="15" customHeight="1"/>
    <row r="82" s="41" customFormat="1" ht="15" customHeight="1"/>
    <row r="83" s="41" customFormat="1" ht="15" customHeight="1"/>
    <row r="84" s="41" customFormat="1" ht="15" customHeight="1"/>
    <row r="85" s="41" customFormat="1" ht="15" customHeight="1"/>
    <row r="86" s="41" customFormat="1" ht="15" customHeight="1"/>
    <row r="87" s="41" customFormat="1" ht="15" customHeight="1"/>
    <row r="88" s="41" customFormat="1" ht="15" customHeight="1"/>
    <row r="89" s="41" customFormat="1" ht="15" customHeight="1"/>
    <row r="90" s="41" customFormat="1" ht="15" customHeight="1"/>
    <row r="91" s="41" customFormat="1" ht="15" customHeight="1"/>
    <row r="92" s="41" customFormat="1" ht="15" customHeight="1"/>
    <row r="93" s="41" customFormat="1" ht="15" customHeight="1"/>
    <row r="94" s="41" customFormat="1" ht="15" customHeight="1"/>
    <row r="95" s="41" customFormat="1" ht="15" customHeight="1"/>
    <row r="96" s="41" customFormat="1" ht="15" customHeight="1"/>
    <row r="97" s="41" customFormat="1" ht="15" customHeight="1"/>
    <row r="98" s="41" customFormat="1" ht="15" customHeight="1"/>
    <row r="99" s="41" customFormat="1" ht="15" customHeight="1"/>
    <row r="100" s="41" customFormat="1" ht="15" customHeight="1"/>
    <row r="101" s="41" customFormat="1" ht="15" customHeight="1"/>
    <row r="102" s="41" customFormat="1" ht="15" customHeight="1"/>
    <row r="103" s="41" customFormat="1" ht="15" customHeight="1"/>
    <row r="104" s="41" customFormat="1" ht="15" customHeight="1"/>
    <row r="105" s="41" customFormat="1" ht="15" customHeight="1"/>
    <row r="106" s="41" customFormat="1" ht="15" customHeight="1"/>
    <row r="107" s="41" customFormat="1" ht="15" customHeight="1"/>
    <row r="108" s="41" customFormat="1" ht="15" customHeight="1"/>
    <row r="109" s="41" customFormat="1" ht="15" customHeight="1"/>
    <row r="110" s="41" customFormat="1" ht="15" customHeight="1"/>
    <row r="111" s="41" customFormat="1" ht="15" customHeight="1"/>
    <row r="112" s="41" customFormat="1" ht="15" customHeight="1"/>
    <row r="113" s="41" customFormat="1" ht="15" customHeight="1"/>
    <row r="114" s="41" customFormat="1" ht="15" customHeight="1"/>
    <row r="115" s="41" customFormat="1" ht="15" customHeight="1"/>
    <row r="116" s="41" customFormat="1" ht="15" customHeight="1"/>
    <row r="117" s="41" customFormat="1" ht="15" customHeight="1"/>
    <row r="118" s="41" customFormat="1" ht="15" customHeight="1"/>
    <row r="119" s="41" customFormat="1" ht="15" customHeight="1"/>
    <row r="120" s="41" customFormat="1" ht="15" customHeight="1"/>
    <row r="121" s="41" customFormat="1" ht="15" customHeight="1"/>
    <row r="122" s="41" customFormat="1" ht="15" customHeight="1"/>
    <row r="123" s="41" customFormat="1" ht="15" customHeight="1"/>
    <row r="124" s="41" customFormat="1" ht="15" customHeight="1"/>
    <row r="125" s="41" customFormat="1" ht="15" customHeight="1"/>
    <row r="126" s="41" customFormat="1" ht="15" customHeight="1"/>
    <row r="127" s="41" customFormat="1" ht="15" customHeight="1"/>
    <row r="128" s="41" customFormat="1" ht="15" customHeight="1"/>
    <row r="129" s="41" customFormat="1" ht="15" customHeight="1"/>
    <row r="130" s="41" customFormat="1" ht="15" customHeight="1"/>
    <row r="131" s="41" customFormat="1" ht="15" customHeight="1"/>
    <row r="132" s="41" customFormat="1" ht="15" customHeight="1"/>
    <row r="133" s="41" customFormat="1" ht="15" customHeight="1"/>
    <row r="134" s="41" customFormat="1" ht="15" customHeight="1"/>
    <row r="135" s="41" customFormat="1" ht="15" customHeight="1"/>
    <row r="136" s="41" customFormat="1" ht="15" customHeight="1"/>
    <row r="137" s="41" customFormat="1" ht="15" customHeight="1"/>
    <row r="138" s="41" customFormat="1" ht="15" customHeight="1"/>
    <row r="139" s="41" customFormat="1" ht="15" customHeight="1"/>
    <row r="140" s="41" customFormat="1" ht="15" customHeight="1"/>
    <row r="141" s="41" customFormat="1" ht="15" customHeight="1"/>
    <row r="142" s="41" customFormat="1" ht="15" customHeight="1"/>
    <row r="143" s="41" customFormat="1" ht="15" customHeight="1"/>
    <row r="144" s="41" customFormat="1" ht="15" customHeight="1"/>
    <row r="145" s="41" customFormat="1" ht="15" customHeight="1"/>
    <row r="146" s="41" customFormat="1" ht="15" customHeight="1"/>
    <row r="147" s="41" customFormat="1" ht="15" customHeight="1"/>
    <row r="148" s="41" customFormat="1" ht="15" customHeight="1"/>
    <row r="149" s="41" customFormat="1" ht="15" customHeight="1"/>
    <row r="150" s="41" customFormat="1" ht="15" customHeight="1"/>
    <row r="151" s="41" customFormat="1" ht="15" customHeight="1"/>
    <row r="152" s="41" customFormat="1" ht="15" customHeight="1"/>
    <row r="153" s="41" customFormat="1" ht="15" customHeight="1"/>
    <row r="154" s="41" customFormat="1" ht="15" customHeight="1"/>
    <row r="155" s="41" customFormat="1" ht="15" customHeight="1"/>
    <row r="156" s="41" customFormat="1" ht="15" customHeight="1"/>
    <row r="157" s="41" customFormat="1" ht="15" customHeight="1"/>
    <row r="158" s="41" customFormat="1" ht="15" customHeight="1"/>
    <row r="159" s="41" customFormat="1" ht="15" customHeight="1"/>
    <row r="160" s="41" customFormat="1" ht="15" customHeight="1"/>
    <row r="161" s="41" customFormat="1" ht="15" customHeight="1"/>
    <row r="162" s="41" customFormat="1" ht="15" customHeight="1"/>
    <row r="163" s="41" customFormat="1" ht="15" customHeight="1"/>
    <row r="164" s="41" customFormat="1" ht="15" customHeight="1"/>
    <row r="165" s="41" customFormat="1" ht="15" customHeight="1"/>
    <row r="166" s="41" customFormat="1" ht="15" customHeight="1"/>
    <row r="167" s="41" customFormat="1" ht="15" customHeight="1"/>
    <row r="168" s="41" customFormat="1" ht="15" customHeight="1"/>
    <row r="169" s="41" customFormat="1" ht="15" customHeight="1"/>
    <row r="170" s="41" customFormat="1" ht="15" customHeight="1"/>
    <row r="171" s="41" customFormat="1" ht="15" customHeight="1"/>
    <row r="172" s="41" customFormat="1" ht="15" customHeight="1"/>
    <row r="173" s="41" customFormat="1" ht="15" customHeight="1"/>
    <row r="174" s="41" customFormat="1" ht="15" customHeight="1"/>
    <row r="175" s="41" customFormat="1" ht="15" customHeight="1"/>
    <row r="176" s="41" customFormat="1" ht="15" customHeight="1"/>
    <row r="177" s="41" customFormat="1" ht="15" customHeight="1"/>
    <row r="178" s="41" customFormat="1" ht="15" customHeight="1"/>
    <row r="179" s="41" customFormat="1" ht="15" customHeight="1"/>
    <row r="180" s="41" customFormat="1" ht="15" customHeight="1"/>
    <row r="181" s="41" customFormat="1" ht="15" customHeight="1"/>
    <row r="182" s="41" customFormat="1" ht="15" customHeight="1"/>
    <row r="183" s="41" customFormat="1" ht="15" customHeight="1"/>
    <row r="184" s="41" customFormat="1" ht="15" customHeight="1"/>
    <row r="185" s="41" customFormat="1" ht="15" customHeight="1"/>
    <row r="186" s="41" customFormat="1" ht="15" customHeight="1"/>
    <row r="187" s="41" customFormat="1" ht="15" customHeight="1"/>
    <row r="188" s="41" customFormat="1" ht="15" customHeight="1"/>
    <row r="189" s="41" customFormat="1" ht="15" customHeight="1"/>
    <row r="190" s="41" customFormat="1" ht="15" customHeight="1"/>
    <row r="191" s="41" customFormat="1" ht="15" customHeight="1"/>
    <row r="192" s="41" customFormat="1" ht="15" customHeight="1"/>
    <row r="193" s="41" customFormat="1" ht="15" customHeight="1"/>
    <row r="194" s="41" customFormat="1" ht="15" customHeight="1"/>
    <row r="195" s="41" customFormat="1" ht="15" customHeight="1"/>
    <row r="196" s="41" customFormat="1" ht="15" customHeight="1"/>
    <row r="197" s="41" customFormat="1" ht="15" customHeight="1"/>
    <row r="198" s="41" customFormat="1" ht="15" customHeight="1"/>
    <row r="199" s="41" customFormat="1" ht="15" customHeight="1"/>
    <row r="200" s="41" customFormat="1" ht="15" customHeight="1"/>
    <row r="201" s="41" customFormat="1" ht="15" customHeight="1"/>
    <row r="202" s="41" customFormat="1" ht="15" customHeight="1"/>
    <row r="203" s="41" customFormat="1" ht="15" customHeight="1"/>
    <row r="204" s="41" customFormat="1" ht="15" customHeight="1"/>
    <row r="205" s="41" customFormat="1" ht="15" customHeight="1"/>
    <row r="206" s="41" customFormat="1" ht="15" customHeight="1"/>
    <row r="207" s="41" customFormat="1" ht="15" customHeight="1"/>
    <row r="208" s="41" customFormat="1" ht="15" customHeight="1"/>
    <row r="209" s="41" customFormat="1" ht="15" customHeight="1"/>
    <row r="210" s="41" customFormat="1" ht="15" customHeight="1"/>
    <row r="211" s="41" customFormat="1" ht="15" customHeight="1"/>
    <row r="212" s="41" customFormat="1" ht="15" customHeight="1"/>
    <row r="213" s="41" customFormat="1" ht="15" customHeight="1"/>
    <row r="214" s="41" customFormat="1" ht="15" customHeight="1"/>
    <row r="215" s="41" customFormat="1" ht="15" customHeight="1"/>
    <row r="216" s="41" customFormat="1" ht="15" customHeight="1"/>
    <row r="217" s="41" customFormat="1" ht="15" customHeight="1"/>
    <row r="218" s="41" customFormat="1" ht="15" customHeight="1"/>
    <row r="219" s="41" customFormat="1" ht="15" customHeight="1"/>
    <row r="220" s="41" customFormat="1" ht="15" customHeight="1"/>
    <row r="221" s="41" customFormat="1" ht="15" customHeight="1"/>
    <row r="222" s="41" customFormat="1" ht="15" customHeight="1"/>
    <row r="223" s="41" customFormat="1" ht="15" customHeight="1"/>
    <row r="224" s="41" customFormat="1" ht="15" customHeight="1"/>
    <row r="225" s="41" customFormat="1" ht="15" customHeight="1"/>
    <row r="226" s="41" customFormat="1" ht="15" customHeight="1"/>
    <row r="227" s="41" customFormat="1" ht="15" customHeight="1"/>
    <row r="228" s="41" customFormat="1" ht="15" customHeight="1"/>
    <row r="229" s="41" customFormat="1" ht="15" customHeight="1"/>
    <row r="230" s="41" customFormat="1" ht="15" customHeight="1"/>
    <row r="231" s="41" customFormat="1" ht="15" customHeight="1"/>
    <row r="232" s="41" customFormat="1" ht="15" customHeight="1"/>
    <row r="233" s="41" customFormat="1" ht="15" customHeight="1"/>
    <row r="234" s="41" customFormat="1" ht="15" customHeight="1"/>
    <row r="235" s="41" customFormat="1" ht="15" customHeight="1"/>
    <row r="236" s="41" customFormat="1" ht="15" customHeight="1"/>
    <row r="237" s="41" customFormat="1" ht="15" customHeight="1"/>
    <row r="238" s="41" customFormat="1" ht="15" customHeight="1"/>
    <row r="239" s="41" customFormat="1" ht="15" customHeight="1"/>
    <row r="240" s="41" customFormat="1" ht="15" customHeight="1"/>
    <row r="241" s="41" customFormat="1" ht="15" customHeight="1"/>
    <row r="242" s="41" customFormat="1" ht="15" customHeight="1"/>
    <row r="243" s="41" customFormat="1" ht="15" customHeight="1"/>
    <row r="244" s="41" customFormat="1" ht="15" customHeight="1"/>
    <row r="245" s="41" customFormat="1" ht="15" customHeight="1"/>
    <row r="246" s="41" customFormat="1" ht="15" customHeight="1"/>
    <row r="247" s="41" customFormat="1" ht="15" customHeight="1"/>
    <row r="248" s="41" customFormat="1" ht="15" customHeight="1"/>
    <row r="249" s="41" customFormat="1" ht="15" customHeight="1"/>
    <row r="250" s="41" customFormat="1" ht="15" customHeight="1"/>
    <row r="251" s="41" customFormat="1" ht="15" customHeight="1"/>
    <row r="252" s="41" customFormat="1" ht="15" customHeight="1"/>
    <row r="253" s="41" customFormat="1" ht="15" customHeight="1"/>
    <row r="254" s="41" customFormat="1" ht="15" customHeight="1"/>
    <row r="255" s="41" customFormat="1" ht="15" customHeight="1"/>
    <row r="256" s="41" customFormat="1" ht="15" customHeight="1"/>
    <row r="257" s="41" customFormat="1" ht="15" customHeight="1"/>
    <row r="258" s="41" customFormat="1" ht="15" customHeight="1"/>
    <row r="259" s="41" customFormat="1" ht="15" customHeight="1"/>
    <row r="260" s="41" customFormat="1" ht="15" customHeight="1"/>
    <row r="261" s="41" customFormat="1" ht="15" customHeight="1"/>
    <row r="262" s="41" customFormat="1" ht="15" customHeight="1"/>
    <row r="263" s="41" customFormat="1" ht="15" customHeight="1"/>
    <row r="264" s="41" customFormat="1" ht="15" customHeight="1"/>
    <row r="265" s="41" customFormat="1" ht="15" customHeight="1"/>
    <row r="266" s="41" customFormat="1" ht="15" customHeight="1"/>
    <row r="267" s="41" customFormat="1" ht="15" customHeight="1"/>
    <row r="268" s="41" customFormat="1" ht="15" customHeight="1"/>
    <row r="269" s="41" customFormat="1" ht="15" customHeight="1"/>
    <row r="270" s="41" customFormat="1" ht="15" customHeight="1"/>
    <row r="271" s="41" customFormat="1" ht="15" customHeight="1"/>
    <row r="272" s="41" customFormat="1" ht="15" customHeight="1"/>
    <row r="273" s="41" customFormat="1" ht="15" customHeight="1"/>
    <row r="274" s="41" customFormat="1" ht="15" customHeight="1"/>
    <row r="275" s="41" customFormat="1" ht="15" customHeight="1"/>
    <row r="276" s="41" customFormat="1" ht="15" customHeight="1"/>
    <row r="277" s="41" customFormat="1" ht="15" customHeight="1"/>
    <row r="278" s="41" customFormat="1" ht="15" customHeight="1"/>
    <row r="279" s="41" customFormat="1" ht="15" customHeight="1"/>
    <row r="280" s="41" customFormat="1" ht="15" customHeight="1"/>
    <row r="281" s="41" customFormat="1" ht="15" customHeight="1"/>
    <row r="282" s="41" customFormat="1" ht="15" customHeight="1"/>
    <row r="283" s="41" customFormat="1" ht="15" customHeight="1"/>
    <row r="284" s="41" customFormat="1" ht="15" customHeight="1"/>
    <row r="285" s="41" customFormat="1" ht="15" customHeight="1"/>
    <row r="286" s="41" customFormat="1" ht="15" customHeight="1"/>
    <row r="287" s="41" customFormat="1" ht="15" customHeight="1"/>
    <row r="288" s="41" customFormat="1" ht="15" customHeight="1"/>
    <row r="289" s="41" customFormat="1" ht="15" customHeight="1"/>
    <row r="290" s="41" customFormat="1" ht="15" customHeight="1"/>
    <row r="291" s="41" customFormat="1" ht="15" customHeight="1"/>
    <row r="292" s="41" customFormat="1" ht="15" customHeight="1"/>
    <row r="293" s="41" customFormat="1" ht="15" customHeight="1"/>
    <row r="294" s="41" customFormat="1" ht="15" customHeight="1"/>
    <row r="295" s="41" customFormat="1" ht="15" customHeight="1"/>
    <row r="296" s="41" customFormat="1" ht="15" customHeight="1"/>
    <row r="297" s="41" customFormat="1" ht="15" customHeight="1"/>
    <row r="298" s="41" customFormat="1" ht="15" customHeight="1"/>
    <row r="299" s="41" customFormat="1" ht="15" customHeight="1"/>
    <row r="300" s="41" customFormat="1" ht="15" customHeight="1"/>
    <row r="301" s="41" customFormat="1" ht="15" customHeight="1"/>
    <row r="302" s="41" customFormat="1" ht="15" customHeight="1"/>
    <row r="303" s="41" customFormat="1" ht="15" customHeight="1"/>
    <row r="304" s="41" customFormat="1" ht="15" customHeight="1"/>
    <row r="305" s="41" customFormat="1" ht="15" customHeight="1"/>
    <row r="306" s="41" customFormat="1" ht="15" customHeight="1"/>
    <row r="307" s="41" customFormat="1" ht="15" customHeight="1"/>
    <row r="308" s="41" customFormat="1" ht="15" customHeight="1"/>
    <row r="309" s="41" customFormat="1" ht="15" customHeight="1"/>
    <row r="310" s="41" customFormat="1" ht="15" customHeight="1"/>
    <row r="311" s="41" customFormat="1" ht="15" customHeight="1"/>
    <row r="312" s="41" customFormat="1" ht="15" customHeight="1"/>
    <row r="313" s="41" customFormat="1" ht="15" customHeight="1"/>
    <row r="314" s="41" customFormat="1" ht="15" customHeight="1"/>
    <row r="315" s="41" customFormat="1" ht="15" customHeight="1"/>
    <row r="316" s="41" customFormat="1" ht="15" customHeight="1"/>
    <row r="317" s="41" customFormat="1" ht="15" customHeight="1"/>
    <row r="318" s="41" customFormat="1" ht="15" customHeight="1"/>
    <row r="319" s="41" customFormat="1" ht="15" customHeight="1"/>
    <row r="320" s="41" customFormat="1" ht="15" customHeight="1"/>
    <row r="321" s="41" customFormat="1" ht="15" customHeight="1"/>
    <row r="322" s="41" customFormat="1" ht="15" customHeight="1"/>
    <row r="323" s="41" customFormat="1" ht="15" customHeight="1"/>
    <row r="324" s="41" customFormat="1" ht="15" customHeight="1"/>
    <row r="325" s="41" customFormat="1" ht="15" customHeight="1"/>
    <row r="326" s="41" customFormat="1" ht="15" customHeight="1"/>
    <row r="327" s="41" customFormat="1" ht="15" customHeight="1"/>
    <row r="328" s="41" customFormat="1" ht="15" customHeight="1"/>
    <row r="329" s="41" customFormat="1" ht="15" customHeight="1"/>
    <row r="330" s="41" customFormat="1" ht="15" customHeight="1"/>
    <row r="331" s="41" customFormat="1" ht="15" customHeight="1"/>
    <row r="332" s="41" customFormat="1" ht="15" customHeight="1"/>
    <row r="333" s="41" customFormat="1" ht="15" customHeight="1"/>
    <row r="334" s="41" customFormat="1" ht="15" customHeight="1"/>
    <row r="335" s="41" customFormat="1" ht="15" customHeight="1"/>
    <row r="336" s="41" customFormat="1" ht="15" customHeight="1"/>
    <row r="337" s="41" customFormat="1" ht="15" customHeight="1"/>
    <row r="338" s="41" customFormat="1" ht="15" customHeight="1"/>
    <row r="339" s="41" customFormat="1" ht="15" customHeight="1"/>
    <row r="340" s="41" customFormat="1" ht="15" customHeight="1"/>
    <row r="341" s="41" customFormat="1" ht="15" customHeight="1"/>
    <row r="342" s="41" customFormat="1" ht="15" customHeight="1"/>
    <row r="343" s="41" customFormat="1" ht="15" customHeight="1"/>
    <row r="344" s="41" customFormat="1" ht="15" customHeight="1"/>
    <row r="345" s="41" customFormat="1" ht="15" customHeight="1"/>
    <row r="346" s="41" customFormat="1" ht="15" customHeight="1"/>
    <row r="347" s="41" customFormat="1" ht="15" customHeight="1"/>
    <row r="348" s="41" customFormat="1" ht="15" customHeight="1"/>
    <row r="349" s="41" customFormat="1" ht="15" customHeight="1"/>
    <row r="350" s="41" customFormat="1" ht="15" customHeight="1"/>
    <row r="351" s="41" customFormat="1" ht="15" customHeight="1"/>
    <row r="352" s="41" customFormat="1" ht="15" customHeight="1"/>
    <row r="353" s="41" customFormat="1" ht="15" customHeight="1"/>
    <row r="354" s="41" customFormat="1" ht="15" customHeight="1"/>
    <row r="355" s="41" customFormat="1" ht="15" customHeight="1"/>
    <row r="356" s="41" customFormat="1" ht="15" customHeight="1"/>
    <row r="357" s="41" customFormat="1" ht="15" customHeight="1"/>
    <row r="358" s="41" customFormat="1" ht="15" customHeight="1"/>
    <row r="359" s="41" customFormat="1" ht="15" customHeight="1"/>
    <row r="360" s="41" customFormat="1" ht="15" customHeight="1"/>
    <row r="361" s="41" customFormat="1" ht="15" customHeight="1"/>
    <row r="362" s="41" customFormat="1" ht="15" customHeight="1"/>
    <row r="363" s="41" customFormat="1" ht="15" customHeight="1"/>
    <row r="364" s="41" customFormat="1" ht="15" customHeight="1"/>
    <row r="365" s="41" customFormat="1" ht="15" customHeight="1"/>
    <row r="366" s="41" customFormat="1" ht="15" customHeight="1"/>
    <row r="367" s="41" customFormat="1" ht="15" customHeight="1"/>
    <row r="368" s="41" customFormat="1" ht="15" customHeight="1"/>
    <row r="369" s="41" customFormat="1" ht="15" customHeight="1"/>
    <row r="370" s="41" customFormat="1" ht="15" customHeight="1"/>
    <row r="371" s="41" customFormat="1" ht="15" customHeight="1"/>
    <row r="372" s="41" customFormat="1" ht="15" customHeight="1"/>
    <row r="373" s="41" customFormat="1" ht="15" customHeight="1"/>
    <row r="374" s="41" customFormat="1" ht="15" customHeight="1"/>
    <row r="375" s="41" customFormat="1" ht="15" customHeight="1"/>
    <row r="376" s="41" customFormat="1" ht="15" customHeight="1"/>
    <row r="377" s="41" customFormat="1" ht="15" customHeight="1"/>
    <row r="378" s="41" customFormat="1" ht="15" customHeight="1"/>
    <row r="379" s="41" customFormat="1" ht="15" customHeight="1"/>
    <row r="380" s="41" customFormat="1" ht="15" customHeight="1"/>
    <row r="381" s="41" customFormat="1" ht="15" customHeight="1"/>
    <row r="382" s="41" customFormat="1" ht="15" customHeight="1"/>
    <row r="383" s="41" customFormat="1" ht="15" customHeight="1"/>
    <row r="384" s="41" customFormat="1" ht="15" customHeight="1"/>
    <row r="385" s="41" customFormat="1" ht="15" customHeight="1"/>
    <row r="386" s="41" customFormat="1" ht="15" customHeight="1"/>
    <row r="387" s="41" customFormat="1" ht="15" customHeight="1"/>
    <row r="388" s="41" customFormat="1" ht="15" customHeight="1"/>
    <row r="389" s="41" customFormat="1" ht="15" customHeight="1"/>
    <row r="390" s="41" customFormat="1" ht="15" customHeight="1"/>
    <row r="391" s="41" customFormat="1" ht="15" customHeight="1"/>
    <row r="392" s="41" customFormat="1" ht="15" customHeight="1"/>
    <row r="393" s="41" customFormat="1" ht="15" customHeight="1"/>
    <row r="394" s="41" customFormat="1" ht="15" customHeight="1"/>
    <row r="395" s="41" customFormat="1" ht="15" customHeight="1"/>
    <row r="396" s="41" customFormat="1" ht="15" customHeight="1"/>
    <row r="397" s="41" customFormat="1" ht="15" customHeight="1"/>
    <row r="398" s="41" customFormat="1" ht="15" customHeight="1"/>
    <row r="399" s="41" customFormat="1" ht="15" customHeight="1"/>
    <row r="400" s="41" customFormat="1" ht="15" customHeight="1"/>
    <row r="401" s="41" customFormat="1" ht="15" customHeight="1"/>
    <row r="402" s="41" customFormat="1" ht="15" customHeight="1"/>
    <row r="403" s="41" customFormat="1" ht="15" customHeight="1"/>
    <row r="404" s="41" customFormat="1" ht="15" customHeight="1"/>
    <row r="405" s="41" customFormat="1" ht="15" customHeight="1"/>
    <row r="406" s="41" customFormat="1" ht="15" customHeight="1"/>
    <row r="407" s="41" customFormat="1" ht="15" customHeight="1"/>
    <row r="408" s="41" customFormat="1" ht="15" customHeight="1"/>
    <row r="409" s="41" customFormat="1" ht="15" customHeight="1"/>
    <row r="410" s="41" customFormat="1" ht="15" customHeight="1"/>
    <row r="411" s="41" customFormat="1" ht="15" customHeight="1"/>
    <row r="412" s="41" customFormat="1" ht="15" customHeight="1"/>
    <row r="413" s="41" customFormat="1" ht="15" customHeight="1"/>
    <row r="414" s="41" customFormat="1" ht="15" customHeight="1"/>
    <row r="415" s="41" customFormat="1" ht="15" customHeight="1"/>
    <row r="416" s="41" customFormat="1" ht="15" customHeight="1"/>
    <row r="417" s="41" customFormat="1" ht="15" customHeight="1"/>
    <row r="418" s="41" customFormat="1" ht="15" customHeight="1"/>
    <row r="419" s="41" customFormat="1" ht="15" customHeight="1"/>
    <row r="420" s="41" customFormat="1" ht="15" customHeight="1"/>
    <row r="421" s="41" customFormat="1" ht="15" customHeight="1"/>
    <row r="422" s="41" customFormat="1" ht="15" customHeight="1"/>
    <row r="423" s="41" customFormat="1" ht="15" customHeight="1"/>
    <row r="424" s="41" customFormat="1" ht="15" customHeight="1"/>
    <row r="425" s="41" customFormat="1" ht="15" customHeight="1"/>
    <row r="426" s="41" customFormat="1" ht="15" customHeight="1"/>
    <row r="427" s="41" customFormat="1" ht="15" customHeight="1"/>
    <row r="428" s="41" customFormat="1" ht="15" customHeight="1"/>
    <row r="429" s="41" customFormat="1" ht="15" customHeight="1"/>
    <row r="430" s="41" customFormat="1" ht="15" customHeight="1"/>
    <row r="431" s="41" customFormat="1" ht="15" customHeight="1"/>
    <row r="432" s="41" customFormat="1" ht="15" customHeight="1"/>
    <row r="433" s="41" customFormat="1" ht="15" customHeight="1"/>
    <row r="434" s="41" customFormat="1" ht="15" customHeight="1"/>
    <row r="435" s="41" customFormat="1" ht="15" customHeight="1"/>
    <row r="436" s="41" customFormat="1" ht="15" customHeight="1"/>
    <row r="437" s="41" customFormat="1" ht="15" customHeight="1"/>
    <row r="438" s="41" customFormat="1" ht="15" customHeight="1"/>
    <row r="439" s="41" customFormat="1" ht="15" customHeight="1"/>
    <row r="440" s="41" customFormat="1" ht="15" customHeight="1"/>
    <row r="441" s="41" customFormat="1" ht="15" customHeight="1"/>
    <row r="442" s="41" customFormat="1" ht="15" customHeight="1"/>
    <row r="443" s="41" customFormat="1" ht="15" customHeight="1"/>
    <row r="444" s="41" customFormat="1" ht="15" customHeight="1"/>
    <row r="445" s="41" customFormat="1" ht="15" customHeight="1"/>
    <row r="446" s="41" customFormat="1" ht="15" customHeight="1"/>
    <row r="447" s="41" customFormat="1" ht="15" customHeight="1"/>
    <row r="448" s="41" customFormat="1" ht="15" customHeight="1"/>
    <row r="449" s="41" customFormat="1" ht="15" customHeight="1"/>
    <row r="450" s="41" customFormat="1" ht="15" customHeight="1"/>
    <row r="451" s="41" customFormat="1" ht="15" customHeight="1"/>
    <row r="452" s="41" customFormat="1" ht="15" customHeight="1"/>
    <row r="453" s="41" customFormat="1" ht="15" customHeight="1"/>
    <row r="454" s="41" customFormat="1" ht="15" customHeight="1"/>
    <row r="455" s="41" customFormat="1" ht="15" customHeight="1"/>
    <row r="456" s="41" customFormat="1" ht="15" customHeight="1"/>
    <row r="457" s="41" customFormat="1" ht="15" customHeight="1"/>
    <row r="458" s="41" customFormat="1" ht="15" customHeight="1"/>
    <row r="459" s="41" customFormat="1" ht="15" customHeight="1"/>
    <row r="460" s="41" customFormat="1" ht="15" customHeight="1"/>
    <row r="461" s="41" customFormat="1" ht="15" customHeight="1"/>
    <row r="462" s="41" customFormat="1" ht="15" customHeight="1"/>
    <row r="463" s="41" customFormat="1" ht="15" customHeight="1"/>
    <row r="464" s="41" customFormat="1" ht="15" customHeight="1"/>
    <row r="465" s="41" customFormat="1" ht="15" customHeight="1"/>
    <row r="466" s="41" customFormat="1" ht="15" customHeight="1"/>
    <row r="467" s="41" customFormat="1" ht="15" customHeight="1"/>
    <row r="468" s="41" customFormat="1" ht="15" customHeight="1"/>
    <row r="469" s="41" customFormat="1" ht="15" customHeight="1"/>
    <row r="470" s="41" customFormat="1" ht="15" customHeight="1"/>
    <row r="471" s="41" customFormat="1" ht="15" customHeight="1"/>
    <row r="472" s="41" customFormat="1" ht="15" customHeight="1"/>
    <row r="473" s="41" customFormat="1" ht="15" customHeight="1"/>
    <row r="474" s="41" customFormat="1" ht="15" customHeight="1"/>
    <row r="475" s="41" customFormat="1" ht="15" customHeight="1"/>
    <row r="476" s="41" customFormat="1" ht="15" customHeight="1"/>
    <row r="477" s="41" customFormat="1" ht="15" customHeight="1"/>
    <row r="478" s="41" customFormat="1" ht="15" customHeight="1"/>
    <row r="479" s="41" customFormat="1" ht="15" customHeight="1"/>
    <row r="480" s="41" customFormat="1" ht="15" customHeight="1"/>
    <row r="481" s="41" customFormat="1" ht="15" customHeight="1"/>
    <row r="482" s="41" customFormat="1" ht="15" customHeight="1"/>
    <row r="483" s="41" customFormat="1" ht="15" customHeight="1"/>
    <row r="484" s="41" customFormat="1" ht="15" customHeight="1"/>
    <row r="485" s="41" customFormat="1" ht="15" customHeight="1"/>
    <row r="486" s="41" customFormat="1" ht="15" customHeight="1"/>
    <row r="487" s="41" customFormat="1" ht="15" customHeight="1"/>
    <row r="488" s="41" customFormat="1" ht="15" customHeight="1"/>
    <row r="489" s="41" customFormat="1" ht="15" customHeight="1"/>
    <row r="490" s="41" customFormat="1" ht="15" customHeight="1"/>
    <row r="491" s="41" customFormat="1" ht="15" customHeight="1"/>
    <row r="492" s="41" customFormat="1" ht="15" customHeight="1"/>
    <row r="493" s="41" customFormat="1" ht="15" customHeight="1"/>
    <row r="494" s="41" customFormat="1" ht="15" customHeight="1"/>
    <row r="495" s="41" customFormat="1" ht="15" customHeight="1"/>
    <row r="496" s="41" customFormat="1" ht="15" customHeight="1"/>
    <row r="497" s="41" customFormat="1" ht="15" customHeight="1"/>
    <row r="498" s="41" customFormat="1" ht="15" customHeight="1"/>
    <row r="499" s="41" customFormat="1" ht="15" customHeight="1"/>
    <row r="500" s="41" customFormat="1" ht="15" customHeight="1"/>
    <row r="501" s="41" customFormat="1" ht="15" customHeight="1"/>
    <row r="502" s="41" customFormat="1" ht="15" customHeight="1"/>
    <row r="503" s="41" customFormat="1" ht="15" customHeight="1"/>
    <row r="504" s="41" customFormat="1" ht="15" customHeight="1"/>
    <row r="505" s="41" customFormat="1" ht="15" customHeight="1"/>
    <row r="506" s="41" customFormat="1" ht="15" customHeight="1"/>
    <row r="507" s="41" customFormat="1" ht="15" customHeight="1"/>
    <row r="508" s="41" customFormat="1" ht="15" customHeight="1"/>
    <row r="509" s="41" customFormat="1" ht="15" customHeight="1"/>
    <row r="510" s="41" customFormat="1" ht="15" customHeight="1"/>
    <row r="511" s="41" customFormat="1" ht="15" customHeight="1"/>
    <row r="512" s="41" customFormat="1" ht="15" customHeight="1"/>
    <row r="513" s="41" customFormat="1" ht="15" customHeight="1"/>
    <row r="514" s="41" customFormat="1" ht="15" customHeight="1"/>
    <row r="515" s="41" customFormat="1" ht="15" customHeight="1"/>
    <row r="516" s="41" customFormat="1" ht="15" customHeight="1"/>
    <row r="517" s="41" customFormat="1" ht="15" customHeight="1"/>
    <row r="518" s="41" customFormat="1" ht="15" customHeight="1"/>
    <row r="519" s="41" customFormat="1" ht="15" customHeight="1"/>
    <row r="520" s="41" customFormat="1" ht="15" customHeight="1"/>
    <row r="521" s="41" customFormat="1" ht="15" customHeight="1"/>
    <row r="522" s="41" customFormat="1" ht="15" customHeight="1"/>
    <row r="523" s="41" customFormat="1" ht="15" customHeight="1"/>
    <row r="524" s="41" customFormat="1" ht="15" customHeight="1"/>
    <row r="525" s="41" customFormat="1" ht="15" customHeight="1"/>
    <row r="526" s="41" customFormat="1" ht="15" customHeight="1"/>
    <row r="527" s="41" customFormat="1" ht="15" customHeight="1"/>
    <row r="528" s="41" customFormat="1" ht="15" customHeight="1"/>
    <row r="529" s="41" customFormat="1" ht="15" customHeight="1"/>
    <row r="530" s="41" customFormat="1" ht="15" customHeight="1"/>
    <row r="531" s="41" customFormat="1" ht="15" customHeight="1"/>
    <row r="532" s="41" customFormat="1" ht="15" customHeight="1"/>
    <row r="533" s="41" customFormat="1" ht="15" customHeight="1"/>
    <row r="534" s="41" customFormat="1" ht="15" customHeight="1"/>
    <row r="535" s="41" customFormat="1" ht="15" customHeight="1"/>
    <row r="536" s="41" customFormat="1" ht="15" customHeight="1"/>
    <row r="537" s="41" customFormat="1" ht="15" customHeight="1"/>
    <row r="538" s="41" customFormat="1" ht="15" customHeight="1"/>
    <row r="539" s="41" customFormat="1" ht="15" customHeight="1"/>
    <row r="540" s="41" customFormat="1" ht="15" customHeight="1"/>
    <row r="541" s="41" customFormat="1" ht="15" customHeight="1"/>
    <row r="542" s="41" customFormat="1" ht="15" customHeight="1"/>
    <row r="543" s="41" customFormat="1" ht="15" customHeight="1"/>
    <row r="544" s="41" customFormat="1" ht="15" customHeight="1"/>
    <row r="545" s="41" customFormat="1" ht="15" customHeight="1"/>
    <row r="546" s="41" customFormat="1" ht="15" customHeight="1"/>
    <row r="547" s="41" customFormat="1" ht="15" customHeight="1"/>
    <row r="548" s="41" customFormat="1" ht="15" customHeight="1"/>
    <row r="549" s="41" customFormat="1" ht="15" customHeight="1"/>
    <row r="550" s="41" customFormat="1" ht="15" customHeight="1"/>
    <row r="551" s="41" customFormat="1" ht="15" customHeight="1"/>
    <row r="552" s="41" customFormat="1" ht="15" customHeight="1"/>
    <row r="553" s="41" customFormat="1" ht="15" customHeight="1"/>
    <row r="554" s="41" customFormat="1" ht="15" customHeight="1"/>
    <row r="555" s="41" customFormat="1" ht="15" customHeight="1"/>
    <row r="556" s="41" customFormat="1" ht="15" customHeight="1"/>
    <row r="557" s="41" customFormat="1" ht="15" customHeight="1"/>
    <row r="558" s="41" customFormat="1" ht="15" customHeight="1"/>
    <row r="559" s="41" customFormat="1" ht="15" customHeight="1"/>
    <row r="560" s="41" customFormat="1" ht="15" customHeight="1"/>
    <row r="561" s="41" customFormat="1" ht="15" customHeight="1"/>
    <row r="562" s="41" customFormat="1" ht="15" customHeight="1"/>
    <row r="563" s="41" customFormat="1" ht="15" customHeight="1"/>
    <row r="564" s="41" customFormat="1" ht="15" customHeight="1"/>
    <row r="565" s="41" customFormat="1" ht="15" customHeight="1"/>
    <row r="566" s="41" customFormat="1" ht="15" customHeight="1"/>
    <row r="567" s="41" customFormat="1" ht="15" customHeight="1"/>
    <row r="568" s="41" customFormat="1" ht="15" customHeight="1"/>
    <row r="569" s="41" customFormat="1" ht="15" customHeight="1"/>
    <row r="570" s="41" customFormat="1" ht="15" customHeight="1"/>
    <row r="571" s="41" customFormat="1" ht="15" customHeight="1"/>
    <row r="572" s="41" customFormat="1" ht="15" customHeight="1"/>
    <row r="573" s="41" customFormat="1" ht="15" customHeight="1"/>
    <row r="574" s="41" customFormat="1" ht="15" customHeight="1"/>
    <row r="575" s="41" customFormat="1" ht="15" customHeight="1"/>
    <row r="576" s="41" customFormat="1" ht="15" customHeight="1"/>
    <row r="577" s="41" customFormat="1" ht="15" customHeight="1"/>
    <row r="578" s="41" customFormat="1" ht="15" customHeight="1"/>
    <row r="579" s="41" customFormat="1" ht="15" customHeight="1"/>
    <row r="580" s="41" customFormat="1" ht="15" customHeight="1"/>
    <row r="581" s="41" customFormat="1" ht="15" customHeight="1"/>
    <row r="582" s="41" customFormat="1" ht="15" customHeight="1"/>
    <row r="583" s="41" customFormat="1" ht="15" customHeight="1"/>
    <row r="584" s="41" customFormat="1" ht="15" customHeight="1"/>
    <row r="585" s="41" customFormat="1" ht="15" customHeight="1"/>
    <row r="586" s="41" customFormat="1" ht="15" customHeight="1"/>
    <row r="587" s="41" customFormat="1" ht="15" customHeight="1"/>
    <row r="588" s="41" customFormat="1" ht="15" customHeight="1"/>
    <row r="589" s="41" customFormat="1" ht="15" customHeight="1"/>
    <row r="590" s="41" customFormat="1" ht="15" customHeight="1"/>
    <row r="591" s="41" customFormat="1" ht="15" customHeight="1"/>
    <row r="592" s="41" customFormat="1" ht="15" customHeight="1"/>
    <row r="593" s="41" customFormat="1" ht="15" customHeight="1"/>
    <row r="594" s="41" customFormat="1" ht="15" customHeight="1"/>
    <row r="595" s="41" customFormat="1" ht="15" customHeight="1"/>
    <row r="596" s="41" customFormat="1" ht="15" customHeight="1"/>
    <row r="597" s="41" customFormat="1" ht="15" customHeight="1"/>
    <row r="598" s="41" customFormat="1" ht="15" customHeight="1"/>
    <row r="599" s="41" customFormat="1" ht="15" customHeight="1"/>
    <row r="600" s="41" customFormat="1" ht="15" customHeight="1"/>
    <row r="601" s="41" customFormat="1" ht="15" customHeight="1"/>
    <row r="602" s="41" customFormat="1" ht="15" customHeight="1"/>
    <row r="603" s="41" customFormat="1" ht="15" customHeight="1"/>
    <row r="604" s="41" customFormat="1" ht="15" customHeight="1"/>
    <row r="605" s="41" customFormat="1" ht="15" customHeight="1"/>
    <row r="606" s="41" customFormat="1" ht="15" customHeight="1"/>
    <row r="607" s="41" customFormat="1" ht="15" customHeight="1"/>
    <row r="608" s="41" customFormat="1" ht="15" customHeight="1"/>
    <row r="609" s="41" customFormat="1" ht="15" customHeight="1"/>
    <row r="610" s="41" customFormat="1" ht="15" customHeight="1"/>
    <row r="611" s="41" customFormat="1" ht="15" customHeight="1"/>
    <row r="612" s="41" customFormat="1" ht="15" customHeight="1"/>
    <row r="613" s="41" customFormat="1" ht="15" customHeight="1"/>
    <row r="614" s="41" customFormat="1" ht="15" customHeight="1"/>
    <row r="615" s="41" customFormat="1" ht="15" customHeight="1"/>
    <row r="616" s="41" customFormat="1" ht="15" customHeight="1"/>
    <row r="617" s="41" customFormat="1" ht="15" customHeight="1"/>
    <row r="618" s="41" customFormat="1" ht="15" customHeight="1"/>
    <row r="619" s="41" customFormat="1" ht="15" customHeight="1"/>
    <row r="620" s="41" customFormat="1" ht="15" customHeight="1"/>
    <row r="621" s="41" customFormat="1" ht="15" customHeight="1"/>
    <row r="622" s="41" customFormat="1" ht="15" customHeight="1"/>
    <row r="623" s="41" customFormat="1" ht="15" customHeight="1"/>
    <row r="624" s="41" customFormat="1" ht="15" customHeight="1"/>
    <row r="625" s="41" customFormat="1" ht="15" customHeight="1"/>
    <row r="626" s="41" customFormat="1" ht="15" customHeight="1"/>
    <row r="627" s="41" customFormat="1" ht="15" customHeight="1"/>
    <row r="628" s="41" customFormat="1" ht="15" customHeight="1"/>
    <row r="629" s="41" customFormat="1" ht="15" customHeight="1"/>
    <row r="630" s="41" customFormat="1" ht="15" customHeight="1"/>
    <row r="631" s="41" customFormat="1" ht="15" customHeight="1"/>
    <row r="632" s="41" customFormat="1" ht="15" customHeight="1"/>
    <row r="633" s="41" customFormat="1" ht="15" customHeight="1"/>
    <row r="634" s="41" customFormat="1" ht="15" customHeight="1"/>
    <row r="635" s="41" customFormat="1" ht="15" customHeight="1"/>
    <row r="636" s="41" customFormat="1" ht="15" customHeight="1"/>
    <row r="637" s="41" customFormat="1" ht="15" customHeight="1"/>
    <row r="638" s="41" customFormat="1" ht="15" customHeight="1"/>
    <row r="639" s="41" customFormat="1" ht="15" customHeight="1"/>
    <row r="640" s="41" customFormat="1" ht="15" customHeight="1"/>
    <row r="641" s="41" customFormat="1" ht="15" customHeight="1"/>
    <row r="642" s="41" customFormat="1" ht="15" customHeight="1"/>
    <row r="643" s="41" customFormat="1" ht="15" customHeight="1"/>
    <row r="644" s="41" customFormat="1" ht="15" customHeight="1"/>
    <row r="645" s="41" customFormat="1" ht="15" customHeight="1"/>
    <row r="646" s="41" customFormat="1" ht="15" customHeight="1"/>
    <row r="647" s="41" customFormat="1" ht="15" customHeight="1"/>
    <row r="648" s="41" customFormat="1" ht="15" customHeight="1"/>
    <row r="649" s="41" customFormat="1" ht="15" customHeight="1"/>
    <row r="650" s="41" customFormat="1" ht="15" customHeight="1"/>
    <row r="651" s="41" customFormat="1" ht="15" customHeight="1"/>
    <row r="652" s="41" customFormat="1" ht="15" customHeight="1"/>
    <row r="653" s="41" customFormat="1" ht="15" customHeight="1"/>
    <row r="654" s="41" customFormat="1" ht="15" customHeight="1"/>
    <row r="655" s="41" customFormat="1" ht="15" customHeight="1"/>
    <row r="656" s="41" customFormat="1" ht="15" customHeight="1"/>
    <row r="657" s="41" customFormat="1" ht="15" customHeight="1"/>
    <row r="658" s="41" customFormat="1" ht="15" customHeight="1"/>
    <row r="659" s="41" customFormat="1" ht="15" customHeight="1"/>
    <row r="660" s="41" customFormat="1" ht="15" customHeight="1"/>
    <row r="661" s="41" customFormat="1" ht="15" customHeight="1"/>
    <row r="662" s="41" customFormat="1" ht="15" customHeight="1"/>
    <row r="663" s="41" customFormat="1" ht="15" customHeight="1"/>
    <row r="664" s="41" customFormat="1" ht="15" customHeight="1"/>
    <row r="665" s="41" customFormat="1" ht="15" customHeight="1"/>
    <row r="666" s="41" customFormat="1" ht="15" customHeight="1"/>
    <row r="667" s="41" customFormat="1" ht="15" customHeight="1"/>
    <row r="668" s="41" customFormat="1" ht="15" customHeight="1"/>
    <row r="669" s="41" customFormat="1" ht="15" customHeight="1"/>
    <row r="670" s="41" customFormat="1" ht="15" customHeight="1"/>
    <row r="671" s="41" customFormat="1" ht="15" customHeight="1"/>
    <row r="672" s="41" customFormat="1" ht="15" customHeight="1"/>
    <row r="673" s="41" customFormat="1" ht="15" customHeight="1"/>
    <row r="674" s="41" customFormat="1" ht="15" customHeight="1"/>
    <row r="675" s="41" customFormat="1" ht="15" customHeight="1"/>
    <row r="676" s="41" customFormat="1" ht="15" customHeight="1"/>
    <row r="677" s="41" customFormat="1" ht="15" customHeight="1"/>
    <row r="678" s="41" customFormat="1" ht="15" customHeight="1"/>
    <row r="679" s="41" customFormat="1" ht="15" customHeight="1"/>
    <row r="680" s="41" customFormat="1" ht="15" customHeight="1"/>
    <row r="681" s="41" customFormat="1" ht="15" customHeight="1"/>
    <row r="682" s="41" customFormat="1" ht="15" customHeight="1"/>
    <row r="683" s="41" customFormat="1" ht="15" customHeight="1"/>
    <row r="684" s="41" customFormat="1" ht="15" customHeight="1"/>
    <row r="685" s="41" customFormat="1" ht="15" customHeight="1"/>
    <row r="686" s="41" customFormat="1" ht="15" customHeight="1"/>
    <row r="687" s="41" customFormat="1" ht="15" customHeight="1"/>
    <row r="688" s="41" customFormat="1" ht="15" customHeight="1"/>
    <row r="689" s="41" customFormat="1" ht="15" customHeight="1"/>
    <row r="690" s="41" customFormat="1" ht="15" customHeight="1"/>
    <row r="691" s="41" customFormat="1" ht="15" customHeight="1"/>
    <row r="692" s="41" customFormat="1" ht="15" customHeight="1"/>
    <row r="693" s="41" customFormat="1" ht="15" customHeight="1"/>
    <row r="694" s="41" customFormat="1" ht="15" customHeight="1"/>
    <row r="695" s="41" customFormat="1" ht="15" customHeight="1"/>
    <row r="696" s="41" customFormat="1" ht="15" customHeight="1"/>
    <row r="697" s="41" customFormat="1" ht="15" customHeight="1"/>
    <row r="698" s="41" customFormat="1" ht="15" customHeight="1"/>
    <row r="699" s="41" customFormat="1" ht="15" customHeight="1"/>
    <row r="700" s="41" customFormat="1" ht="15" customHeight="1"/>
    <row r="701" s="41" customFormat="1" ht="15" customHeight="1"/>
    <row r="702" s="41" customFormat="1" ht="15" customHeight="1"/>
    <row r="703" s="41" customFormat="1" ht="15" customHeight="1"/>
    <row r="704" s="41" customFormat="1" ht="15" customHeight="1"/>
    <row r="705" s="41" customFormat="1" ht="15" customHeight="1"/>
    <row r="706" s="41" customFormat="1" ht="15" customHeight="1"/>
    <row r="707" s="41" customFormat="1" ht="15" customHeight="1"/>
    <row r="708" s="41" customFormat="1" ht="15" customHeight="1"/>
    <row r="709" s="41" customFormat="1" ht="15" customHeight="1"/>
    <row r="710" s="41" customFormat="1" ht="15" customHeight="1"/>
    <row r="711" s="41" customFormat="1" ht="15" customHeight="1"/>
    <row r="712" s="41" customFormat="1" ht="15" customHeight="1"/>
    <row r="713" s="41" customFormat="1" ht="15" customHeight="1"/>
    <row r="714" s="41" customFormat="1" ht="15" customHeight="1"/>
    <row r="715" s="41" customFormat="1" ht="15" customHeight="1"/>
    <row r="716" s="41" customFormat="1" ht="15" customHeight="1"/>
    <row r="717" s="41" customFormat="1" ht="15" customHeight="1"/>
    <row r="718" s="41" customFormat="1" ht="15" customHeight="1"/>
    <row r="719" s="41" customFormat="1" ht="15" customHeight="1"/>
    <row r="720" s="41" customFormat="1" ht="15" customHeight="1"/>
    <row r="721" s="41" customFormat="1" ht="15" customHeight="1"/>
    <row r="722" s="41" customFormat="1" ht="15" customHeight="1"/>
    <row r="723" s="41" customFormat="1" ht="15" customHeight="1"/>
    <row r="724" s="41" customFormat="1" ht="15" customHeight="1"/>
    <row r="725" s="41" customFormat="1" ht="15" customHeight="1"/>
    <row r="726" s="41" customFormat="1" ht="15" customHeight="1"/>
    <row r="727" s="41" customFormat="1" ht="15" customHeight="1"/>
    <row r="728" s="41" customFormat="1" ht="15" customHeight="1"/>
    <row r="729" s="41" customFormat="1" ht="15" customHeight="1"/>
    <row r="730" s="41" customFormat="1" ht="15" customHeight="1"/>
    <row r="731" s="41" customFormat="1" ht="15" customHeight="1"/>
    <row r="732" s="41" customFormat="1" ht="15" customHeight="1"/>
    <row r="733" s="41" customFormat="1" ht="15" customHeight="1"/>
    <row r="734" s="41" customFormat="1" ht="15" customHeight="1"/>
    <row r="735" s="41" customFormat="1" ht="15" customHeight="1"/>
    <row r="736" s="41" customFormat="1" ht="15" customHeight="1"/>
    <row r="737" s="41" customFormat="1" ht="15" customHeight="1"/>
    <row r="738" s="41" customFormat="1" ht="15" customHeight="1"/>
    <row r="739" s="41" customFormat="1" ht="15" customHeight="1"/>
    <row r="740" s="41" customFormat="1" ht="15" customHeight="1"/>
    <row r="741" s="41" customFormat="1" ht="15" customHeight="1"/>
    <row r="742" s="41" customFormat="1" ht="15" customHeight="1"/>
    <row r="743" s="41" customFormat="1" ht="15" customHeight="1"/>
    <row r="744" s="41" customFormat="1" ht="15" customHeight="1"/>
    <row r="745" s="41" customFormat="1" ht="15" customHeight="1"/>
    <row r="746" s="41" customFormat="1" ht="15" customHeight="1"/>
    <row r="747" s="41" customFormat="1" ht="15" customHeight="1"/>
    <row r="748" s="41" customFormat="1" ht="15" customHeight="1"/>
    <row r="749" s="41" customFormat="1" ht="15" customHeight="1"/>
    <row r="750" s="41" customFormat="1" ht="15" customHeight="1"/>
    <row r="751" s="41" customFormat="1" ht="15" customHeight="1"/>
    <row r="752" s="41" customFormat="1" ht="15" customHeight="1"/>
    <row r="753" s="41" customFormat="1" ht="15" customHeight="1"/>
    <row r="754" s="41" customFormat="1" ht="15" customHeight="1"/>
    <row r="755" s="41" customFormat="1" ht="15" customHeight="1"/>
    <row r="756" s="41" customFormat="1" ht="15" customHeight="1"/>
    <row r="757" s="41" customFormat="1" ht="15" customHeight="1"/>
    <row r="758" s="41" customFormat="1" ht="15" customHeight="1"/>
    <row r="759" s="41" customFormat="1" ht="15" customHeight="1"/>
    <row r="760" s="41" customFormat="1" ht="15" customHeight="1"/>
    <row r="761" s="41" customFormat="1" ht="15" customHeight="1"/>
    <row r="762" s="41" customFormat="1" ht="15" customHeight="1"/>
    <row r="763" s="41" customFormat="1" ht="15" customHeight="1"/>
    <row r="764" s="41" customFormat="1" ht="15" customHeight="1"/>
    <row r="765" s="41" customFormat="1" ht="15" customHeight="1"/>
    <row r="766" s="41" customFormat="1" ht="15" customHeight="1"/>
    <row r="767" s="41" customFormat="1" ht="15" customHeight="1"/>
    <row r="768" s="41" customFormat="1" ht="15" customHeight="1"/>
    <row r="769" s="41" customFormat="1" ht="15" customHeight="1"/>
    <row r="770" s="41" customFormat="1" ht="15" customHeight="1"/>
    <row r="771" s="41" customFormat="1" ht="15" customHeight="1"/>
    <row r="772" s="41" customFormat="1" ht="15" customHeight="1"/>
    <row r="773" s="41" customFormat="1" ht="15" customHeight="1"/>
    <row r="774" s="41" customFormat="1" ht="15" customHeight="1"/>
    <row r="775" s="41" customFormat="1" ht="15" customHeight="1"/>
    <row r="776" s="41" customFormat="1" ht="15" customHeight="1"/>
    <row r="777" s="41" customFormat="1" ht="15" customHeight="1"/>
    <row r="778" s="41" customFormat="1" ht="15" customHeight="1"/>
    <row r="779" s="41" customFormat="1" ht="15" customHeight="1"/>
    <row r="780" s="41" customFormat="1" ht="15" customHeight="1"/>
    <row r="781" s="41" customFormat="1" ht="15" customHeight="1"/>
    <row r="782" s="41" customFormat="1" ht="15" customHeight="1"/>
    <row r="783" s="41" customFormat="1" ht="15" customHeight="1"/>
    <row r="784" s="41" customFormat="1" ht="15" customHeight="1"/>
    <row r="785" s="41" customFormat="1" ht="15" customHeight="1"/>
    <row r="786" s="41" customFormat="1" ht="15" customHeight="1"/>
    <row r="787" s="41" customFormat="1" ht="15" customHeight="1"/>
    <row r="788" s="41" customFormat="1" ht="15" customHeight="1"/>
    <row r="789" s="41" customFormat="1" ht="15" customHeight="1"/>
    <row r="790" s="41" customFormat="1" ht="15" customHeight="1"/>
    <row r="791" s="41" customFormat="1" ht="15" customHeight="1"/>
    <row r="792" s="41" customFormat="1" ht="15" customHeight="1"/>
    <row r="793" s="41" customFormat="1" ht="15" customHeight="1"/>
    <row r="794" s="41" customFormat="1" ht="15" customHeight="1"/>
    <row r="795" s="41" customFormat="1" ht="15" customHeight="1"/>
    <row r="796" s="41" customFormat="1" ht="15" customHeight="1"/>
    <row r="797" s="41" customFormat="1" ht="15" customHeight="1"/>
    <row r="798" s="41" customFormat="1" ht="15" customHeight="1"/>
    <row r="799" s="41" customFormat="1" ht="15" customHeight="1"/>
    <row r="800" s="41" customFormat="1" ht="15" customHeight="1"/>
    <row r="801" s="41" customFormat="1" ht="15" customHeight="1"/>
    <row r="802" s="41" customFormat="1" ht="15" customHeight="1"/>
    <row r="803" s="41" customFormat="1" ht="15" customHeight="1"/>
    <row r="804" s="41" customFormat="1" ht="15" customHeight="1"/>
    <row r="805" s="41" customFormat="1" ht="15" customHeight="1"/>
    <row r="806" s="41" customFormat="1" ht="15" customHeight="1"/>
    <row r="807" s="41" customFormat="1" ht="15" customHeight="1"/>
    <row r="808" s="41" customFormat="1" ht="15" customHeight="1"/>
    <row r="809" s="41" customFormat="1" ht="15" customHeight="1"/>
    <row r="810" s="41" customFormat="1" ht="15" customHeight="1"/>
    <row r="811" s="41" customFormat="1" ht="15" customHeight="1"/>
    <row r="812" s="41" customFormat="1" ht="15" customHeight="1"/>
    <row r="813" s="41" customFormat="1" ht="15" customHeight="1"/>
    <row r="814" s="41" customFormat="1" ht="15" customHeight="1"/>
    <row r="815" s="41" customFormat="1" ht="15" customHeight="1"/>
    <row r="816" s="41" customFormat="1" ht="15" customHeight="1"/>
    <row r="817" s="41" customFormat="1" ht="15" customHeight="1"/>
    <row r="818" s="41" customFormat="1" ht="15" customHeight="1"/>
    <row r="819" s="41" customFormat="1" ht="15" customHeight="1"/>
    <row r="820" s="41" customFormat="1" ht="15" customHeight="1"/>
    <row r="821" s="41" customFormat="1" ht="15" customHeight="1"/>
    <row r="822" s="41" customFormat="1" ht="15" customHeight="1"/>
    <row r="823" s="41" customFormat="1" ht="15" customHeight="1"/>
    <row r="824" s="41" customFormat="1" ht="15" customHeight="1"/>
    <row r="825" s="41" customFormat="1" ht="15" customHeight="1"/>
    <row r="826" s="41" customFormat="1" ht="15" customHeight="1"/>
    <row r="827" s="41" customFormat="1" ht="15" customHeight="1"/>
    <row r="828" s="41" customFormat="1" ht="15" customHeight="1"/>
    <row r="829" s="41" customFormat="1" ht="15" customHeight="1"/>
    <row r="830" s="41" customFormat="1" ht="15" customHeight="1"/>
    <row r="831" s="41" customFormat="1" ht="15" customHeight="1"/>
    <row r="832" s="41" customFormat="1" ht="15" customHeight="1"/>
    <row r="833" s="41" customFormat="1" ht="15" customHeight="1"/>
    <row r="834" s="41" customFormat="1" ht="15" customHeight="1"/>
    <row r="835" s="41" customFormat="1" ht="15" customHeight="1"/>
    <row r="836" s="41" customFormat="1" ht="15" customHeight="1"/>
    <row r="837" s="41" customFormat="1" ht="15" customHeight="1"/>
    <row r="838" s="41" customFormat="1" ht="15" customHeight="1"/>
    <row r="839" s="41" customFormat="1" ht="15" customHeight="1"/>
    <row r="840" s="41" customFormat="1" ht="15" customHeight="1"/>
    <row r="841" s="41" customFormat="1" ht="15" customHeight="1"/>
    <row r="842" s="41" customFormat="1" ht="15" customHeight="1"/>
    <row r="843" s="41" customFormat="1" ht="15" customHeight="1"/>
    <row r="844" s="41" customFormat="1" ht="15" customHeight="1"/>
    <row r="845" s="41" customFormat="1" ht="15" customHeight="1"/>
    <row r="846" s="41" customFormat="1" ht="15" customHeight="1"/>
    <row r="847" s="41" customFormat="1" ht="15" customHeight="1"/>
    <row r="848" s="41" customFormat="1" ht="15" customHeight="1"/>
    <row r="849" s="41" customFormat="1" ht="15" customHeight="1"/>
    <row r="850" s="41" customFormat="1" ht="15" customHeight="1"/>
    <row r="851" s="41" customFormat="1" ht="15" customHeight="1"/>
    <row r="852" s="41" customFormat="1" ht="15" customHeight="1"/>
    <row r="853" s="41" customFormat="1" ht="15" customHeight="1"/>
    <row r="854" s="41" customFormat="1" ht="15" customHeight="1"/>
    <row r="855" s="41" customFormat="1" ht="15" customHeight="1"/>
    <row r="856" s="41" customFormat="1" ht="15" customHeight="1"/>
    <row r="857" s="41" customFormat="1" ht="15" customHeight="1"/>
    <row r="858" s="41" customFormat="1" ht="15" customHeight="1"/>
    <row r="859" s="41" customFormat="1" ht="15" customHeight="1"/>
    <row r="860" s="41" customFormat="1" ht="15" customHeight="1"/>
    <row r="861" s="41" customFormat="1" ht="15" customHeight="1"/>
    <row r="862" s="41" customFormat="1" ht="15" customHeight="1"/>
    <row r="863" s="41" customFormat="1" ht="15" customHeight="1"/>
    <row r="864" s="41" customFormat="1" ht="15" customHeight="1"/>
    <row r="865" s="41" customFormat="1" ht="15" customHeight="1"/>
    <row r="866" s="41" customFormat="1" ht="15" customHeight="1"/>
    <row r="867" s="41" customFormat="1" ht="15" customHeight="1"/>
    <row r="868" s="41" customFormat="1" ht="15" customHeight="1"/>
    <row r="869" s="41" customFormat="1" ht="15" customHeight="1"/>
    <row r="870" s="41" customFormat="1" ht="15" customHeight="1"/>
    <row r="871" s="41" customFormat="1" ht="15" customHeight="1"/>
    <row r="872" s="41" customFormat="1" ht="15" customHeight="1"/>
    <row r="873" s="41" customFormat="1" ht="15" customHeight="1"/>
    <row r="874" s="41" customFormat="1" ht="15" customHeight="1"/>
    <row r="875" s="41" customFormat="1" ht="15" customHeight="1"/>
    <row r="876" s="41" customFormat="1" ht="15" customHeight="1"/>
    <row r="877" s="41" customFormat="1" ht="15" customHeight="1"/>
    <row r="878" s="41" customFormat="1" ht="15" customHeight="1"/>
    <row r="879" s="41" customFormat="1" ht="15" customHeight="1"/>
    <row r="880" s="41" customFormat="1" ht="15" customHeight="1"/>
    <row r="881" s="41" customFormat="1" ht="15" customHeight="1"/>
    <row r="882" s="41" customFormat="1" ht="15" customHeight="1"/>
    <row r="883" s="41" customFormat="1" ht="15" customHeight="1"/>
    <row r="884" s="41" customFormat="1" ht="15" customHeight="1"/>
    <row r="885" s="41" customFormat="1" ht="15" customHeight="1"/>
    <row r="886" s="41" customFormat="1" ht="15" customHeight="1"/>
    <row r="887" s="41" customFormat="1" ht="15" customHeight="1"/>
    <row r="888" s="41" customFormat="1" ht="15" customHeight="1"/>
    <row r="889" s="41" customFormat="1" ht="15" customHeight="1"/>
    <row r="890" s="41" customFormat="1" ht="15" customHeight="1"/>
    <row r="891" s="41" customFormat="1" ht="15" customHeight="1"/>
    <row r="892" s="41" customFormat="1" ht="15" customHeight="1"/>
    <row r="893" s="41" customFormat="1" ht="15" customHeight="1"/>
    <row r="894" s="41" customFormat="1" ht="15" customHeight="1"/>
    <row r="895" s="41" customFormat="1" ht="15" customHeight="1"/>
    <row r="896" s="41" customFormat="1" ht="15" customHeight="1"/>
    <row r="897" s="41" customFormat="1" ht="15" customHeight="1"/>
    <row r="898" s="41" customFormat="1" ht="15" customHeight="1"/>
    <row r="899" s="41" customFormat="1" ht="15" customHeight="1"/>
    <row r="900" s="41" customFormat="1" ht="15" customHeight="1"/>
    <row r="901" s="41" customFormat="1" ht="15" customHeight="1"/>
    <row r="902" s="41" customFormat="1" ht="15" customHeight="1"/>
    <row r="903" s="41" customFormat="1" ht="15" customHeight="1"/>
    <row r="904" s="41" customFormat="1" ht="15" customHeight="1"/>
    <row r="905" s="41" customFormat="1" ht="15" customHeight="1"/>
    <row r="906" s="41" customFormat="1" ht="15" customHeight="1"/>
    <row r="907" s="41" customFormat="1" ht="15" customHeight="1"/>
    <row r="908" s="41" customFormat="1" ht="15" customHeight="1"/>
    <row r="909" s="41" customFormat="1" ht="15" customHeight="1"/>
    <row r="910" s="41" customFormat="1" ht="15" customHeight="1"/>
    <row r="911" s="41" customFormat="1" ht="15" customHeight="1"/>
    <row r="912" s="41" customFormat="1" ht="15" customHeight="1"/>
    <row r="913" s="41" customFormat="1" ht="15" customHeight="1"/>
    <row r="914" s="41" customFormat="1" ht="15" customHeight="1"/>
    <row r="915" s="41" customFormat="1" ht="15" customHeight="1"/>
    <row r="916" s="41" customFormat="1" ht="15" customHeight="1"/>
    <row r="917" s="41" customFormat="1" ht="15" customHeight="1"/>
    <row r="918" s="41" customFormat="1" ht="15" customHeight="1"/>
    <row r="919" s="41" customFormat="1" ht="15" customHeight="1"/>
    <row r="920" s="41" customFormat="1" ht="15" customHeight="1"/>
    <row r="921" s="41" customFormat="1" ht="15" customHeight="1"/>
    <row r="922" s="41" customFormat="1" ht="15" customHeight="1"/>
    <row r="923" s="41" customFormat="1" ht="15" customHeight="1"/>
    <row r="924" s="41" customFormat="1" ht="15" customHeight="1"/>
    <row r="925" s="41" customFormat="1" ht="15" customHeight="1"/>
    <row r="926" s="41" customFormat="1" ht="15" customHeight="1"/>
    <row r="927" s="41" customFormat="1" ht="15" customHeight="1"/>
    <row r="928" s="41" customFormat="1" ht="15" customHeight="1"/>
    <row r="929" s="41" customFormat="1" ht="15" customHeight="1"/>
    <row r="930" s="41" customFormat="1" ht="15" customHeight="1"/>
    <row r="931" s="41" customFormat="1" ht="15" customHeight="1"/>
    <row r="932" s="41" customFormat="1" ht="15" customHeight="1"/>
    <row r="933" s="41" customFormat="1" ht="15" customHeight="1"/>
    <row r="934" s="41" customFormat="1" ht="15" customHeight="1"/>
    <row r="935" s="41" customFormat="1" ht="15" customHeight="1"/>
    <row r="936" s="41" customFormat="1" ht="15" customHeight="1"/>
    <row r="937" s="41" customFormat="1" ht="15" customHeight="1"/>
    <row r="938" s="41" customFormat="1" ht="15" customHeight="1"/>
    <row r="939" s="41" customFormat="1" ht="15" customHeight="1"/>
    <row r="940" s="41" customFormat="1" ht="15" customHeight="1"/>
    <row r="941" s="41" customFormat="1" ht="15" customHeight="1"/>
    <row r="942" s="41" customFormat="1" ht="15" customHeight="1"/>
    <row r="943" s="41" customFormat="1" ht="15" customHeight="1"/>
    <row r="944" s="41" customFormat="1" ht="15" customHeight="1"/>
    <row r="945" s="41" customFormat="1" ht="15" customHeight="1"/>
    <row r="946" s="41" customFormat="1" ht="15" customHeight="1"/>
    <row r="947" s="41" customFormat="1" ht="15" customHeight="1"/>
    <row r="948" s="41" customFormat="1" ht="15" customHeight="1"/>
    <row r="949" s="41" customFormat="1" ht="15" customHeight="1"/>
    <row r="950" s="41" customFormat="1" ht="15" customHeight="1"/>
    <row r="951" s="41" customFormat="1" ht="15" customHeight="1"/>
    <row r="952" s="41" customFormat="1" ht="15" customHeight="1"/>
    <row r="953" s="41" customFormat="1" ht="15" customHeight="1"/>
    <row r="954" s="41" customFormat="1" ht="15" customHeight="1"/>
    <row r="955" s="41" customFormat="1" ht="15" customHeight="1"/>
    <row r="956" s="41" customFormat="1" ht="15" customHeight="1"/>
    <row r="957" s="41" customFormat="1" ht="15" customHeight="1"/>
    <row r="958" s="41" customFormat="1" ht="15" customHeight="1"/>
    <row r="959" s="41" customFormat="1" ht="15" customHeight="1"/>
    <row r="960" s="41" customFormat="1" ht="15" customHeight="1"/>
    <row r="961" s="41" customFormat="1" ht="15" customHeight="1"/>
    <row r="962" s="41" customFormat="1" ht="15" customHeight="1"/>
    <row r="963" s="41" customFormat="1" ht="15" customHeight="1"/>
    <row r="964" s="41" customFormat="1" ht="15" customHeight="1"/>
    <row r="965" s="41" customFormat="1" ht="15" customHeight="1"/>
    <row r="966" s="41" customFormat="1" ht="15" customHeight="1"/>
    <row r="967" s="41" customFormat="1" ht="15" customHeight="1"/>
    <row r="968" s="41" customFormat="1" ht="15" customHeight="1"/>
    <row r="969" s="41" customFormat="1" ht="15" customHeight="1"/>
    <row r="970" s="41" customFormat="1" ht="15" customHeight="1"/>
    <row r="971" s="41" customFormat="1" ht="15" customHeight="1"/>
    <row r="972" s="41" customFormat="1" ht="15" customHeight="1"/>
    <row r="973" s="41" customFormat="1" ht="15" customHeight="1"/>
    <row r="974" s="41" customFormat="1" ht="15" customHeight="1"/>
    <row r="975" s="41" customFormat="1" ht="15" customHeight="1"/>
    <row r="976" s="41" customFormat="1" ht="15" customHeight="1"/>
    <row r="977" s="41" customFormat="1" ht="15" customHeight="1"/>
    <row r="978" s="41" customFormat="1" ht="15" customHeight="1"/>
    <row r="979" s="41" customFormat="1" ht="15" customHeight="1"/>
    <row r="980" s="41" customFormat="1" ht="15" customHeight="1"/>
    <row r="981" s="41" customFormat="1" ht="15" customHeight="1"/>
    <row r="982" s="41" customFormat="1" ht="15" customHeight="1"/>
    <row r="983" s="41" customFormat="1" ht="15" customHeight="1"/>
    <row r="984" s="41" customFormat="1" ht="15" customHeight="1"/>
    <row r="985" s="41" customFormat="1" ht="15" customHeight="1"/>
    <row r="986" s="41" customFormat="1" ht="15" customHeight="1"/>
    <row r="987" s="41" customFormat="1" ht="15" customHeight="1"/>
    <row r="988" s="41" customFormat="1" ht="15" customHeight="1"/>
    <row r="989" s="41" customFormat="1" ht="15" customHeight="1"/>
    <row r="990" s="41" customFormat="1" ht="15" customHeight="1"/>
    <row r="991" s="41" customFormat="1" ht="15" customHeight="1"/>
    <row r="992" s="41" customFormat="1" ht="15" customHeight="1"/>
    <row r="993" s="41" customFormat="1" ht="15" customHeight="1"/>
    <row r="994" s="41" customFormat="1" ht="15" customHeight="1"/>
    <row r="995" s="41" customFormat="1" ht="15" customHeight="1"/>
    <row r="996" s="41" customFormat="1" ht="15" customHeight="1"/>
    <row r="997" s="41" customFormat="1" ht="15" customHeight="1"/>
    <row r="998" s="41" customFormat="1" ht="15" customHeight="1"/>
    <row r="999" s="41" customFormat="1" ht="15" customHeight="1"/>
    <row r="1000" s="41" customFormat="1" ht="15" customHeight="1"/>
    <row r="1001" s="41" customFormat="1" ht="15" customHeight="1"/>
    <row r="1002" s="41" customFormat="1" ht="15" customHeight="1"/>
    <row r="1003" s="41" customFormat="1" ht="15" customHeight="1"/>
    <row r="1004" s="41" customFormat="1" ht="15" customHeight="1"/>
    <row r="1005" s="41" customFormat="1" ht="15" customHeight="1"/>
    <row r="1006" s="41" customFormat="1" ht="15" customHeight="1"/>
    <row r="1007" s="41" customFormat="1" ht="15" customHeight="1"/>
    <row r="1008" s="41" customFormat="1" ht="15" customHeight="1"/>
    <row r="1009" s="41" customFormat="1" ht="15" customHeight="1"/>
    <row r="1010" s="41" customFormat="1" ht="15" customHeight="1"/>
    <row r="1011" s="41" customFormat="1" ht="15" customHeight="1"/>
    <row r="1012" s="41" customFormat="1" ht="15" customHeight="1"/>
    <row r="1013" s="41" customFormat="1" ht="15" customHeight="1"/>
    <row r="1014" s="41" customFormat="1" ht="15" customHeight="1"/>
    <row r="1015" s="41" customFormat="1" ht="15" customHeight="1"/>
    <row r="1016" s="41" customFormat="1" ht="15" customHeight="1"/>
    <row r="1017" s="41" customFormat="1" ht="15" customHeight="1"/>
    <row r="1018" s="41" customFormat="1" ht="15" customHeight="1"/>
    <row r="1019" s="41" customFormat="1" ht="15" customHeight="1"/>
    <row r="1020" s="41" customFormat="1" ht="15" customHeight="1"/>
    <row r="1021" s="41" customFormat="1" ht="15" customHeight="1"/>
    <row r="1022" s="41" customFormat="1" ht="15" customHeight="1"/>
    <row r="1023" s="41" customFormat="1" ht="15" customHeight="1"/>
    <row r="1024" s="41" customFormat="1" ht="15" customHeight="1"/>
    <row r="1025" s="41" customFormat="1" ht="15" customHeight="1"/>
    <row r="1026" s="41" customFormat="1" ht="15" customHeight="1"/>
    <row r="1027" s="41" customFormat="1" ht="15" customHeight="1"/>
    <row r="1028" s="41" customFormat="1" ht="15" customHeight="1"/>
    <row r="1029" s="41" customFormat="1" ht="15" customHeight="1"/>
    <row r="1030" s="41" customFormat="1" ht="15" customHeight="1"/>
    <row r="1031" s="41" customFormat="1" ht="15" customHeight="1"/>
    <row r="1032" s="41" customFormat="1" ht="15" customHeight="1"/>
    <row r="1033" s="41" customFormat="1" ht="15" customHeight="1"/>
    <row r="1034" s="41" customFormat="1" ht="15" customHeight="1"/>
    <row r="1035" s="41" customFormat="1" ht="15" customHeight="1"/>
    <row r="1036" s="41" customFormat="1" ht="15" customHeight="1"/>
    <row r="1037" s="41" customFormat="1" ht="15" customHeight="1"/>
    <row r="1038" s="41" customFormat="1" ht="15" customHeight="1"/>
    <row r="1039" s="41" customFormat="1" ht="15" customHeight="1"/>
    <row r="1040" s="41" customFormat="1" ht="15" customHeight="1"/>
    <row r="1041" s="41" customFormat="1" ht="15" customHeight="1"/>
    <row r="1042" s="41" customFormat="1" ht="15" customHeight="1"/>
    <row r="1043" s="41" customFormat="1" ht="15" customHeight="1"/>
    <row r="1044" s="41" customFormat="1" ht="15" customHeight="1"/>
    <row r="1045" s="41" customFormat="1" ht="15" customHeight="1"/>
    <row r="1046" s="41" customFormat="1" ht="15" customHeight="1"/>
    <row r="1047" s="41" customFormat="1" ht="15" customHeight="1"/>
    <row r="1048" s="41" customFormat="1" ht="15" customHeight="1"/>
    <row r="1049" s="41" customFormat="1" ht="15" customHeight="1"/>
    <row r="1050" s="41" customFormat="1" ht="15" customHeight="1"/>
    <row r="1051" s="41" customFormat="1" ht="15" customHeight="1"/>
    <row r="1052" s="41" customFormat="1" ht="15" customHeight="1"/>
    <row r="1053" s="41" customFormat="1" ht="15" customHeight="1"/>
    <row r="1054" s="41" customFormat="1" ht="15" customHeight="1"/>
    <row r="1055" s="41" customFormat="1" ht="15" customHeight="1"/>
    <row r="1056" s="41" customFormat="1" ht="15" customHeight="1"/>
    <row r="1057" s="41" customFormat="1" ht="15" customHeight="1"/>
    <row r="1058" s="41" customFormat="1" ht="15" customHeight="1"/>
    <row r="1059" s="41" customFormat="1" ht="15" customHeight="1"/>
    <row r="1060" s="41" customFormat="1" ht="15" customHeight="1"/>
    <row r="1061" s="41" customFormat="1" ht="15" customHeight="1"/>
    <row r="1062" s="41" customFormat="1" ht="15" customHeight="1"/>
    <row r="1063" s="41" customFormat="1" ht="15" customHeight="1"/>
    <row r="1064" s="41" customFormat="1" ht="15" customHeight="1"/>
    <row r="1065" s="41" customFormat="1" ht="15" customHeight="1"/>
    <row r="1066" s="41" customFormat="1" ht="15" customHeight="1"/>
    <row r="1067" s="41" customFormat="1" ht="15" customHeight="1"/>
    <row r="1068" s="41" customFormat="1" ht="15" customHeight="1"/>
    <row r="1069" s="41" customFormat="1" ht="15" customHeight="1"/>
    <row r="1070" s="41" customFormat="1" ht="15" customHeight="1"/>
    <row r="1071" s="41" customFormat="1" ht="15" customHeight="1"/>
    <row r="1072" s="41" customFormat="1" ht="15" customHeight="1"/>
    <row r="1073" s="41" customFormat="1" ht="15" customHeight="1"/>
    <row r="1074" s="41" customFormat="1" ht="15" customHeight="1"/>
    <row r="1075" s="41" customFormat="1" ht="15" customHeight="1"/>
    <row r="1076" s="41" customFormat="1" ht="15" customHeight="1"/>
    <row r="1077" s="41" customFormat="1" ht="15" customHeight="1"/>
    <row r="1078" s="41" customFormat="1" ht="15" customHeight="1"/>
    <row r="1079" s="41" customFormat="1" ht="15" customHeight="1"/>
    <row r="1080" s="41" customFormat="1" ht="15" customHeight="1"/>
    <row r="1081" s="41" customFormat="1" ht="15" customHeight="1"/>
    <row r="1082" s="41" customFormat="1" ht="15" customHeight="1"/>
    <row r="1083" s="41" customFormat="1" ht="15" customHeight="1"/>
    <row r="1084" s="41" customFormat="1" ht="15" customHeight="1"/>
    <row r="1085" s="41" customFormat="1" ht="15" customHeight="1"/>
    <row r="1086" s="41" customFormat="1" ht="15" customHeight="1"/>
    <row r="1087" s="41" customFormat="1" ht="15" customHeight="1"/>
    <row r="1088" s="41" customFormat="1" ht="15" customHeight="1"/>
    <row r="1089" s="41" customFormat="1" ht="15" customHeight="1"/>
    <row r="1090" s="41" customFormat="1" ht="15" customHeight="1"/>
    <row r="1091" s="41" customFormat="1" ht="15" customHeight="1"/>
    <row r="1092" s="41" customFormat="1" ht="15" customHeight="1"/>
    <row r="1093" s="41" customFormat="1" ht="15" customHeight="1"/>
    <row r="1094" s="41" customFormat="1" ht="15" customHeight="1"/>
    <row r="1095" s="41" customFormat="1" ht="15" customHeight="1"/>
    <row r="1096" s="41" customFormat="1" ht="15" customHeight="1"/>
    <row r="1097" s="41" customFormat="1" ht="15" customHeight="1"/>
    <row r="1098" s="41" customFormat="1" ht="15" customHeight="1"/>
    <row r="1099" s="41" customFormat="1" ht="15" customHeight="1"/>
    <row r="1100" s="41" customFormat="1" ht="15" customHeight="1"/>
    <row r="1101" s="41" customFormat="1" ht="15" customHeight="1"/>
    <row r="1102" s="41" customFormat="1" ht="15" customHeight="1"/>
    <row r="1103" s="41" customFormat="1" ht="15" customHeight="1"/>
    <row r="1104" s="41" customFormat="1" ht="15" customHeight="1"/>
    <row r="1105" s="41" customFormat="1" ht="15" customHeight="1"/>
    <row r="1106" s="41" customFormat="1" ht="15" customHeight="1"/>
    <row r="1107" s="41" customFormat="1" ht="15" customHeight="1"/>
    <row r="1108" s="41" customFormat="1" ht="15" customHeight="1"/>
    <row r="1109" s="41" customFormat="1" ht="15" customHeight="1"/>
    <row r="1110" s="41" customFormat="1" ht="15" customHeight="1"/>
    <row r="1111" s="41" customFormat="1" ht="15" customHeight="1"/>
    <row r="1112" s="41" customFormat="1" ht="15" customHeight="1"/>
    <row r="1113" s="41" customFormat="1" ht="15" customHeight="1"/>
    <row r="1114" s="41" customFormat="1" ht="15" customHeight="1"/>
    <row r="1115" s="41" customFormat="1" ht="15" customHeight="1"/>
    <row r="1116" s="41" customFormat="1" ht="15" customHeight="1"/>
    <row r="1117" s="41" customFormat="1" ht="15" customHeight="1"/>
    <row r="1118" s="41" customFormat="1" ht="15" customHeight="1"/>
    <row r="1119" s="41" customFormat="1" ht="15" customHeight="1"/>
    <row r="1120" s="41" customFormat="1" ht="15" customHeight="1"/>
    <row r="1121" s="41" customFormat="1" ht="15" customHeight="1"/>
    <row r="1122" s="41" customFormat="1" ht="15" customHeight="1"/>
    <row r="1123" s="41" customFormat="1" ht="15" customHeight="1"/>
    <row r="1124" s="41" customFormat="1" ht="15" customHeight="1"/>
    <row r="1125" s="41" customFormat="1" ht="15" customHeight="1"/>
    <row r="1126" s="41" customFormat="1" ht="15" customHeight="1"/>
    <row r="1127" s="41" customFormat="1" ht="15" customHeight="1"/>
    <row r="1128" s="41" customFormat="1" ht="15" customHeight="1"/>
    <row r="1129" s="41" customFormat="1" ht="15" customHeight="1"/>
    <row r="1130" s="41" customFormat="1" ht="15" customHeight="1"/>
    <row r="1131" s="41" customFormat="1" ht="15" customHeight="1"/>
    <row r="1132" s="41" customFormat="1" ht="15" customHeight="1"/>
    <row r="1133" s="41" customFormat="1" ht="15" customHeight="1"/>
    <row r="1134" s="41" customFormat="1" ht="15" customHeight="1"/>
    <row r="1135" s="41" customFormat="1" ht="15" customHeight="1"/>
    <row r="1136" s="41" customFormat="1" ht="15" customHeight="1"/>
    <row r="1137" s="41" customFormat="1" ht="15" customHeight="1"/>
    <row r="1138" s="41" customFormat="1" ht="15" customHeight="1"/>
    <row r="1139" s="41" customFormat="1" ht="15" customHeight="1"/>
    <row r="1140" s="41" customFormat="1" ht="15" customHeight="1"/>
    <row r="1141" s="41" customFormat="1" ht="15" customHeight="1"/>
    <row r="1142" s="41" customFormat="1" ht="15" customHeight="1"/>
    <row r="1143" s="41" customFormat="1" ht="15" customHeight="1"/>
    <row r="1144" s="41" customFormat="1" ht="15" customHeight="1"/>
    <row r="1145" s="41" customFormat="1" ht="15" customHeight="1"/>
    <row r="1146" s="41" customFormat="1" ht="15" customHeight="1"/>
    <row r="1147" s="41" customFormat="1" ht="15" customHeight="1"/>
    <row r="1148" s="41" customFormat="1" ht="15" customHeight="1"/>
    <row r="1149" s="41" customFormat="1" ht="15" customHeight="1"/>
    <row r="1150" s="41" customFormat="1" ht="15" customHeight="1"/>
    <row r="1151" s="41" customFormat="1" ht="15" customHeight="1"/>
    <row r="1152" s="41" customFormat="1" ht="15" customHeight="1"/>
    <row r="1153" s="41" customFormat="1" ht="15" customHeight="1"/>
    <row r="1154" s="41" customFormat="1" ht="15" customHeight="1"/>
    <row r="1155" s="41" customFormat="1" ht="15" customHeight="1"/>
    <row r="1156" s="41" customFormat="1" ht="15" customHeight="1"/>
    <row r="1157" s="41" customFormat="1" ht="15" customHeight="1"/>
    <row r="1158" s="41" customFormat="1" ht="15" customHeight="1"/>
    <row r="1159" s="41" customFormat="1" ht="15" customHeight="1"/>
    <row r="1160" s="41" customFormat="1" ht="15" customHeight="1"/>
    <row r="1161" s="41" customFormat="1" ht="15" customHeight="1"/>
    <row r="1162" s="41" customFormat="1" ht="15" customHeight="1"/>
    <row r="1163" s="41" customFormat="1" ht="15" customHeight="1"/>
    <row r="1164" s="41" customFormat="1" ht="15" customHeight="1"/>
    <row r="1165" s="41" customFormat="1" ht="15" customHeight="1"/>
    <row r="1166" s="41" customFormat="1" ht="15" customHeight="1"/>
    <row r="1167" s="41" customFormat="1" ht="15" customHeight="1"/>
    <row r="1168" s="41" customFormat="1" ht="15" customHeight="1"/>
    <row r="1169" s="41" customFormat="1" ht="15" customHeight="1"/>
    <row r="1170" s="41" customFormat="1" ht="15" customHeight="1"/>
    <row r="1171" s="41" customFormat="1" ht="15" customHeight="1"/>
    <row r="1172" s="41" customFormat="1" ht="15" customHeight="1"/>
    <row r="1173" s="41" customFormat="1" ht="15" customHeight="1"/>
    <row r="1174" s="41" customFormat="1" ht="15" customHeight="1"/>
    <row r="1175" s="41" customFormat="1" ht="15" customHeight="1"/>
    <row r="1176" s="41" customFormat="1" ht="15" customHeight="1"/>
    <row r="1177" s="41" customFormat="1" ht="15" customHeight="1"/>
    <row r="1178" s="41" customFormat="1" ht="15" customHeight="1"/>
    <row r="1179" s="41" customFormat="1" ht="15" customHeight="1"/>
    <row r="1180" s="41" customFormat="1" ht="15" customHeight="1"/>
    <row r="1181" s="41" customFormat="1" ht="15" customHeight="1"/>
    <row r="1182" s="41" customFormat="1" ht="15" customHeight="1"/>
    <row r="1183" s="41" customFormat="1" ht="15" customHeight="1"/>
    <row r="1184" s="41" customFormat="1" ht="15" customHeight="1"/>
    <row r="1185" s="41" customFormat="1" ht="15" customHeight="1"/>
    <row r="1186" s="41" customFormat="1" ht="15" customHeight="1"/>
    <row r="1187" s="41" customFormat="1" ht="15" customHeight="1"/>
    <row r="1188" s="41" customFormat="1" ht="15" customHeight="1"/>
    <row r="1189" s="41" customFormat="1" ht="15" customHeight="1"/>
    <row r="1190" s="41" customFormat="1" ht="15" customHeight="1"/>
    <row r="1191" s="41" customFormat="1" ht="15" customHeight="1"/>
    <row r="1192" s="41" customFormat="1" ht="15" customHeight="1"/>
    <row r="1193" s="41" customFormat="1" ht="15" customHeight="1"/>
    <row r="1194" s="41" customFormat="1" ht="15" customHeight="1"/>
    <row r="1195" s="41" customFormat="1" ht="15" customHeight="1"/>
    <row r="1196" s="41" customFormat="1" ht="15" customHeight="1"/>
    <row r="1197" s="41" customFormat="1" ht="15" customHeight="1"/>
    <row r="1198" s="41" customFormat="1" ht="15" customHeight="1"/>
    <row r="1199" s="41" customFormat="1" ht="15" customHeight="1"/>
    <row r="1200" s="41" customFormat="1" ht="15" customHeight="1"/>
    <row r="1201" s="41" customFormat="1" ht="15" customHeight="1"/>
    <row r="1202" s="41" customFormat="1" ht="15" customHeight="1"/>
    <row r="1203" s="41" customFormat="1" ht="15" customHeight="1"/>
    <row r="1204" s="41" customFormat="1" ht="15" customHeight="1"/>
    <row r="1205" s="41" customFormat="1" ht="15" customHeight="1"/>
    <row r="1206" s="41" customFormat="1" ht="15" customHeight="1"/>
    <row r="1207" s="41" customFormat="1" ht="15" customHeight="1"/>
    <row r="1208" s="41" customFormat="1" ht="15" customHeight="1"/>
    <row r="1209" s="41" customFormat="1" ht="15" customHeight="1"/>
    <row r="1210" s="41" customFormat="1" ht="15" customHeight="1"/>
    <row r="1211" s="41" customFormat="1" ht="15" customHeight="1"/>
    <row r="1212" s="41" customFormat="1" ht="15" customHeight="1"/>
    <row r="1213" s="41" customFormat="1" ht="15" customHeight="1"/>
    <row r="1214" s="41" customFormat="1" ht="15" customHeight="1"/>
    <row r="1215" s="41" customFormat="1" ht="15" customHeight="1"/>
    <row r="1216" s="41" customFormat="1" ht="15" customHeight="1"/>
    <row r="1217" s="41" customFormat="1" ht="15" customHeight="1"/>
    <row r="1218" s="41" customFormat="1" ht="15" customHeight="1"/>
    <row r="1219" s="41" customFormat="1" ht="15" customHeight="1"/>
    <row r="1220" s="41" customFormat="1" ht="15" customHeight="1"/>
    <row r="1221" s="41" customFormat="1" ht="15" customHeight="1"/>
    <row r="1222" s="41" customFormat="1" ht="15" customHeight="1"/>
    <row r="1223" s="41" customFormat="1" ht="15" customHeight="1"/>
    <row r="1224" s="41" customFormat="1" ht="15" customHeight="1"/>
    <row r="1225" s="41" customFormat="1" ht="15" customHeight="1"/>
    <row r="1226" s="41" customFormat="1" ht="15" customHeight="1"/>
    <row r="1227" s="41" customFormat="1" ht="15" customHeight="1"/>
    <row r="1228" s="41" customFormat="1" ht="15" customHeight="1"/>
    <row r="1229" s="41" customFormat="1" ht="15" customHeight="1"/>
    <row r="1230" s="41" customFormat="1" ht="15" customHeight="1"/>
    <row r="1231" s="41" customFormat="1" ht="15" customHeight="1"/>
    <row r="1232" s="41" customFormat="1" ht="15" customHeight="1"/>
    <row r="1233" s="41" customFormat="1" ht="15" customHeight="1"/>
    <row r="1234" s="41" customFormat="1" ht="15" customHeight="1"/>
    <row r="1235" s="41" customFormat="1" ht="15" customHeight="1"/>
    <row r="1236" s="41" customFormat="1" ht="15" customHeight="1"/>
    <row r="1237" s="41" customFormat="1" ht="15" customHeight="1"/>
    <row r="1238" s="41" customFormat="1" ht="15" customHeight="1"/>
    <row r="1239" s="41" customFormat="1" ht="15" customHeight="1"/>
    <row r="1240" s="41" customFormat="1" ht="15" customHeight="1"/>
    <row r="1241" s="41" customFormat="1" ht="15" customHeight="1"/>
    <row r="1242" s="41" customFormat="1" ht="15" customHeight="1"/>
    <row r="1243" s="41" customFormat="1" ht="15" customHeight="1"/>
    <row r="1244" s="41" customFormat="1" ht="15" customHeight="1"/>
    <row r="1245" s="41" customFormat="1" ht="15" customHeight="1"/>
    <row r="1246" s="41" customFormat="1" ht="15" customHeight="1"/>
    <row r="1247" s="41" customFormat="1" ht="15" customHeight="1"/>
    <row r="1248" s="41" customFormat="1" ht="15" customHeight="1"/>
    <row r="1249" s="41" customFormat="1" ht="15" customHeight="1"/>
    <row r="1250" s="41" customFormat="1" ht="15" customHeight="1"/>
    <row r="1251" s="41" customFormat="1" ht="15" customHeight="1"/>
    <row r="1252" s="41" customFormat="1" ht="15" customHeight="1"/>
    <row r="1253" s="41" customFormat="1" ht="15" customHeight="1"/>
    <row r="1254" s="41" customFormat="1" ht="15" customHeight="1"/>
    <row r="1255" s="41" customFormat="1" ht="15" customHeight="1"/>
    <row r="1256" s="41" customFormat="1" ht="15" customHeight="1"/>
    <row r="1257" s="41" customFormat="1" ht="15" customHeight="1"/>
    <row r="1258" s="41" customFormat="1" ht="15" customHeight="1"/>
    <row r="1259" s="41" customFormat="1" ht="15" customHeight="1"/>
    <row r="1260" s="41" customFormat="1" ht="15" customHeight="1"/>
    <row r="1261" s="41" customFormat="1" ht="15" customHeight="1"/>
    <row r="1262" s="41" customFormat="1" ht="15" customHeight="1"/>
    <row r="1263" s="41" customFormat="1" ht="15" customHeight="1"/>
    <row r="1264" s="41" customFormat="1" ht="15" customHeight="1"/>
    <row r="1265" s="41" customFormat="1" ht="15" customHeight="1"/>
    <row r="1266" s="41" customFormat="1" ht="15" customHeight="1"/>
    <row r="1267" s="41" customFormat="1" ht="15" customHeight="1"/>
    <row r="1268" s="41" customFormat="1" ht="15" customHeight="1"/>
    <row r="1269" s="41" customFormat="1" ht="15" customHeight="1"/>
    <row r="1270" s="41" customFormat="1" ht="15" customHeight="1"/>
    <row r="1271" s="41" customFormat="1" ht="15" customHeight="1"/>
    <row r="1272" s="41" customFormat="1" ht="15" customHeight="1"/>
    <row r="1273" s="41" customFormat="1" ht="15" customHeight="1"/>
    <row r="1274" s="41" customFormat="1" ht="15" customHeight="1"/>
    <row r="1275" s="41" customFormat="1" ht="15" customHeight="1"/>
    <row r="1276" s="41" customFormat="1" ht="15" customHeight="1"/>
    <row r="1277" s="41" customFormat="1" ht="15" customHeight="1"/>
    <row r="1278" s="41" customFormat="1" ht="15" customHeight="1"/>
    <row r="1279" s="41" customFormat="1" ht="15" customHeight="1"/>
    <row r="1280" s="41" customFormat="1" ht="15" customHeight="1"/>
    <row r="1281" s="41" customFormat="1" ht="15" customHeight="1"/>
    <row r="1282" s="41" customFormat="1" ht="15" customHeight="1"/>
    <row r="1283" s="41" customFormat="1" ht="15" customHeight="1"/>
    <row r="1284" s="41" customFormat="1" ht="15" customHeight="1"/>
    <row r="1285" s="41" customFormat="1" ht="15" customHeight="1"/>
    <row r="1286" s="41" customFormat="1" ht="15" customHeight="1"/>
    <row r="1287" s="41" customFormat="1" ht="15" customHeight="1"/>
    <row r="1288" s="41" customFormat="1" ht="15" customHeight="1"/>
    <row r="1289" s="41" customFormat="1" ht="15" customHeight="1"/>
    <row r="1290" s="41" customFormat="1" ht="15" customHeight="1"/>
    <row r="1291" s="41" customFormat="1" ht="15" customHeight="1"/>
    <row r="1292" s="41" customFormat="1" ht="15" customHeight="1"/>
    <row r="1293" s="41" customFormat="1" ht="15" customHeight="1"/>
    <row r="1294" s="41" customFormat="1" ht="15" customHeight="1"/>
    <row r="1295" s="41" customFormat="1" ht="15" customHeight="1"/>
    <row r="1296" s="41" customFormat="1" ht="15" customHeight="1"/>
    <row r="1297" s="41" customFormat="1" ht="15" customHeight="1"/>
    <row r="1298" s="41" customFormat="1" ht="15" customHeight="1"/>
    <row r="1299" s="41" customFormat="1" ht="15" customHeight="1"/>
    <row r="1300" s="41" customFormat="1" ht="15" customHeight="1"/>
    <row r="1301" s="41" customFormat="1" ht="15" customHeight="1"/>
    <row r="1302" s="41" customFormat="1" ht="15" customHeight="1"/>
    <row r="1303" s="41" customFormat="1" ht="15" customHeight="1"/>
    <row r="1304" s="41" customFormat="1" ht="15" customHeight="1"/>
    <row r="1305" s="41" customFormat="1" ht="15" customHeight="1"/>
    <row r="1306" s="41" customFormat="1" ht="15" customHeight="1"/>
    <row r="1307" s="41" customFormat="1" ht="15" customHeight="1"/>
    <row r="1308" s="41" customFormat="1" ht="15" customHeight="1"/>
    <row r="1309" s="41" customFormat="1" ht="15" customHeight="1"/>
    <row r="1310" s="41" customFormat="1" ht="15" customHeight="1"/>
    <row r="1311" s="41" customFormat="1" ht="15" customHeight="1"/>
    <row r="1312" s="41" customFormat="1" ht="15" customHeight="1"/>
    <row r="1313" s="41" customFormat="1" ht="15" customHeight="1"/>
    <row r="1314" s="41" customFormat="1" ht="15" customHeight="1"/>
    <row r="1315" s="41" customFormat="1" ht="15" customHeight="1"/>
    <row r="1316" s="41" customFormat="1" ht="15" customHeight="1"/>
    <row r="1317" s="41" customFormat="1" ht="15" customHeight="1"/>
    <row r="1318" s="41" customFormat="1" ht="15" customHeight="1"/>
    <row r="1319" s="41" customFormat="1" ht="15" customHeight="1"/>
    <row r="1320" s="41" customFormat="1" ht="15" customHeight="1"/>
    <row r="1321" s="41" customFormat="1" ht="15" customHeight="1"/>
    <row r="1322" s="41" customFormat="1" ht="15" customHeight="1"/>
    <row r="1323" s="41" customFormat="1" ht="15" customHeight="1"/>
    <row r="1324" s="41" customFormat="1" ht="15" customHeight="1"/>
    <row r="1325" s="41" customFormat="1" ht="15" customHeight="1"/>
    <row r="1326" s="41" customFormat="1" ht="15" customHeight="1"/>
    <row r="1327" s="41" customFormat="1" ht="15" customHeight="1"/>
    <row r="1328" s="41" customFormat="1" ht="15" customHeight="1"/>
    <row r="1329" s="41" customFormat="1" ht="15" customHeight="1"/>
    <row r="1330" s="41" customFormat="1" ht="15" customHeight="1"/>
    <row r="1331" s="41" customFormat="1" ht="15" customHeight="1"/>
    <row r="1332" s="41" customFormat="1" ht="15" customHeight="1"/>
    <row r="1333" s="41" customFormat="1" ht="15" customHeight="1"/>
    <row r="1334" s="41" customFormat="1" ht="15" customHeight="1"/>
    <row r="1335" s="41" customFormat="1" ht="15" customHeight="1"/>
    <row r="1336" s="41" customFormat="1" ht="15" customHeight="1"/>
    <row r="1337" s="41" customFormat="1" ht="15" customHeight="1"/>
    <row r="1338" s="41" customFormat="1" ht="15" customHeight="1"/>
    <row r="1339" s="41" customFormat="1" ht="15" customHeight="1"/>
    <row r="1340" s="41" customFormat="1" ht="15" customHeight="1"/>
    <row r="1341" s="41" customFormat="1" ht="15" customHeight="1"/>
    <row r="1342" s="41" customFormat="1" ht="15" customHeight="1"/>
    <row r="1343" s="41" customFormat="1" ht="15" customHeight="1"/>
    <row r="1344" s="41" customFormat="1" ht="15" customHeight="1"/>
    <row r="1345" s="41" customFormat="1" ht="15" customHeight="1"/>
    <row r="1346" s="41" customFormat="1" ht="15" customHeight="1"/>
    <row r="1347" s="41" customFormat="1" ht="15" customHeight="1"/>
    <row r="1348" s="41" customFormat="1" ht="15" customHeight="1"/>
    <row r="1349" s="41" customFormat="1" ht="15" customHeight="1"/>
    <row r="1350" s="41" customFormat="1" ht="15" customHeight="1"/>
    <row r="1351" s="41" customFormat="1" ht="15" customHeight="1"/>
    <row r="1352" s="41" customFormat="1" ht="15" customHeight="1"/>
    <row r="1353" s="41" customFormat="1" ht="15" customHeight="1"/>
    <row r="1354" s="41" customFormat="1" ht="15" customHeight="1"/>
    <row r="1355" s="41" customFormat="1" ht="15" customHeight="1"/>
    <row r="1356" s="41" customFormat="1" ht="15" customHeight="1"/>
    <row r="1357" s="41" customFormat="1" ht="15" customHeight="1"/>
    <row r="1358" s="41" customFormat="1" ht="15" customHeight="1"/>
    <row r="1359" s="41" customFormat="1" ht="15" customHeight="1"/>
    <row r="1360" s="41" customFormat="1" ht="15" customHeight="1"/>
    <row r="1361" s="41" customFormat="1" ht="15" customHeight="1"/>
    <row r="1362" s="41" customFormat="1" ht="15" customHeight="1"/>
    <row r="1363" s="41" customFormat="1" ht="15" customHeight="1"/>
    <row r="1364" s="41" customFormat="1" ht="15" customHeight="1"/>
    <row r="1365" s="41" customFormat="1" ht="15" customHeight="1"/>
    <row r="1366" s="41" customFormat="1" ht="15" customHeight="1"/>
    <row r="1367" s="41" customFormat="1" ht="15" customHeight="1"/>
    <row r="1368" s="41" customFormat="1" ht="15" customHeight="1"/>
    <row r="1369" s="41" customFormat="1" ht="15" customHeight="1"/>
    <row r="1370" s="41" customFormat="1" ht="15" customHeight="1"/>
    <row r="1371" s="41" customFormat="1" ht="15" customHeight="1"/>
    <row r="1372" s="41" customFormat="1" ht="15" customHeight="1"/>
    <row r="1373" s="41" customFormat="1" ht="15" customHeight="1"/>
    <row r="1374" s="41" customFormat="1" ht="15" customHeight="1"/>
    <row r="1375" s="41" customFormat="1" ht="15" customHeight="1"/>
    <row r="1376" s="41" customFormat="1" ht="15" customHeight="1"/>
    <row r="1377" s="41" customFormat="1" ht="15" customHeight="1"/>
    <row r="1378" s="41" customFormat="1" ht="15" customHeight="1"/>
    <row r="1379" s="41" customFormat="1" ht="15" customHeight="1"/>
    <row r="1380" s="41" customFormat="1" ht="15" customHeight="1"/>
    <row r="1381" s="41" customFormat="1" ht="15" customHeight="1"/>
    <row r="1382" s="41" customFormat="1" ht="15" customHeight="1"/>
    <row r="1383" s="41" customFormat="1" ht="15" customHeight="1"/>
    <row r="1384" s="41" customFormat="1" ht="15" customHeight="1"/>
    <row r="1385" s="41" customFormat="1" ht="15" customHeight="1"/>
    <row r="1386" s="41" customFormat="1" ht="15" customHeight="1"/>
    <row r="1387" s="41" customFormat="1" ht="15" customHeight="1"/>
    <row r="1388" s="41" customFormat="1" ht="15" customHeight="1"/>
    <row r="1389" s="41" customFormat="1" ht="15" customHeight="1"/>
    <row r="1390" s="41" customFormat="1" ht="15" customHeight="1"/>
    <row r="1391" s="41" customFormat="1" ht="15" customHeight="1"/>
    <row r="1392" s="41" customFormat="1" ht="15" customHeight="1"/>
    <row r="1393" s="41" customFormat="1" ht="15" customHeight="1"/>
    <row r="1394" s="41" customFormat="1" ht="15" customHeight="1"/>
    <row r="1395" s="41" customFormat="1" ht="15" customHeight="1"/>
    <row r="1396" s="41" customFormat="1" ht="15" customHeight="1"/>
    <row r="1397" s="41" customFormat="1" ht="15" customHeight="1"/>
    <row r="1398" s="41" customFormat="1" ht="15" customHeight="1"/>
    <row r="1399" s="41" customFormat="1" ht="15" customHeight="1"/>
    <row r="1400" s="41" customFormat="1" ht="15" customHeight="1"/>
    <row r="1401" s="41" customFormat="1" ht="15" customHeight="1"/>
    <row r="1402" s="41" customFormat="1" ht="15" customHeight="1"/>
    <row r="1403" s="41" customFormat="1" ht="15" customHeight="1"/>
    <row r="1404" s="41" customFormat="1" ht="15" customHeight="1"/>
    <row r="1405" s="41" customFormat="1" ht="15" customHeight="1"/>
    <row r="1406" s="41" customFormat="1" ht="15" customHeight="1"/>
    <row r="1407" s="41" customFormat="1" ht="15" customHeight="1"/>
    <row r="1408" s="41" customFormat="1" ht="15" customHeight="1"/>
    <row r="1409" s="41" customFormat="1" ht="15" customHeight="1"/>
    <row r="1410" s="41" customFormat="1" ht="15" customHeight="1"/>
    <row r="1411" s="41" customFormat="1" ht="15" customHeight="1"/>
    <row r="1412" s="41" customFormat="1" ht="15" customHeight="1"/>
    <row r="1413" s="41" customFormat="1" ht="15" customHeight="1"/>
    <row r="1414" s="41" customFormat="1" ht="15" customHeight="1"/>
    <row r="1415" s="41" customFormat="1" ht="15" customHeight="1"/>
    <row r="1416" s="41" customFormat="1" ht="15" customHeight="1"/>
    <row r="1417" s="41" customFormat="1" ht="15" customHeight="1"/>
    <row r="1418" s="41" customFormat="1" ht="15" customHeight="1"/>
    <row r="1419" s="41" customFormat="1" ht="15" customHeight="1"/>
    <row r="1420" s="41" customFormat="1" ht="15" customHeight="1"/>
    <row r="1421" s="41" customFormat="1" ht="15" customHeight="1"/>
    <row r="1422" s="41" customFormat="1" ht="15" customHeight="1"/>
    <row r="1423" s="41" customFormat="1" ht="15" customHeight="1"/>
    <row r="1424" s="41" customFormat="1" ht="15" customHeight="1"/>
    <row r="1425" s="41" customFormat="1" ht="15" customHeight="1"/>
    <row r="1426" s="41" customFormat="1" ht="15" customHeight="1"/>
    <row r="1427" s="41" customFormat="1" ht="15" customHeight="1"/>
    <row r="1428" s="41" customFormat="1" ht="15" customHeight="1"/>
    <row r="1429" s="41" customFormat="1" ht="15" customHeight="1"/>
    <row r="1430" s="41" customFormat="1" ht="15" customHeight="1"/>
    <row r="1431" s="41" customFormat="1" ht="15" customHeight="1"/>
    <row r="1432" s="41" customFormat="1" ht="15" customHeight="1"/>
    <row r="1433" s="41" customFormat="1" ht="15" customHeight="1"/>
    <row r="1434" s="41" customFormat="1" ht="15" customHeight="1"/>
    <row r="1435" s="41" customFormat="1" ht="15" customHeight="1"/>
    <row r="1436" s="41" customFormat="1" ht="15" customHeight="1"/>
    <row r="1437" s="41" customFormat="1" ht="15" customHeight="1"/>
    <row r="1438" s="41" customFormat="1" ht="15" customHeight="1"/>
    <row r="1439" s="41" customFormat="1" ht="15" customHeight="1"/>
    <row r="1440" s="41" customFormat="1" ht="15" customHeight="1"/>
    <row r="1441" s="41" customFormat="1" ht="15" customHeight="1"/>
    <row r="1442" s="41" customFormat="1" ht="15" customHeight="1"/>
    <row r="1443" s="41" customFormat="1" ht="15" customHeight="1"/>
    <row r="1444" s="41" customFormat="1" ht="15" customHeight="1"/>
    <row r="1445" s="41" customFormat="1" ht="15" customHeight="1"/>
    <row r="1446" s="41" customFormat="1" ht="15" customHeight="1"/>
    <row r="1447" s="41" customFormat="1" ht="15" customHeight="1"/>
    <row r="1448" s="41" customFormat="1" ht="15" customHeight="1"/>
    <row r="1449" s="41" customFormat="1" ht="15" customHeight="1"/>
    <row r="1450" s="41" customFormat="1" ht="15" customHeight="1"/>
    <row r="1451" s="41" customFormat="1" ht="15" customHeight="1"/>
    <row r="1452" s="41" customFormat="1" ht="15" customHeight="1"/>
    <row r="1453" s="41" customFormat="1" ht="15" customHeight="1"/>
    <row r="1454" s="41" customFormat="1" ht="15" customHeight="1"/>
    <row r="1455" s="41" customFormat="1" ht="15" customHeight="1"/>
    <row r="1456" s="41" customFormat="1" ht="15" customHeight="1"/>
    <row r="1457" s="41" customFormat="1" ht="15" customHeight="1"/>
    <row r="1458" s="41" customFormat="1" ht="15" customHeight="1"/>
    <row r="1459" s="41" customFormat="1" ht="15" customHeight="1"/>
    <row r="1460" s="41" customFormat="1" ht="15" customHeight="1"/>
    <row r="1461" s="41" customFormat="1" ht="15" customHeight="1"/>
    <row r="1462" s="41" customFormat="1" ht="15" customHeight="1"/>
    <row r="1463" s="41" customFormat="1" ht="15" customHeight="1"/>
    <row r="1464" s="41" customFormat="1" ht="15" customHeight="1"/>
    <row r="1465" s="41" customFormat="1" ht="15" customHeight="1"/>
    <row r="1466" s="41" customFormat="1" ht="15" customHeight="1"/>
    <row r="1467" s="41" customFormat="1" ht="15" customHeight="1"/>
    <row r="1468" s="41" customFormat="1" ht="15" customHeight="1"/>
    <row r="1469" s="41" customFormat="1" ht="15" customHeight="1"/>
    <row r="1470" s="41" customFormat="1" ht="15" customHeight="1"/>
    <row r="1471" s="41" customFormat="1" ht="15" customHeight="1"/>
    <row r="1472" s="41" customFormat="1" ht="15" customHeight="1"/>
    <row r="1473" s="41" customFormat="1" ht="15" customHeight="1"/>
    <row r="1474" s="41" customFormat="1" ht="15" customHeight="1"/>
    <row r="1475" s="41" customFormat="1" ht="15" customHeight="1"/>
    <row r="1476" s="41" customFormat="1" ht="15" customHeight="1"/>
    <row r="1477" s="41" customFormat="1" ht="15" customHeight="1"/>
    <row r="1478" s="41" customFormat="1" ht="15" customHeight="1"/>
    <row r="1479" s="41" customFormat="1" ht="15" customHeight="1"/>
    <row r="1480" s="41" customFormat="1" ht="15" customHeight="1"/>
    <row r="1481" s="41" customFormat="1" ht="15" customHeight="1"/>
    <row r="1482" s="41" customFormat="1" ht="15" customHeight="1"/>
    <row r="1483" s="41" customFormat="1" ht="15" customHeight="1"/>
    <row r="1484" s="41" customFormat="1" ht="15" customHeight="1"/>
    <row r="1485" s="41" customFormat="1" ht="15" customHeight="1"/>
    <row r="1486" s="41" customFormat="1" ht="15" customHeight="1"/>
    <row r="1487" s="41" customFormat="1" ht="15" customHeight="1"/>
    <row r="1488" s="41" customFormat="1" ht="15" customHeight="1"/>
    <row r="1489" s="41" customFormat="1" ht="15" customHeight="1"/>
    <row r="1490" s="41" customFormat="1" ht="15" customHeight="1"/>
    <row r="1491" s="41" customFormat="1" ht="15" customHeight="1"/>
    <row r="1492" s="41" customFormat="1" ht="15" customHeight="1"/>
    <row r="1493" s="41" customFormat="1" ht="15" customHeight="1"/>
    <row r="1494" s="41" customFormat="1" ht="15" customHeight="1"/>
    <row r="1495" s="41" customFormat="1" ht="15" customHeight="1"/>
    <row r="1496" s="41" customFormat="1" ht="15" customHeight="1"/>
    <row r="1497" s="41" customFormat="1" ht="15" customHeight="1"/>
    <row r="1498" s="41" customFormat="1" ht="15" customHeight="1"/>
    <row r="1499" s="41" customFormat="1" ht="15" customHeight="1"/>
    <row r="1500" s="41" customFormat="1" ht="15" customHeight="1"/>
    <row r="1501" s="41" customFormat="1" ht="15" customHeight="1"/>
    <row r="1502" s="41" customFormat="1" ht="15" customHeight="1"/>
    <row r="1503" s="41" customFormat="1" ht="15" customHeight="1"/>
    <row r="1504" s="41" customFormat="1" ht="15" customHeight="1"/>
    <row r="1505" s="41" customFormat="1" ht="15" customHeight="1"/>
    <row r="1506" s="41" customFormat="1" ht="15" customHeight="1"/>
    <row r="1507" s="41" customFormat="1" ht="15" customHeight="1"/>
    <row r="1508" s="41" customFormat="1" ht="15" customHeight="1"/>
    <row r="1509" s="41" customFormat="1" ht="15" customHeight="1"/>
    <row r="1510" s="41" customFormat="1" ht="15" customHeight="1"/>
    <row r="1511" s="41" customFormat="1" ht="15" customHeight="1"/>
    <row r="1512" s="41" customFormat="1" ht="15" customHeight="1"/>
    <row r="1513" s="41" customFormat="1" ht="15" customHeight="1"/>
    <row r="1514" s="41" customFormat="1" ht="15" customHeight="1"/>
    <row r="1515" s="41" customFormat="1" ht="15" customHeight="1"/>
    <row r="1516" s="41" customFormat="1" ht="15" customHeight="1"/>
    <row r="1517" s="41" customFormat="1" ht="15" customHeight="1"/>
    <row r="1518" s="41" customFormat="1" ht="15" customHeight="1"/>
    <row r="1519" s="41" customFormat="1" ht="15" customHeight="1"/>
    <row r="1520" s="41" customFormat="1" ht="15" customHeight="1"/>
    <row r="1521" s="41" customFormat="1" ht="15" customHeight="1"/>
    <row r="1522" s="41" customFormat="1" ht="15" customHeight="1"/>
    <row r="1523" s="41" customFormat="1" ht="15" customHeight="1"/>
    <row r="1524" s="41" customFormat="1" ht="15" customHeight="1"/>
    <row r="1525" s="41" customFormat="1" ht="15" customHeight="1"/>
    <row r="1526" s="41" customFormat="1" ht="15" customHeight="1"/>
    <row r="1527" s="41" customFormat="1" ht="15" customHeight="1"/>
    <row r="1528" s="41" customFormat="1" ht="15" customHeight="1"/>
    <row r="1529" s="41" customFormat="1" ht="15" customHeight="1"/>
    <row r="1530" s="41" customFormat="1" ht="15" customHeight="1"/>
    <row r="1531" s="41" customFormat="1" ht="15" customHeight="1"/>
    <row r="1532" s="41" customFormat="1" ht="15" customHeight="1"/>
    <row r="1533" s="41" customFormat="1" ht="15" customHeight="1"/>
    <row r="1534" s="41" customFormat="1" ht="15" customHeight="1"/>
    <row r="1535" s="41" customFormat="1" ht="15" customHeight="1"/>
    <row r="1536" s="41" customFormat="1" ht="15" customHeight="1"/>
    <row r="1537" s="41" customFormat="1" ht="15" customHeight="1"/>
    <row r="1538" s="41" customFormat="1" ht="15" customHeight="1"/>
    <row r="1539" s="41" customFormat="1" ht="15" customHeight="1"/>
    <row r="1540" s="41" customFormat="1" ht="15" customHeight="1"/>
    <row r="1541" s="41" customFormat="1" ht="15" customHeight="1"/>
    <row r="1542" s="41" customFormat="1" ht="15" customHeight="1"/>
    <row r="1543" s="41" customFormat="1" ht="15" customHeight="1"/>
    <row r="1544" s="41" customFormat="1" ht="15" customHeight="1"/>
    <row r="1545" s="41" customFormat="1" ht="15" customHeight="1"/>
    <row r="1546" s="41" customFormat="1" ht="15" customHeight="1"/>
    <row r="1547" s="41" customFormat="1" ht="15" customHeight="1"/>
    <row r="1548" s="41" customFormat="1" ht="15" customHeight="1"/>
    <row r="1549" s="41" customFormat="1" ht="15" customHeight="1"/>
    <row r="1550" s="41" customFormat="1" ht="15" customHeight="1"/>
    <row r="1551" s="41" customFormat="1" ht="15" customHeight="1"/>
    <row r="1552" s="41" customFormat="1" ht="15" customHeight="1"/>
    <row r="1553" s="41" customFormat="1" ht="15" customHeight="1"/>
    <row r="1554" s="41" customFormat="1" ht="15" customHeight="1"/>
    <row r="1555" s="41" customFormat="1" ht="15" customHeight="1"/>
    <row r="1556" s="41" customFormat="1" ht="15" customHeight="1"/>
    <row r="1557" s="41" customFormat="1" ht="15" customHeight="1"/>
    <row r="1558" s="41" customFormat="1" ht="15" customHeight="1"/>
    <row r="1559" s="41" customFormat="1" ht="15" customHeight="1"/>
    <row r="1560" s="41" customFormat="1" ht="15" customHeight="1"/>
    <row r="1561" s="41" customFormat="1" ht="15" customHeight="1"/>
    <row r="1562" s="41" customFormat="1" ht="15" customHeight="1"/>
    <row r="1563" s="41" customFormat="1" ht="15" customHeight="1"/>
    <row r="1564" s="41" customFormat="1" ht="15" customHeight="1"/>
    <row r="1565" s="41" customFormat="1" ht="15" customHeight="1"/>
    <row r="1566" s="41" customFormat="1" ht="15" customHeight="1"/>
    <row r="1567" s="41" customFormat="1" ht="15" customHeight="1"/>
    <row r="1568" s="41" customFormat="1" ht="15" customHeight="1"/>
    <row r="1569" s="41" customFormat="1" ht="15" customHeight="1"/>
    <row r="1570" s="41" customFormat="1" ht="15" customHeight="1"/>
    <row r="1571" s="41" customFormat="1" ht="15" customHeight="1"/>
    <row r="1572" s="41" customFormat="1" ht="15" customHeight="1"/>
    <row r="1573" s="41" customFormat="1" ht="15" customHeight="1"/>
    <row r="1574" s="41" customFormat="1" ht="15" customHeight="1"/>
    <row r="1575" s="41" customFormat="1" ht="15" customHeight="1"/>
    <row r="1576" s="41" customFormat="1" ht="15" customHeight="1"/>
    <row r="1577" s="41" customFormat="1" ht="15" customHeight="1"/>
    <row r="1578" s="41" customFormat="1" ht="15" customHeight="1"/>
    <row r="1579" s="41" customFormat="1" ht="15" customHeight="1"/>
    <row r="1580" s="41" customFormat="1" ht="15" customHeight="1"/>
    <row r="1581" s="41" customFormat="1" ht="15" customHeight="1"/>
    <row r="1582" s="41" customFormat="1" ht="15" customHeight="1"/>
    <row r="1583" s="41" customFormat="1" ht="15" customHeight="1"/>
    <row r="1584" s="41" customFormat="1" ht="15" customHeight="1"/>
    <row r="1585" s="41" customFormat="1" ht="15" customHeight="1"/>
    <row r="1586" s="41" customFormat="1" ht="15" customHeight="1"/>
    <row r="1587" s="41" customFormat="1" ht="15" customHeight="1"/>
    <row r="1588" s="41" customFormat="1" ht="15" customHeight="1"/>
    <row r="1589" s="41" customFormat="1" ht="15" customHeight="1"/>
    <row r="1590" s="41" customFormat="1" ht="15" customHeight="1"/>
    <row r="1591" s="41" customFormat="1" ht="15" customHeight="1"/>
    <row r="1592" s="41" customFormat="1" ht="15" customHeight="1"/>
    <row r="1593" s="41" customFormat="1" ht="15" customHeight="1"/>
    <row r="1594" s="41" customFormat="1" ht="15" customHeight="1"/>
    <row r="1595" s="41" customFormat="1" ht="15" customHeight="1"/>
    <row r="1596" s="41" customFormat="1" ht="15" customHeight="1"/>
    <row r="1597" s="41" customFormat="1" ht="15" customHeight="1"/>
    <row r="1598" s="41" customFormat="1" ht="15" customHeight="1"/>
    <row r="1599" s="41" customFormat="1" ht="15" customHeight="1"/>
    <row r="1600" s="41" customFormat="1" ht="15" customHeight="1"/>
    <row r="1601" s="41" customFormat="1" ht="15" customHeight="1"/>
    <row r="1602" s="41" customFormat="1" ht="15" customHeight="1"/>
    <row r="1603" s="41" customFormat="1" ht="15" customHeight="1"/>
    <row r="1604" s="41" customFormat="1" ht="15" customHeight="1"/>
    <row r="1605" s="41" customFormat="1" ht="15" customHeight="1"/>
    <row r="1606" s="41" customFormat="1" ht="15" customHeight="1"/>
    <row r="1607" s="41" customFormat="1" ht="15" customHeight="1"/>
    <row r="1608" s="41" customFormat="1" ht="15" customHeight="1"/>
    <row r="1609" s="41" customFormat="1" ht="15" customHeight="1"/>
    <row r="1610" s="41" customFormat="1" ht="15" customHeight="1"/>
    <row r="1611" s="41" customFormat="1" ht="15" customHeight="1"/>
    <row r="1612" s="41" customFormat="1" ht="15" customHeight="1"/>
    <row r="1613" s="41" customFormat="1" ht="15" customHeight="1"/>
    <row r="1614" s="41" customFormat="1" ht="15" customHeight="1"/>
    <row r="1615" s="41" customFormat="1" ht="15" customHeight="1"/>
    <row r="1616" s="41" customFormat="1" ht="15" customHeight="1"/>
    <row r="1617" s="41" customFormat="1" ht="15" customHeight="1"/>
    <row r="1618" s="41" customFormat="1" ht="15" customHeight="1"/>
    <row r="1619" s="41" customFormat="1" ht="15" customHeight="1"/>
    <row r="1620" s="41" customFormat="1" ht="15" customHeight="1"/>
    <row r="1621" s="41" customFormat="1" ht="15" customHeight="1"/>
    <row r="1622" s="41" customFormat="1" ht="15" customHeight="1"/>
    <row r="1623" s="41" customFormat="1" ht="15" customHeight="1"/>
    <row r="1624" s="41" customFormat="1" ht="15" customHeight="1"/>
    <row r="1625" s="41" customFormat="1" ht="15" customHeight="1"/>
    <row r="1626" s="41" customFormat="1" ht="15" customHeight="1"/>
    <row r="1627" s="41" customFormat="1" ht="15" customHeight="1"/>
    <row r="1628" s="41" customFormat="1" ht="15" customHeight="1"/>
    <row r="1629" s="41" customFormat="1" ht="15" customHeight="1"/>
    <row r="1630" s="41" customFormat="1" ht="15" customHeight="1"/>
    <row r="1631" s="41" customFormat="1" ht="15" customHeight="1"/>
    <row r="1632" s="41" customFormat="1" ht="15" customHeight="1"/>
    <row r="1633" s="41" customFormat="1" ht="15" customHeight="1"/>
    <row r="1634" s="41" customFormat="1" ht="15" customHeight="1"/>
    <row r="1635" s="41" customFormat="1" ht="15" customHeight="1"/>
    <row r="1636" s="41" customFormat="1" ht="15" customHeight="1"/>
    <row r="1637" s="41" customFormat="1" ht="15" customHeight="1"/>
    <row r="1638" s="41" customFormat="1" ht="15" customHeight="1"/>
    <row r="1639" s="41" customFormat="1" ht="15" customHeight="1"/>
    <row r="1640" s="41" customFormat="1" ht="15" customHeight="1"/>
    <row r="1641" s="41" customFormat="1" ht="15" customHeight="1"/>
    <row r="1642" s="41" customFormat="1" ht="15" customHeight="1"/>
    <row r="1643" s="41" customFormat="1" ht="15" customHeight="1"/>
    <row r="1644" s="41" customFormat="1" ht="15" customHeight="1"/>
    <row r="1645" s="41" customFormat="1" ht="15" customHeight="1"/>
    <row r="1646" s="41" customFormat="1" ht="15" customHeight="1"/>
    <row r="1647" s="41" customFormat="1" ht="15" customHeight="1"/>
    <row r="1648" s="41" customFormat="1" ht="15" customHeight="1"/>
    <row r="1649" s="41" customFormat="1" ht="15" customHeight="1"/>
    <row r="1650" s="41" customFormat="1" ht="15" customHeight="1"/>
    <row r="1651" s="41" customFormat="1" ht="15" customHeight="1"/>
    <row r="1652" s="41" customFormat="1" ht="15" customHeight="1"/>
    <row r="1653" s="41" customFormat="1" ht="15" customHeight="1"/>
    <row r="1654" s="41" customFormat="1" ht="15" customHeight="1"/>
    <row r="1655" s="41" customFormat="1" ht="15" customHeight="1"/>
    <row r="1656" s="41" customFormat="1" ht="15" customHeight="1"/>
    <row r="1657" s="41" customFormat="1" ht="15" customHeight="1"/>
    <row r="1658" s="41" customFormat="1" ht="15" customHeight="1"/>
    <row r="1659" s="41" customFormat="1" ht="15" customHeight="1"/>
    <row r="1660" s="41" customFormat="1" ht="15" customHeight="1"/>
    <row r="1661" s="41" customFormat="1" ht="15" customHeight="1"/>
    <row r="1662" s="41" customFormat="1" ht="15" customHeight="1"/>
    <row r="1663" s="41" customFormat="1" ht="15" customHeight="1"/>
    <row r="1664" s="41" customFormat="1" ht="15" customHeight="1"/>
    <row r="1665" s="41" customFormat="1" ht="15" customHeight="1"/>
    <row r="1666" s="41" customFormat="1" ht="15" customHeight="1"/>
    <row r="1667" s="41" customFormat="1" ht="15" customHeight="1"/>
    <row r="1668" s="41" customFormat="1" ht="15" customHeight="1"/>
    <row r="1669" s="41" customFormat="1" ht="15" customHeight="1"/>
    <row r="1670" s="41" customFormat="1" ht="15" customHeight="1"/>
    <row r="1671" s="41" customFormat="1" ht="15" customHeight="1"/>
    <row r="1672" s="41" customFormat="1" ht="15" customHeight="1"/>
    <row r="1673" s="41" customFormat="1" ht="15" customHeight="1"/>
    <row r="1674" s="41" customFormat="1" ht="15" customHeight="1"/>
    <row r="1675" s="41" customFormat="1" ht="15" customHeight="1"/>
    <row r="1676" s="41" customFormat="1" ht="15" customHeight="1"/>
    <row r="1677" s="41" customFormat="1" ht="15" customHeight="1"/>
    <row r="1678" s="41" customFormat="1" ht="15" customHeight="1"/>
    <row r="1679" s="41" customFormat="1" ht="15" customHeight="1"/>
    <row r="1680" s="41" customFormat="1" ht="15" customHeight="1"/>
    <row r="1681" s="41" customFormat="1" ht="15" customHeight="1"/>
    <row r="1682" s="41" customFormat="1" ht="15" customHeight="1"/>
    <row r="1683" s="41" customFormat="1" ht="15" customHeight="1"/>
    <row r="1684" s="41" customFormat="1" ht="15" customHeight="1"/>
    <row r="1685" s="41" customFormat="1" ht="15" customHeight="1"/>
    <row r="1686" s="41" customFormat="1" ht="15" customHeight="1"/>
    <row r="1687" s="41" customFormat="1" ht="15" customHeight="1"/>
    <row r="1688" s="41" customFormat="1" ht="15" customHeight="1"/>
    <row r="1689" s="41" customFormat="1" ht="15" customHeight="1"/>
    <row r="1690" s="41" customFormat="1" ht="15" customHeight="1"/>
    <row r="1691" s="41" customFormat="1" ht="15" customHeight="1"/>
    <row r="1692" s="41" customFormat="1" ht="15" customHeight="1"/>
    <row r="1693" s="41" customFormat="1" ht="15" customHeight="1"/>
    <row r="1694" s="41" customFormat="1" ht="15" customHeight="1"/>
    <row r="1695" s="41" customFormat="1" ht="15" customHeight="1"/>
    <row r="1696" s="41" customFormat="1" ht="15" customHeight="1"/>
    <row r="1697" s="41" customFormat="1" ht="15" customHeight="1"/>
    <row r="1698" s="41" customFormat="1" ht="15" customHeight="1"/>
    <row r="1699" s="41" customFormat="1" ht="15" customHeight="1"/>
    <row r="1700" s="41" customFormat="1" ht="15" customHeight="1"/>
    <row r="1701" s="41" customFormat="1" ht="15" customHeight="1"/>
    <row r="1702" s="41" customFormat="1" ht="15" customHeight="1"/>
    <row r="1703" s="41" customFormat="1" ht="15" customHeight="1"/>
    <row r="1704" s="41" customFormat="1" ht="15" customHeight="1"/>
    <row r="1705" s="41" customFormat="1" ht="15" customHeight="1"/>
    <row r="1706" s="41" customFormat="1" ht="15" customHeight="1"/>
    <row r="1707" s="41" customFormat="1" ht="15" customHeight="1"/>
    <row r="1708" s="41" customFormat="1" ht="15" customHeight="1"/>
    <row r="1709" s="41" customFormat="1" ht="15" customHeight="1"/>
    <row r="1710" s="41" customFormat="1" ht="15" customHeight="1"/>
    <row r="1711" s="41" customFormat="1" ht="15" customHeight="1"/>
    <row r="1712" s="41" customFormat="1" ht="15" customHeight="1"/>
    <row r="1713" s="41" customFormat="1" ht="15" customHeight="1"/>
    <row r="1714" s="41" customFormat="1" ht="15" customHeight="1"/>
    <row r="1715" s="41" customFormat="1" ht="15" customHeight="1"/>
    <row r="1716" s="41" customFormat="1" ht="15" customHeight="1"/>
    <row r="1717" s="41" customFormat="1" ht="15" customHeight="1"/>
    <row r="1718" s="41" customFormat="1" ht="15" customHeight="1"/>
    <row r="1719" s="41" customFormat="1" ht="15" customHeight="1"/>
    <row r="1720" s="41" customFormat="1" ht="15" customHeight="1"/>
    <row r="1721" s="41" customFormat="1" ht="15" customHeight="1"/>
    <row r="1722" s="41" customFormat="1" ht="15" customHeight="1"/>
    <row r="1723" s="41" customFormat="1" ht="15" customHeight="1"/>
    <row r="1724" s="41" customFormat="1" ht="15" customHeight="1"/>
    <row r="1725" s="41" customFormat="1" ht="15" customHeight="1"/>
    <row r="1726" s="41" customFormat="1" ht="15" customHeight="1"/>
    <row r="1727" s="41" customFormat="1" ht="15" customHeight="1"/>
    <row r="1728" s="41" customFormat="1" ht="15" customHeight="1"/>
    <row r="1729" s="41" customFormat="1" ht="15" customHeight="1"/>
    <row r="1730" s="41" customFormat="1" ht="15" customHeight="1"/>
    <row r="1731" s="41" customFormat="1" ht="15" customHeight="1"/>
    <row r="1732" s="41" customFormat="1" ht="15" customHeight="1"/>
    <row r="1733" s="41" customFormat="1" ht="15" customHeight="1"/>
    <row r="1734" s="41" customFormat="1" ht="15" customHeight="1"/>
    <row r="1735" s="41" customFormat="1" ht="15" customHeight="1"/>
    <row r="1736" s="41" customFormat="1" ht="15" customHeight="1"/>
    <row r="1737" s="41" customFormat="1" ht="15" customHeight="1"/>
    <row r="1738" s="41" customFormat="1" ht="15" customHeight="1"/>
    <row r="1739" s="41" customFormat="1" ht="15" customHeight="1"/>
    <row r="1740" s="41" customFormat="1" ht="15" customHeight="1"/>
    <row r="1741" s="41" customFormat="1" ht="15" customHeight="1"/>
    <row r="1742" s="41" customFormat="1" ht="15" customHeight="1"/>
    <row r="1743" s="41" customFormat="1" ht="15" customHeight="1"/>
    <row r="1744" s="41" customFormat="1" ht="15" customHeight="1"/>
    <row r="1745" s="41" customFormat="1" ht="15" customHeight="1"/>
    <row r="1746" s="41" customFormat="1" ht="15" customHeight="1"/>
    <row r="1747" s="41" customFormat="1" ht="15" customHeight="1"/>
    <row r="1748" s="41" customFormat="1" ht="15" customHeight="1"/>
    <row r="1749" s="41" customFormat="1" ht="15" customHeight="1"/>
    <row r="1750" s="41" customFormat="1" ht="15" customHeight="1"/>
    <row r="1751" s="41" customFormat="1" ht="15" customHeight="1"/>
    <row r="1752" s="41" customFormat="1" ht="15" customHeight="1"/>
    <row r="1753" s="41" customFormat="1" ht="15" customHeight="1"/>
    <row r="1754" s="41" customFormat="1" ht="15" customHeight="1"/>
    <row r="1755" s="41" customFormat="1" ht="15" customHeight="1"/>
    <row r="1756" s="41" customFormat="1" ht="15" customHeight="1"/>
    <row r="1757" s="41" customFormat="1" ht="15" customHeight="1"/>
    <row r="1758" s="41" customFormat="1" ht="15" customHeight="1"/>
    <row r="1759" s="41" customFormat="1" ht="15" customHeight="1"/>
    <row r="1760" s="41" customFormat="1" ht="15" customHeight="1"/>
    <row r="1761" s="41" customFormat="1" ht="15" customHeight="1"/>
    <row r="1762" s="41" customFormat="1" ht="15" customHeight="1"/>
    <row r="1763" s="41" customFormat="1" ht="15" customHeight="1"/>
    <row r="1764" s="41" customFormat="1" ht="15" customHeight="1"/>
    <row r="1765" s="41" customFormat="1" ht="15" customHeight="1"/>
    <row r="1766" s="41" customFormat="1" ht="15" customHeight="1"/>
    <row r="1767" s="41" customFormat="1" ht="15" customHeight="1"/>
    <row r="1768" s="41" customFormat="1" ht="15" customHeight="1"/>
    <row r="1769" s="41" customFormat="1" ht="15" customHeight="1"/>
    <row r="1770" s="41" customFormat="1" ht="15" customHeight="1"/>
    <row r="1771" s="41" customFormat="1" ht="15" customHeight="1"/>
    <row r="1772" s="41" customFormat="1" ht="15" customHeight="1"/>
    <row r="1773" s="41" customFormat="1" ht="15" customHeight="1"/>
    <row r="1774" s="41" customFormat="1" ht="15" customHeight="1"/>
    <row r="1775" s="41" customFormat="1" ht="15" customHeight="1"/>
    <row r="1776" s="41" customFormat="1" ht="15" customHeight="1"/>
    <row r="1777" s="41" customFormat="1" ht="15" customHeight="1"/>
    <row r="1778" s="41" customFormat="1" ht="15" customHeight="1"/>
    <row r="1779" s="41" customFormat="1" ht="15" customHeight="1"/>
    <row r="1780" s="41" customFormat="1" ht="15" customHeight="1"/>
    <row r="1781" s="41" customFormat="1" ht="15" customHeight="1"/>
    <row r="1782" s="41" customFormat="1" ht="15" customHeight="1"/>
    <row r="1783" s="41" customFormat="1" ht="15" customHeight="1"/>
    <row r="1784" s="41" customFormat="1" ht="15" customHeight="1"/>
    <row r="1785" s="41" customFormat="1" ht="15" customHeight="1"/>
    <row r="1786" s="41" customFormat="1" ht="15" customHeight="1"/>
    <row r="1787" s="41" customFormat="1" ht="15" customHeight="1"/>
    <row r="1788" s="41" customFormat="1" ht="15" customHeight="1"/>
    <row r="1789" s="41" customFormat="1" ht="15" customHeight="1"/>
    <row r="1790" s="41" customFormat="1" ht="15" customHeight="1"/>
    <row r="1791" s="41" customFormat="1" ht="15" customHeight="1"/>
    <row r="1792" s="41" customFormat="1" ht="15" customHeight="1"/>
    <row r="1793" s="41" customFormat="1" ht="15" customHeight="1"/>
    <row r="1794" s="41" customFormat="1" ht="15" customHeight="1"/>
    <row r="1795" s="41" customFormat="1" ht="15" customHeight="1"/>
    <row r="1796" s="41" customFormat="1" ht="15" customHeight="1"/>
    <row r="1797" s="41" customFormat="1" ht="15" customHeight="1"/>
    <row r="1798" s="41" customFormat="1" ht="15" customHeight="1"/>
    <row r="1799" s="41" customFormat="1" ht="15" customHeight="1"/>
    <row r="1800" s="41" customFormat="1" ht="15" customHeight="1"/>
    <row r="1801" s="41" customFormat="1" ht="15" customHeight="1"/>
    <row r="1802" s="41" customFormat="1" ht="15" customHeight="1"/>
    <row r="1803" s="41" customFormat="1" ht="15" customHeight="1"/>
    <row r="1804" s="41" customFormat="1" ht="15" customHeight="1"/>
    <row r="1805" s="41" customFormat="1" ht="15" customHeight="1"/>
    <row r="1806" s="41" customFormat="1" ht="15" customHeight="1"/>
    <row r="1807" s="41" customFormat="1" ht="15" customHeight="1"/>
    <row r="1808" s="41" customFormat="1" ht="15" customHeight="1"/>
    <row r="1809" s="41" customFormat="1" ht="15" customHeight="1"/>
    <row r="1810" s="41" customFormat="1" ht="15" customHeight="1"/>
    <row r="1811" s="41" customFormat="1" ht="15" customHeight="1"/>
    <row r="1812" s="41" customFormat="1" ht="15" customHeight="1"/>
    <row r="1813" s="41" customFormat="1" ht="15" customHeight="1"/>
    <row r="1814" s="41" customFormat="1" ht="15" customHeight="1"/>
    <row r="1815" s="41" customFormat="1" ht="15" customHeight="1"/>
    <row r="1816" s="41" customFormat="1" ht="15" customHeight="1"/>
    <row r="1817" s="41" customFormat="1" ht="15" customHeight="1"/>
    <row r="1818" s="41" customFormat="1" ht="15" customHeight="1"/>
    <row r="1819" s="41" customFormat="1" ht="15" customHeight="1"/>
    <row r="1820" s="41" customFormat="1" ht="15" customHeight="1"/>
    <row r="1821" s="41" customFormat="1" ht="15" customHeight="1"/>
    <row r="1822" s="41" customFormat="1" ht="15" customHeight="1"/>
    <row r="1823" s="41" customFormat="1" ht="15" customHeight="1"/>
    <row r="1824" s="41" customFormat="1" ht="15" customHeight="1"/>
    <row r="1825" s="41" customFormat="1" ht="15" customHeight="1"/>
    <row r="1826" s="41" customFormat="1" ht="15" customHeight="1"/>
    <row r="1827" s="41" customFormat="1" ht="15" customHeight="1"/>
    <row r="1828" s="41" customFormat="1" ht="15" customHeight="1"/>
    <row r="1829" s="41" customFormat="1" ht="15" customHeight="1"/>
    <row r="1830" s="41" customFormat="1" ht="15" customHeight="1"/>
    <row r="1831" s="41" customFormat="1" ht="15" customHeight="1"/>
    <row r="1832" s="41" customFormat="1" ht="15" customHeight="1"/>
    <row r="1833" s="41" customFormat="1" ht="15" customHeight="1"/>
    <row r="1834" s="41" customFormat="1" ht="15" customHeight="1"/>
    <row r="1835" s="41" customFormat="1" ht="15" customHeight="1"/>
    <row r="1836" s="41" customFormat="1" ht="15" customHeight="1"/>
    <row r="1837" s="41" customFormat="1" ht="15" customHeight="1"/>
    <row r="1838" s="41" customFormat="1" ht="15" customHeight="1"/>
    <row r="1839" s="41" customFormat="1" ht="15" customHeight="1"/>
    <row r="1840" s="41" customFormat="1" ht="15" customHeight="1"/>
    <row r="1841" s="41" customFormat="1" ht="15" customHeight="1"/>
    <row r="1842" s="41" customFormat="1" ht="15" customHeight="1"/>
    <row r="1843" s="41" customFormat="1" ht="15" customHeight="1"/>
    <row r="1844" s="41" customFormat="1" ht="15" customHeight="1"/>
    <row r="1845" s="41" customFormat="1" ht="15" customHeight="1"/>
    <row r="1846" s="41" customFormat="1" ht="15" customHeight="1"/>
    <row r="1847" s="41" customFormat="1" ht="15" customHeight="1"/>
    <row r="1848" s="41" customFormat="1" ht="15" customHeight="1"/>
    <row r="1849" s="41" customFormat="1" ht="15" customHeight="1"/>
    <row r="1850" s="41" customFormat="1" ht="15" customHeight="1"/>
    <row r="1851" s="41" customFormat="1" ht="15" customHeight="1"/>
    <row r="1852" s="41" customFormat="1" ht="15" customHeight="1"/>
    <row r="1853" s="41" customFormat="1" ht="15" customHeight="1"/>
    <row r="1854" s="41" customFormat="1" ht="15" customHeight="1"/>
    <row r="1855" s="41" customFormat="1" ht="15" customHeight="1"/>
    <row r="1856" s="41" customFormat="1" ht="15" customHeight="1"/>
    <row r="1857" s="41" customFormat="1" ht="15" customHeight="1"/>
    <row r="1858" s="41" customFormat="1" ht="15" customHeight="1"/>
    <row r="1859" s="41" customFormat="1" ht="15" customHeight="1"/>
    <row r="1860" s="41" customFormat="1" ht="15" customHeight="1"/>
    <row r="1861" s="41" customFormat="1" ht="15" customHeight="1"/>
    <row r="1862" s="41" customFormat="1" ht="15" customHeight="1"/>
    <row r="1863" s="41" customFormat="1" ht="15" customHeight="1"/>
    <row r="1864" s="41" customFormat="1" ht="15" customHeight="1"/>
    <row r="1865" s="41" customFormat="1" ht="15" customHeight="1"/>
    <row r="1866" s="41" customFormat="1" ht="15" customHeight="1"/>
    <row r="1867" s="41" customFormat="1" ht="15" customHeight="1"/>
    <row r="1868" s="41" customFormat="1" ht="15" customHeight="1"/>
    <row r="1869" s="41" customFormat="1" ht="15" customHeight="1"/>
    <row r="1870" s="41" customFormat="1" ht="15" customHeight="1"/>
    <row r="1871" s="41" customFormat="1" ht="15" customHeight="1"/>
    <row r="1872" s="41" customFormat="1" ht="15" customHeight="1"/>
    <row r="1873" s="41" customFormat="1" ht="15" customHeight="1"/>
    <row r="1874" s="41" customFormat="1" ht="15" customHeight="1"/>
    <row r="1875" s="41" customFormat="1" ht="15" customHeight="1"/>
    <row r="1876" s="41" customFormat="1" ht="15" customHeight="1"/>
    <row r="1877" s="41" customFormat="1" ht="15" customHeight="1"/>
    <row r="1878" s="41" customFormat="1" ht="15" customHeight="1"/>
    <row r="1879" s="41" customFormat="1" ht="15" customHeight="1"/>
    <row r="1880" s="41" customFormat="1" ht="15" customHeight="1"/>
    <row r="1881" s="41" customFormat="1" ht="15" customHeight="1"/>
    <row r="1882" s="41" customFormat="1" ht="15" customHeight="1"/>
    <row r="1883" s="41" customFormat="1" ht="15" customHeight="1"/>
    <row r="1884" s="41" customFormat="1" ht="15" customHeight="1"/>
    <row r="1885" s="41" customFormat="1" ht="15" customHeight="1"/>
    <row r="1886" s="41" customFormat="1" ht="15" customHeight="1"/>
    <row r="1887" s="41" customFormat="1" ht="15" customHeight="1"/>
    <row r="1888" s="41" customFormat="1" ht="15" customHeight="1"/>
    <row r="1889" s="41" customFormat="1" ht="15" customHeight="1"/>
    <row r="1890" s="41" customFormat="1" ht="15" customHeight="1"/>
    <row r="1891" s="41" customFormat="1" ht="15" customHeight="1"/>
    <row r="1892" s="41" customFormat="1" ht="15" customHeight="1"/>
    <row r="1893" s="41" customFormat="1" ht="15" customHeight="1"/>
    <row r="1894" s="41" customFormat="1" ht="15" customHeight="1"/>
    <row r="1895" s="41" customFormat="1" ht="15" customHeight="1"/>
    <row r="1896" s="41" customFormat="1" ht="15" customHeight="1"/>
    <row r="1897" s="41" customFormat="1" ht="15" customHeight="1"/>
    <row r="1898" s="41" customFormat="1" ht="15" customHeight="1"/>
    <row r="1899" s="41" customFormat="1" ht="15" customHeight="1"/>
    <row r="1900" s="41" customFormat="1" ht="15" customHeight="1"/>
    <row r="1901" s="41" customFormat="1" ht="15" customHeight="1"/>
    <row r="1902" s="41" customFormat="1" ht="15" customHeight="1"/>
    <row r="1903" s="41" customFormat="1" ht="15" customHeight="1"/>
    <row r="1904" s="41" customFormat="1" ht="15" customHeight="1"/>
    <row r="1905" s="41" customFormat="1" ht="15" customHeight="1"/>
    <row r="1906" s="41" customFormat="1" ht="15" customHeight="1"/>
    <row r="1907" s="41" customFormat="1" ht="15" customHeight="1"/>
    <row r="1908" s="41" customFormat="1" ht="15" customHeight="1"/>
    <row r="1909" s="41" customFormat="1" ht="15" customHeight="1"/>
    <row r="1910" s="41" customFormat="1" ht="15" customHeight="1"/>
    <row r="1911" s="41" customFormat="1" ht="15" customHeight="1"/>
    <row r="1912" s="41" customFormat="1" ht="15" customHeight="1"/>
    <row r="1913" s="41" customFormat="1" ht="15" customHeight="1"/>
    <row r="1914" s="41" customFormat="1" ht="15" customHeight="1"/>
    <row r="1915" s="41" customFormat="1" ht="15" customHeight="1"/>
    <row r="1916" s="41" customFormat="1" ht="15" customHeight="1"/>
    <row r="1917" s="41" customFormat="1" ht="15" customHeight="1"/>
    <row r="1918" s="41" customFormat="1" ht="15" customHeight="1"/>
    <row r="1919" s="41" customFormat="1" ht="15" customHeight="1"/>
    <row r="1920" s="41" customFormat="1" ht="15" customHeight="1"/>
    <row r="1921" s="41" customFormat="1" ht="15" customHeight="1"/>
    <row r="1922" s="41" customFormat="1" ht="15" customHeight="1"/>
    <row r="1923" s="41" customFormat="1" ht="15" customHeight="1"/>
    <row r="1924" s="41" customFormat="1" ht="15" customHeight="1"/>
    <row r="1925" s="41" customFormat="1" ht="15" customHeight="1"/>
    <row r="1926" s="41" customFormat="1" ht="15" customHeight="1"/>
    <row r="1927" s="41" customFormat="1" ht="15" customHeight="1"/>
    <row r="1928" s="41" customFormat="1" ht="15" customHeight="1"/>
    <row r="1929" s="41" customFormat="1" ht="15" customHeight="1"/>
    <row r="1930" s="41" customFormat="1" ht="15" customHeight="1"/>
    <row r="1931" s="41" customFormat="1" ht="15" customHeight="1"/>
    <row r="1932" s="41" customFormat="1" ht="15" customHeight="1"/>
    <row r="1933" s="41" customFormat="1" ht="15" customHeight="1"/>
    <row r="1934" s="41" customFormat="1" ht="15" customHeight="1"/>
    <row r="1935" s="41" customFormat="1" ht="15" customHeight="1"/>
    <row r="1936" s="41" customFormat="1" ht="15" customHeight="1"/>
    <row r="1937" s="41" customFormat="1" ht="15" customHeight="1"/>
    <row r="1938" s="41" customFormat="1" ht="15" customHeight="1"/>
    <row r="1939" s="41" customFormat="1" ht="15" customHeight="1"/>
    <row r="1940" s="41" customFormat="1" ht="15" customHeight="1"/>
    <row r="1941" s="41" customFormat="1" ht="15" customHeight="1"/>
    <row r="1942" s="41" customFormat="1" ht="15" customHeight="1"/>
    <row r="1943" s="41" customFormat="1" ht="15" customHeight="1"/>
    <row r="1944" s="41" customFormat="1" ht="15" customHeight="1"/>
    <row r="1945" s="41" customFormat="1" ht="15" customHeight="1"/>
    <row r="1946" s="41" customFormat="1" ht="15" customHeight="1"/>
    <row r="1947" s="41" customFormat="1" ht="15" customHeight="1"/>
    <row r="1948" s="41" customFormat="1" ht="15" customHeight="1"/>
    <row r="1949" s="41" customFormat="1" ht="15" customHeight="1"/>
    <row r="1950" s="41" customFormat="1" ht="15" customHeight="1"/>
    <row r="1951" s="41" customFormat="1" ht="15" customHeight="1"/>
    <row r="1952" s="41" customFormat="1" ht="15" customHeight="1"/>
    <row r="1953" s="41" customFormat="1" ht="15" customHeight="1"/>
    <row r="1954" s="41" customFormat="1" ht="15" customHeight="1"/>
    <row r="1955" s="41" customFormat="1" ht="15" customHeight="1"/>
    <row r="1956" s="41" customFormat="1" ht="15" customHeight="1"/>
    <row r="1957" s="41" customFormat="1" ht="15" customHeight="1"/>
    <row r="1958" s="41" customFormat="1" ht="15" customHeight="1"/>
    <row r="1959" s="41" customFormat="1" ht="15" customHeight="1"/>
    <row r="1960" s="41" customFormat="1" ht="15" customHeight="1"/>
    <row r="1961" s="41" customFormat="1" ht="15" customHeight="1"/>
    <row r="1962" s="41" customFormat="1" ht="15" customHeight="1"/>
    <row r="1963" s="41" customFormat="1" ht="15" customHeight="1"/>
    <row r="1964" s="41" customFormat="1" ht="15" customHeight="1"/>
    <row r="1965" s="41" customFormat="1" ht="15" customHeight="1"/>
    <row r="1966" s="41" customFormat="1" ht="15" customHeight="1"/>
    <row r="1967" s="41" customFormat="1" ht="15" customHeight="1"/>
    <row r="1968" s="41" customFormat="1" ht="15" customHeight="1"/>
    <row r="1969" s="41" customFormat="1" ht="15" customHeight="1"/>
    <row r="1970" s="41" customFormat="1" ht="15" customHeight="1"/>
    <row r="1971" s="41" customFormat="1" ht="15" customHeight="1"/>
    <row r="1972" s="41" customFormat="1" ht="15" customHeight="1"/>
    <row r="1973" s="41" customFormat="1" ht="15" customHeight="1"/>
    <row r="1974" s="41" customFormat="1" ht="15" customHeight="1"/>
    <row r="1975" s="41" customFormat="1" ht="15" customHeight="1"/>
    <row r="1976" s="41" customFormat="1" ht="15" customHeight="1"/>
    <row r="1977" s="41" customFormat="1" ht="15" customHeight="1"/>
    <row r="1978" s="41" customFormat="1" ht="15" customHeight="1"/>
    <row r="1979" s="41" customFormat="1" ht="15" customHeight="1"/>
    <row r="1980" s="41" customFormat="1" ht="15" customHeight="1"/>
    <row r="1981" s="41" customFormat="1" ht="15" customHeight="1"/>
    <row r="1982" s="41" customFormat="1" ht="15" customHeight="1"/>
    <row r="1983" s="41" customFormat="1" ht="15" customHeight="1"/>
    <row r="1984" s="41" customFormat="1" ht="15" customHeight="1"/>
    <row r="1985" s="41" customFormat="1" ht="15" customHeight="1"/>
    <row r="1986" s="41" customFormat="1" ht="15" customHeight="1"/>
    <row r="1987" s="41" customFormat="1" ht="15" customHeight="1"/>
    <row r="1988" s="41" customFormat="1" ht="15" customHeight="1"/>
    <row r="1989" s="41" customFormat="1" ht="15" customHeight="1"/>
    <row r="1990" s="41" customFormat="1" ht="15" customHeight="1"/>
    <row r="1991" s="41" customFormat="1" ht="15" customHeight="1"/>
    <row r="1992" s="41" customFormat="1" ht="15" customHeight="1"/>
    <row r="1993" s="41" customFormat="1" ht="15" customHeight="1"/>
    <row r="1994" s="41" customFormat="1" ht="15" customHeight="1"/>
    <row r="1995" s="41" customFormat="1" ht="15" customHeight="1"/>
    <row r="1996" s="41" customFormat="1" ht="15" customHeight="1"/>
    <row r="1997" s="41" customFormat="1" ht="15" customHeight="1"/>
    <row r="1998" s="41" customFormat="1" ht="15" customHeight="1"/>
    <row r="1999" s="41" customFormat="1" ht="15" customHeight="1"/>
    <row r="2000" s="41" customFormat="1" ht="15" customHeight="1"/>
    <row r="2001" s="41" customFormat="1" ht="15" customHeight="1"/>
    <row r="2002" s="41" customFormat="1" ht="15" customHeight="1"/>
    <row r="2003" s="41" customFormat="1" ht="15" customHeight="1"/>
    <row r="2004" s="41" customFormat="1" ht="15" customHeight="1"/>
    <row r="2005" s="41" customFormat="1" ht="15" customHeight="1"/>
    <row r="2006" s="41" customFormat="1" ht="15" customHeight="1"/>
    <row r="2007" s="41" customFormat="1" ht="15" customHeight="1"/>
    <row r="2008" s="41" customFormat="1" ht="15" customHeight="1"/>
    <row r="2009" s="41" customFormat="1" ht="15" customHeight="1"/>
    <row r="2010" s="41" customFormat="1" ht="15" customHeight="1"/>
    <row r="2011" s="41" customFormat="1" ht="15" customHeight="1"/>
    <row r="2012" s="41" customFormat="1" ht="15" customHeight="1"/>
    <row r="2013" s="41" customFormat="1" ht="15" customHeight="1"/>
    <row r="2014" s="41" customFormat="1" ht="15" customHeight="1"/>
    <row r="2015" s="41" customFormat="1" ht="15" customHeight="1"/>
    <row r="2016" s="41" customFormat="1" ht="15" customHeight="1"/>
    <row r="2017" s="41" customFormat="1" ht="15" customHeight="1"/>
    <row r="2018" s="41" customFormat="1" ht="15" customHeight="1"/>
    <row r="2019" s="41" customFormat="1" ht="15" customHeight="1"/>
    <row r="2020" s="41" customFormat="1" ht="15" customHeight="1"/>
    <row r="2021" s="41" customFormat="1" ht="15" customHeight="1"/>
    <row r="2022" s="41" customFormat="1" ht="15" customHeight="1"/>
    <row r="2023" s="41" customFormat="1" ht="15" customHeight="1"/>
    <row r="2024" s="41" customFormat="1" ht="15" customHeight="1"/>
    <row r="2025" s="41" customFormat="1" ht="15" customHeight="1"/>
    <row r="2026" s="41" customFormat="1" ht="15" customHeight="1"/>
    <row r="2027" s="41" customFormat="1" ht="15" customHeight="1"/>
    <row r="2028" s="41" customFormat="1" ht="15" customHeight="1"/>
    <row r="2029" s="41" customFormat="1" ht="15" customHeight="1"/>
    <row r="2030" s="41" customFormat="1" ht="15" customHeight="1"/>
    <row r="2031" s="41" customFormat="1" ht="15" customHeight="1"/>
    <row r="2032" s="41" customFormat="1" ht="15" customHeight="1"/>
    <row r="2033" s="41" customFormat="1" ht="15" customHeight="1"/>
    <row r="2034" s="41" customFormat="1" ht="15" customHeight="1"/>
    <row r="2035" s="41" customFormat="1" ht="15" customHeight="1"/>
    <row r="2036" s="41" customFormat="1" ht="15" customHeight="1"/>
    <row r="2037" s="41" customFormat="1" ht="15" customHeight="1"/>
    <row r="2038" s="41" customFormat="1" ht="15" customHeight="1"/>
    <row r="2039" s="41" customFormat="1" ht="15" customHeight="1"/>
    <row r="2040" s="41" customFormat="1" ht="15" customHeight="1"/>
    <row r="2041" s="41" customFormat="1" ht="15" customHeight="1"/>
    <row r="2042" s="41" customFormat="1" ht="15" customHeight="1"/>
    <row r="2043" s="41" customFormat="1" ht="15" customHeight="1"/>
    <row r="2044" s="41" customFormat="1" ht="15" customHeight="1"/>
    <row r="2045" s="41" customFormat="1" ht="15" customHeight="1"/>
    <row r="2046" s="41" customFormat="1" ht="15" customHeight="1"/>
    <row r="2047" s="41" customFormat="1" ht="15" customHeight="1"/>
    <row r="2048" s="41" customFormat="1" ht="15" customHeight="1"/>
    <row r="2049" s="41" customFormat="1" ht="15" customHeight="1"/>
    <row r="2050" s="41" customFormat="1" ht="15" customHeight="1"/>
    <row r="2051" s="41" customFormat="1" ht="15" customHeight="1"/>
    <row r="2052" s="41" customFormat="1" ht="15" customHeight="1"/>
    <row r="2053" s="41" customFormat="1" ht="15" customHeight="1"/>
    <row r="2054" s="41" customFormat="1" ht="15" customHeight="1"/>
    <row r="2055" s="41" customFormat="1" ht="15" customHeight="1"/>
    <row r="2056" s="41" customFormat="1" ht="15" customHeight="1"/>
    <row r="2057" s="41" customFormat="1" ht="15" customHeight="1"/>
    <row r="2058" s="41" customFormat="1" ht="15" customHeight="1"/>
    <row r="2059" s="41" customFormat="1" ht="15" customHeight="1"/>
    <row r="2060" s="41" customFormat="1" ht="15" customHeight="1"/>
    <row r="2061" s="41" customFormat="1" ht="15" customHeight="1"/>
    <row r="2062" s="41" customFormat="1" ht="15" customHeight="1"/>
    <row r="2063" s="41" customFormat="1" ht="15" customHeight="1"/>
    <row r="2064" s="41" customFormat="1" ht="15" customHeight="1"/>
    <row r="2065" s="41" customFormat="1" ht="15" customHeight="1"/>
    <row r="2066" s="41" customFormat="1" ht="15" customHeight="1"/>
    <row r="2067" s="41" customFormat="1" ht="15" customHeight="1"/>
    <row r="2068" s="41" customFormat="1" ht="15" customHeight="1"/>
    <row r="2069" s="41" customFormat="1" ht="15" customHeight="1"/>
    <row r="2070" s="41" customFormat="1" ht="15" customHeight="1"/>
    <row r="2071" s="41" customFormat="1" ht="15" customHeight="1"/>
    <row r="2072" s="41" customFormat="1" ht="15" customHeight="1"/>
    <row r="2073" s="41" customFormat="1" ht="15" customHeight="1"/>
    <row r="2074" s="41" customFormat="1" ht="15" customHeight="1"/>
    <row r="2075" s="41" customFormat="1" ht="15" customHeight="1"/>
    <row r="2076" s="41" customFormat="1" ht="15" customHeight="1"/>
    <row r="2077" s="41" customFormat="1" ht="15" customHeight="1"/>
    <row r="2078" s="41" customFormat="1" ht="15" customHeight="1"/>
    <row r="2079" s="41" customFormat="1" ht="15" customHeight="1"/>
    <row r="2080" s="41" customFormat="1" ht="15" customHeight="1"/>
    <row r="2081" s="41" customFormat="1" ht="15" customHeight="1"/>
    <row r="2082" s="41" customFormat="1" ht="15" customHeight="1"/>
    <row r="2083" s="41" customFormat="1" ht="15" customHeight="1"/>
    <row r="2084" s="41" customFormat="1" ht="15" customHeight="1"/>
    <row r="2085" s="41" customFormat="1" ht="15" customHeight="1"/>
    <row r="2086" s="41" customFormat="1" ht="15" customHeight="1"/>
    <row r="2087" s="41" customFormat="1" ht="15" customHeight="1"/>
    <row r="2088" s="41" customFormat="1" ht="15" customHeight="1"/>
    <row r="2089" s="41" customFormat="1" ht="15" customHeight="1"/>
    <row r="2090" s="41" customFormat="1" ht="15" customHeight="1"/>
    <row r="2091" s="41" customFormat="1" ht="15" customHeight="1"/>
    <row r="2092" s="41" customFormat="1" ht="15" customHeight="1"/>
    <row r="2093" s="41" customFormat="1" ht="15" customHeight="1"/>
    <row r="2094" s="41" customFormat="1" ht="15" customHeight="1"/>
    <row r="2095" s="41" customFormat="1" ht="15" customHeight="1"/>
    <row r="2096" s="41" customFormat="1" ht="15" customHeight="1"/>
    <row r="2097" s="41" customFormat="1" ht="15" customHeight="1"/>
    <row r="2098" s="41" customFormat="1" ht="15" customHeight="1"/>
    <row r="2099" s="41" customFormat="1" ht="15" customHeight="1"/>
    <row r="2100" s="41" customFormat="1" ht="15" customHeight="1"/>
    <row r="2101" s="41" customFormat="1" ht="15" customHeight="1"/>
    <row r="2102" s="41" customFormat="1" ht="15" customHeight="1"/>
    <row r="2103" s="41" customFormat="1" ht="15" customHeight="1"/>
    <row r="2104" s="41" customFormat="1" ht="15" customHeight="1"/>
    <row r="2105" s="41" customFormat="1" ht="15" customHeight="1"/>
    <row r="2106" s="41" customFormat="1" ht="15" customHeight="1"/>
    <row r="2107" s="41" customFormat="1" ht="15" customHeight="1"/>
    <row r="2108" s="41" customFormat="1" ht="15" customHeight="1"/>
    <row r="2109" s="41" customFormat="1" ht="15" customHeight="1"/>
    <row r="2110" s="41" customFormat="1" ht="15" customHeight="1"/>
    <row r="2111" s="41" customFormat="1" ht="15" customHeight="1"/>
    <row r="2112" s="41" customFormat="1" ht="15" customHeight="1"/>
    <row r="2113" s="41" customFormat="1" ht="15" customHeight="1"/>
    <row r="2114" s="41" customFormat="1" ht="15" customHeight="1"/>
    <row r="2115" s="41" customFormat="1" ht="15" customHeight="1"/>
    <row r="2116" s="41" customFormat="1" ht="15" customHeight="1"/>
    <row r="2117" s="41" customFormat="1" ht="15" customHeight="1"/>
    <row r="2118" s="41" customFormat="1" ht="15" customHeight="1"/>
    <row r="2119" s="41" customFormat="1" ht="15" customHeight="1"/>
    <row r="2120" s="41" customFormat="1" ht="15" customHeight="1"/>
    <row r="2121" s="41" customFormat="1" ht="15" customHeight="1"/>
    <row r="2122" s="41" customFormat="1" ht="15" customHeight="1"/>
    <row r="2123" s="41" customFormat="1" ht="15" customHeight="1"/>
    <row r="2124" s="41" customFormat="1" ht="15" customHeight="1"/>
    <row r="2125" s="41" customFormat="1" ht="15" customHeight="1"/>
    <row r="2126" s="41" customFormat="1" ht="15" customHeight="1"/>
    <row r="2127" s="41" customFormat="1" ht="15" customHeight="1"/>
    <row r="2128" s="41" customFormat="1" ht="15" customHeight="1"/>
    <row r="2129" s="41" customFormat="1" ht="15" customHeight="1"/>
    <row r="2130" s="41" customFormat="1" ht="15" customHeight="1"/>
    <row r="2131" s="41" customFormat="1" ht="15" customHeight="1"/>
    <row r="2132" s="41" customFormat="1" ht="15" customHeight="1"/>
    <row r="2133" s="41" customFormat="1" ht="15" customHeight="1"/>
    <row r="2134" s="41" customFormat="1" ht="15" customHeight="1"/>
    <row r="2135" s="41" customFormat="1" ht="15" customHeight="1"/>
    <row r="2136" s="41" customFormat="1" ht="15" customHeight="1"/>
    <row r="2137" s="41" customFormat="1" ht="15" customHeight="1"/>
    <row r="2138" s="41" customFormat="1" ht="15" customHeight="1"/>
    <row r="2139" s="41" customFormat="1" ht="15" customHeight="1"/>
    <row r="2140" s="41" customFormat="1" ht="15" customHeight="1"/>
    <row r="2141" s="41" customFormat="1" ht="15" customHeight="1"/>
    <row r="2142" s="41" customFormat="1" ht="15" customHeight="1"/>
    <row r="2143" s="41" customFormat="1" ht="15" customHeight="1"/>
    <row r="2144" s="41" customFormat="1" ht="15" customHeight="1"/>
    <row r="2145" s="41" customFormat="1" ht="15" customHeight="1"/>
    <row r="2146" s="41" customFormat="1" ht="15" customHeight="1"/>
    <row r="2147" s="41" customFormat="1" ht="15" customHeight="1"/>
    <row r="2148" s="41" customFormat="1" ht="15" customHeight="1"/>
    <row r="2149" s="41" customFormat="1" ht="15" customHeight="1"/>
    <row r="2150" s="41" customFormat="1" ht="15" customHeight="1"/>
    <row r="2151" s="41" customFormat="1" ht="15" customHeight="1"/>
    <row r="2152" s="41" customFormat="1" ht="15" customHeight="1"/>
    <row r="2153" s="41" customFormat="1" ht="15" customHeight="1"/>
    <row r="2154" s="41" customFormat="1" ht="15" customHeight="1"/>
    <row r="2155" s="41" customFormat="1" ht="15" customHeight="1"/>
    <row r="2156" s="41" customFormat="1" ht="15" customHeight="1"/>
    <row r="2157" s="41" customFormat="1" ht="15" customHeight="1"/>
    <row r="2158" s="41" customFormat="1" ht="15" customHeight="1"/>
    <row r="2159" s="41" customFormat="1" ht="15" customHeight="1"/>
    <row r="2160" s="41" customFormat="1" ht="15" customHeight="1"/>
    <row r="2161" s="41" customFormat="1" ht="15" customHeight="1"/>
    <row r="2162" s="41" customFormat="1" ht="15" customHeight="1"/>
    <row r="2163" s="41" customFormat="1" ht="15" customHeight="1"/>
    <row r="2164" s="41" customFormat="1" ht="15" customHeight="1"/>
    <row r="2165" s="41" customFormat="1" ht="15" customHeight="1"/>
    <row r="2166" s="41" customFormat="1" ht="15" customHeight="1"/>
    <row r="2167" s="41" customFormat="1" ht="15" customHeight="1"/>
    <row r="2168" s="41" customFormat="1" ht="15" customHeight="1"/>
    <row r="2169" s="41" customFormat="1" ht="15" customHeight="1"/>
    <row r="2170" s="41" customFormat="1" ht="15" customHeight="1"/>
    <row r="2171" s="41" customFormat="1" ht="15" customHeight="1"/>
    <row r="2172" s="41" customFormat="1" ht="15" customHeight="1"/>
    <row r="2173" s="41" customFormat="1" ht="15" customHeight="1"/>
    <row r="2174" s="41" customFormat="1" ht="15" customHeight="1"/>
    <row r="2175" s="41" customFormat="1" ht="15" customHeight="1"/>
    <row r="2176" s="41" customFormat="1" ht="15" customHeight="1"/>
    <row r="2177" s="41" customFormat="1" ht="15" customHeight="1"/>
    <row r="2178" s="41" customFormat="1" ht="15" customHeight="1"/>
    <row r="2179" s="41" customFormat="1" ht="15" customHeight="1"/>
    <row r="2180" s="41" customFormat="1" ht="15" customHeight="1"/>
    <row r="2181" s="41" customFormat="1" ht="15" customHeight="1"/>
    <row r="2182" s="41" customFormat="1" ht="15" customHeight="1"/>
    <row r="2183" s="41" customFormat="1" ht="15" customHeight="1"/>
    <row r="2184" s="41" customFormat="1" ht="15" customHeight="1"/>
    <row r="2185" s="41" customFormat="1" ht="15" customHeight="1"/>
    <row r="2186" s="41" customFormat="1" ht="15" customHeight="1"/>
    <row r="2187" s="41" customFormat="1" ht="15" customHeight="1"/>
    <row r="2188" s="41" customFormat="1" ht="15" customHeight="1"/>
    <row r="2189" s="41" customFormat="1" ht="15" customHeight="1"/>
    <row r="2190" s="41" customFormat="1" ht="15" customHeight="1"/>
    <row r="2191" s="41" customFormat="1" ht="15" customHeight="1"/>
    <row r="2192" s="41" customFormat="1" ht="15" customHeight="1"/>
    <row r="2193" s="41" customFormat="1" ht="15" customHeight="1"/>
    <row r="2194" s="41" customFormat="1" ht="15" customHeight="1"/>
    <row r="2195" s="41" customFormat="1" ht="15" customHeight="1"/>
    <row r="2196" s="41" customFormat="1" ht="15" customHeight="1"/>
    <row r="2197" s="41" customFormat="1" ht="15" customHeight="1"/>
    <row r="2198" s="41" customFormat="1" ht="15" customHeight="1"/>
    <row r="2199" s="41" customFormat="1" ht="15" customHeight="1"/>
    <row r="2200" s="41" customFormat="1" ht="15" customHeight="1"/>
    <row r="2201" s="41" customFormat="1" ht="15" customHeight="1"/>
    <row r="2202" s="41" customFormat="1" ht="15" customHeight="1"/>
    <row r="2203" s="41" customFormat="1" ht="15" customHeight="1"/>
    <row r="2204" s="41" customFormat="1" ht="15" customHeight="1"/>
    <row r="2205" s="41" customFormat="1" ht="15" customHeight="1"/>
    <row r="2206" s="41" customFormat="1" ht="15" customHeight="1"/>
    <row r="2207" s="41" customFormat="1" ht="15" customHeight="1"/>
    <row r="2208" s="41" customFormat="1" ht="15" customHeight="1"/>
    <row r="2209" s="41" customFormat="1" ht="15" customHeight="1"/>
    <row r="2210" s="41" customFormat="1" ht="15" customHeight="1"/>
    <row r="2211" s="41" customFormat="1" ht="15" customHeight="1"/>
    <row r="2212" s="41" customFormat="1" ht="15" customHeight="1"/>
    <row r="2213" s="41" customFormat="1" ht="15" customHeight="1"/>
    <row r="2214" s="41" customFormat="1" ht="15" customHeight="1"/>
    <row r="2215" s="41" customFormat="1" ht="15" customHeight="1"/>
    <row r="2216" s="41" customFormat="1" ht="15" customHeight="1"/>
    <row r="2217" s="41" customFormat="1" ht="15" customHeight="1"/>
    <row r="2218" s="41" customFormat="1" ht="15" customHeight="1"/>
    <row r="2219" s="41" customFormat="1" ht="15" customHeight="1"/>
    <row r="2220" s="41" customFormat="1" ht="15" customHeight="1"/>
    <row r="2221" s="41" customFormat="1" ht="15" customHeight="1"/>
    <row r="2222" s="41" customFormat="1" ht="15" customHeight="1"/>
    <row r="2223" s="41" customFormat="1" ht="15" customHeight="1"/>
    <row r="2224" s="41" customFormat="1" ht="15" customHeight="1"/>
    <row r="2225" s="41" customFormat="1" ht="15" customHeight="1"/>
    <row r="2226" s="41" customFormat="1" ht="15" customHeight="1"/>
    <row r="2227" s="41" customFormat="1" ht="15" customHeight="1"/>
    <row r="2228" s="41" customFormat="1" ht="15" customHeight="1"/>
    <row r="2229" s="41" customFormat="1" ht="15" customHeight="1"/>
    <row r="2230" s="41" customFormat="1" ht="15" customHeight="1"/>
    <row r="2231" s="41" customFormat="1" ht="15" customHeight="1"/>
    <row r="2232" s="41" customFormat="1" ht="15" customHeight="1"/>
    <row r="2233" s="41" customFormat="1" ht="15" customHeight="1"/>
    <row r="2234" s="41" customFormat="1" ht="15" customHeight="1"/>
    <row r="2235" s="41" customFormat="1" ht="15" customHeight="1"/>
    <row r="2236" s="41" customFormat="1" ht="15" customHeight="1"/>
    <row r="2237" s="41" customFormat="1" ht="15" customHeight="1"/>
    <row r="2238" s="41" customFormat="1" ht="15" customHeight="1"/>
    <row r="2239" s="41" customFormat="1" ht="15" customHeight="1"/>
    <row r="2240" s="41" customFormat="1" ht="15" customHeight="1"/>
    <row r="2241" s="41" customFormat="1" ht="15" customHeight="1"/>
    <row r="2242" s="41" customFormat="1" ht="15" customHeight="1"/>
    <row r="2243" s="41" customFormat="1" ht="15" customHeight="1"/>
    <row r="2244" s="41" customFormat="1" ht="15" customHeight="1"/>
    <row r="2245" s="41" customFormat="1" ht="15" customHeight="1"/>
    <row r="2246" s="41" customFormat="1" ht="15" customHeight="1"/>
    <row r="2247" s="41" customFormat="1" ht="15" customHeight="1"/>
    <row r="2248" s="41" customFormat="1" ht="15" customHeight="1"/>
    <row r="2249" s="41" customFormat="1" ht="15" customHeight="1"/>
    <row r="2250" s="41" customFormat="1" ht="15" customHeight="1"/>
    <row r="2251" s="41" customFormat="1" ht="15" customHeight="1"/>
    <row r="2252" s="41" customFormat="1" ht="15" customHeight="1"/>
    <row r="2253" s="41" customFormat="1" ht="15" customHeight="1"/>
    <row r="2254" s="41" customFormat="1" ht="15" customHeight="1"/>
    <row r="2255" s="41" customFormat="1" ht="15" customHeight="1"/>
    <row r="2256" s="41" customFormat="1" ht="15" customHeight="1"/>
    <row r="2257" s="41" customFormat="1" ht="15" customHeight="1"/>
    <row r="2258" s="41" customFormat="1" ht="15" customHeight="1"/>
    <row r="2259" s="41" customFormat="1" ht="15" customHeight="1"/>
    <row r="2260" s="41" customFormat="1" ht="15" customHeight="1"/>
    <row r="2261" s="41" customFormat="1" ht="15" customHeight="1"/>
    <row r="2262" s="41" customFormat="1" ht="15" customHeight="1"/>
    <row r="2263" s="41" customFormat="1" ht="15" customHeight="1"/>
    <row r="2264" s="41" customFormat="1" ht="15" customHeight="1"/>
    <row r="2265" s="41" customFormat="1" ht="15" customHeight="1"/>
    <row r="2266" s="41" customFormat="1" ht="15" customHeight="1"/>
    <row r="2267" s="41" customFormat="1" ht="15" customHeight="1"/>
    <row r="2268" s="41" customFormat="1" ht="15" customHeight="1"/>
    <row r="2269" s="41" customFormat="1" ht="15" customHeight="1"/>
    <row r="2270" s="41" customFormat="1" ht="15" customHeight="1"/>
    <row r="2271" s="41" customFormat="1" ht="15" customHeight="1"/>
    <row r="2272" s="41" customFormat="1" ht="15" customHeight="1"/>
    <row r="2273" s="41" customFormat="1" ht="15" customHeight="1"/>
    <row r="2274" s="41" customFormat="1" ht="15" customHeight="1"/>
    <row r="2275" s="41" customFormat="1" ht="15" customHeight="1"/>
    <row r="2276" s="41" customFormat="1" ht="15" customHeight="1"/>
    <row r="2277" s="41" customFormat="1" ht="15" customHeight="1"/>
    <row r="2278" s="41" customFormat="1" ht="15" customHeight="1"/>
    <row r="2279" s="41" customFormat="1" ht="15" customHeight="1"/>
    <row r="2280" s="41" customFormat="1" ht="15" customHeight="1"/>
    <row r="2281" s="41" customFormat="1" ht="15" customHeight="1"/>
    <row r="2282" s="41" customFormat="1" ht="15" customHeight="1"/>
    <row r="2283" s="41" customFormat="1" ht="15" customHeight="1"/>
    <row r="2284" s="41" customFormat="1" ht="15" customHeight="1"/>
    <row r="2285" s="41" customFormat="1" ht="15" customHeight="1"/>
    <row r="2286" s="41" customFormat="1" ht="15" customHeight="1"/>
    <row r="2287" s="41" customFormat="1" ht="15" customHeight="1"/>
    <row r="2288" s="41" customFormat="1" ht="15" customHeight="1"/>
    <row r="2289" s="41" customFormat="1" ht="15" customHeight="1"/>
    <row r="2290" s="41" customFormat="1" ht="15" customHeight="1"/>
    <row r="2291" s="41" customFormat="1" ht="15" customHeight="1"/>
    <row r="2292" s="41" customFormat="1" ht="15" customHeight="1"/>
    <row r="2293" s="41" customFormat="1" ht="15" customHeight="1"/>
    <row r="2294" s="41" customFormat="1" ht="15" customHeight="1"/>
    <row r="2295" s="41" customFormat="1" ht="15" customHeight="1"/>
    <row r="2296" s="41" customFormat="1" ht="15" customHeight="1"/>
    <row r="2297" s="41" customFormat="1" ht="15" customHeight="1"/>
    <row r="2298" s="41" customFormat="1" ht="15" customHeight="1"/>
    <row r="2299" s="41" customFormat="1" ht="15" customHeight="1"/>
    <row r="2300" s="41" customFormat="1" ht="15" customHeight="1"/>
    <row r="2301" s="41" customFormat="1" ht="15" customHeight="1"/>
    <row r="2302" s="41" customFormat="1" ht="15" customHeight="1"/>
    <row r="2303" s="41" customFormat="1" ht="15" customHeight="1"/>
    <row r="2304" s="41" customFormat="1" ht="15" customHeight="1"/>
    <row r="2305" s="41" customFormat="1" ht="15" customHeight="1"/>
    <row r="2306" s="41" customFormat="1" ht="15" customHeight="1"/>
    <row r="2307" s="41" customFormat="1" ht="15" customHeight="1"/>
    <row r="2308" s="41" customFormat="1" ht="15" customHeight="1"/>
    <row r="2309" s="41" customFormat="1" ht="15" customHeight="1"/>
    <row r="2310" s="41" customFormat="1" ht="15" customHeight="1"/>
    <row r="2311" s="41" customFormat="1" ht="15" customHeight="1"/>
    <row r="2312" s="41" customFormat="1" ht="15" customHeight="1"/>
    <row r="2313" s="41" customFormat="1" ht="15" customHeight="1"/>
    <row r="2314" s="41" customFormat="1" ht="15" customHeight="1"/>
    <row r="2315" s="41" customFormat="1" ht="15" customHeight="1"/>
    <row r="2316" s="41" customFormat="1" ht="15" customHeight="1"/>
    <row r="2317" s="41" customFormat="1" ht="15" customHeight="1"/>
    <row r="2318" s="41" customFormat="1" ht="15" customHeight="1"/>
    <row r="2319" s="41" customFormat="1" ht="15" customHeight="1"/>
    <row r="2320" s="41" customFormat="1" ht="15" customHeight="1"/>
    <row r="2321" s="41" customFormat="1" ht="15" customHeight="1"/>
    <row r="2322" s="41" customFormat="1" ht="15" customHeight="1"/>
    <row r="2323" s="41" customFormat="1" ht="15" customHeight="1"/>
    <row r="2324" s="41" customFormat="1" ht="15" customHeight="1"/>
    <row r="2325" s="41" customFormat="1" ht="15" customHeight="1"/>
    <row r="2326" s="41" customFormat="1" ht="15" customHeight="1"/>
  </sheetData>
  <mergeCells count="4">
    <mergeCell ref="B6:E6"/>
    <mergeCell ref="B23:E23"/>
    <mergeCell ref="B43:E43"/>
    <mergeCell ref="B62:B64"/>
  </mergeCells>
  <pageMargins left="0.7" right="0.7" top="0.75" bottom="0.75" header="0" footer="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activeCell="F20" sqref="F20"/>
    </sheetView>
  </sheetViews>
  <sheetFormatPr baseColWidth="10" defaultColWidth="14.5" defaultRowHeight="15" customHeight="1"/>
  <cols>
    <col min="1" max="26" width="8.6640625" customWidth="1"/>
  </cols>
  <sheetData>
    <row r="1" spans="1:26" ht="16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6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6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6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6">
      <c r="A5" s="19"/>
      <c r="B5" s="19"/>
      <c r="C5" s="19"/>
      <c r="D5" s="19"/>
      <c r="E5" s="42" t="s">
        <v>63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6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6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6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6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6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6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6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6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6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6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6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6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6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6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ageMargins left="0.7" right="0.7" top="0.75" bottom="0.75" header="0" footer="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011ED-20A4-E04D-9711-4B38301276FF}">
  <dimension ref="A1:B16"/>
  <sheetViews>
    <sheetView workbookViewId="0">
      <selection activeCell="A10" sqref="A10:A16"/>
    </sheetView>
  </sheetViews>
  <sheetFormatPr baseColWidth="10" defaultRowHeight="15"/>
  <sheetData>
    <row r="1" spans="1:2" ht="17" thickBot="1">
      <c r="A1" s="45">
        <v>0.70902777777777781</v>
      </c>
      <c r="B1" s="46">
        <v>1.1680555555555556</v>
      </c>
    </row>
    <row r="2" spans="1:2" ht="17" thickBot="1">
      <c r="A2" s="47">
        <v>1.0458333333333334</v>
      </c>
      <c r="B2" s="48">
        <v>0.89444444444444449</v>
      </c>
    </row>
    <row r="3" spans="1:2" ht="17" thickBot="1">
      <c r="A3" s="47">
        <v>1.4645833333333333</v>
      </c>
      <c r="B3" s="48">
        <v>1.0048611111111112</v>
      </c>
    </row>
    <row r="4" spans="1:2" ht="17" thickBot="1">
      <c r="A4" s="47">
        <v>1.7506944444444446</v>
      </c>
      <c r="B4" s="48">
        <v>1</v>
      </c>
    </row>
    <row r="5" spans="1:2" ht="17" thickBot="1">
      <c r="A5" s="47">
        <v>2.2972222222222221</v>
      </c>
      <c r="B5" s="48">
        <v>1.0847222222222221</v>
      </c>
    </row>
    <row r="6" spans="1:2" ht="17" thickBot="1">
      <c r="A6" s="47">
        <v>70</v>
      </c>
      <c r="B6" s="48">
        <v>0.96458333333333335</v>
      </c>
    </row>
    <row r="7" spans="1:2" ht="17" thickBot="1">
      <c r="A7" s="47">
        <v>100</v>
      </c>
      <c r="B7" s="48">
        <v>0.79305555555555551</v>
      </c>
    </row>
    <row r="9" spans="1:2" ht="16" thickBot="1"/>
    <row r="10" spans="1:2" ht="17" thickBot="1">
      <c r="A10" s="43">
        <v>0.70902777777777781</v>
      </c>
    </row>
    <row r="11" spans="1:2" ht="17" thickBot="1">
      <c r="A11" s="44">
        <v>1.0458333333333334</v>
      </c>
    </row>
    <row r="12" spans="1:2" ht="17" thickBot="1">
      <c r="A12" s="44">
        <v>1.4645833333333333</v>
      </c>
    </row>
    <row r="13" spans="1:2" ht="17" thickBot="1">
      <c r="A13" s="44">
        <v>1.7506944444444446</v>
      </c>
    </row>
    <row r="14" spans="1:2" ht="17" thickBot="1">
      <c r="A14" s="44">
        <v>2.2972222222222221</v>
      </c>
    </row>
    <row r="15" spans="1:2" ht="17" thickBot="1">
      <c r="A15" s="44">
        <v>70</v>
      </c>
    </row>
    <row r="16" spans="1:2" ht="17" thickBot="1">
      <c r="A16" s="4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25Juli</vt:lpstr>
      <vt:lpstr>17 Jan24</vt:lpstr>
      <vt:lpstr>22 Juni</vt:lpstr>
      <vt:lpstr>17 Maret</vt:lpstr>
      <vt:lpstr>29 Oct 24</vt:lpstr>
      <vt:lpstr>24 Feb 25</vt:lpstr>
      <vt:lpstr>17 Okt 24</vt:lpstr>
      <vt:lpstr>5 Mar 2</vt:lpstr>
      <vt:lpstr>11 Mar 25</vt:lpstr>
      <vt:lpstr>28 Oct 25</vt:lpstr>
      <vt:lpstr>aesha</vt:lpstr>
      <vt:lpstr>Illustration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</dc:creator>
  <cp:lastModifiedBy>AUFANNI NARIRATRI NUR</cp:lastModifiedBy>
  <dcterms:created xsi:type="dcterms:W3CDTF">2012-06-12T06:33:36Z</dcterms:created>
  <dcterms:modified xsi:type="dcterms:W3CDTF">2025-11-11T02:43:13Z</dcterms:modified>
</cp:coreProperties>
</file>