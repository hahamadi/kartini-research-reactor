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0.xml" ContentType="application/vnd.openxmlformats-officedocument.drawing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1.xml" ContentType="application/vnd.openxmlformats-officedocument.drawing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2.xml" ContentType="application/vnd.openxmlformats-officedocument.drawing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7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9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Windows\Downloads\"/>
    </mc:Choice>
  </mc:AlternateContent>
  <xr:revisionPtr revIDLastSave="0" documentId="13_ncr:1_{D22CC570-1834-4ED5-B677-51B06D6CE544}" xr6:coauthVersionLast="47" xr6:coauthVersionMax="47" xr10:uidLastSave="{00000000-0000-0000-0000-000000000000}"/>
  <bookViews>
    <workbookView xWindow="28680" yWindow="-120" windowWidth="29040" windowHeight="16440" tabRatio="439" activeTab="11" xr2:uid="{00000000-000D-0000-FFFF-FFFF00000000}"/>
  </bookViews>
  <sheets>
    <sheet name="25Juli" sheetId="5" state="hidden" r:id="rId1"/>
    <sheet name="17 Jan24" sheetId="4" state="hidden" r:id="rId2"/>
    <sheet name="22 Juni" sheetId="1" state="hidden" r:id="rId3"/>
    <sheet name="17 Maret" sheetId="2" state="hidden" r:id="rId4"/>
    <sheet name="17 Okt 24" sheetId="6" state="hidden" r:id="rId5"/>
    <sheet name="29 Oct 24" sheetId="7" state="hidden" r:id="rId6"/>
    <sheet name="24 Feb 25" sheetId="8" state="hidden" r:id="rId7"/>
    <sheet name="5 Mar 2" sheetId="9" state="hidden" r:id="rId8"/>
    <sheet name="11 Mar 25" sheetId="10" state="hidden" r:id="rId9"/>
    <sheet name="09 Mei 2025" sheetId="11" state="hidden" r:id="rId10"/>
    <sheet name="26 Nov 25" sheetId="13" state="hidden" r:id="rId11"/>
    <sheet name="07 Jan 26" sheetId="14" r:id="rId12"/>
    <sheet name="Illustration" sheetId="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4" l="1"/>
  <c r="C66" i="14"/>
  <c r="C64" i="14"/>
  <c r="C62" i="14"/>
  <c r="C61" i="14"/>
  <c r="D49" i="14"/>
  <c r="D50" i="14"/>
  <c r="D51" i="14"/>
  <c r="D52" i="14"/>
  <c r="D53" i="14"/>
  <c r="D54" i="14"/>
  <c r="D48" i="14"/>
  <c r="E48" i="14" s="1"/>
  <c r="D29" i="14"/>
  <c r="E29" i="14" s="1"/>
  <c r="D30" i="14"/>
  <c r="D31" i="14"/>
  <c r="D32" i="14"/>
  <c r="D33" i="14"/>
  <c r="D34" i="14"/>
  <c r="D28" i="14"/>
  <c r="E28" i="14" s="1"/>
  <c r="D10" i="14"/>
  <c r="E10" i="14"/>
  <c r="E11" i="14" s="1"/>
  <c r="E12" i="14" s="1"/>
  <c r="D11" i="14"/>
  <c r="D12" i="14"/>
  <c r="D13" i="14"/>
  <c r="D14" i="14"/>
  <c r="D15" i="14"/>
  <c r="D16" i="14"/>
  <c r="D17" i="14"/>
  <c r="C55" i="14"/>
  <c r="E55" i="14" s="1"/>
  <c r="C35" i="14"/>
  <c r="C18" i="14"/>
  <c r="C65" i="13"/>
  <c r="C66" i="13"/>
  <c r="C64" i="13"/>
  <c r="C18" i="13"/>
  <c r="E10" i="13"/>
  <c r="D16" i="13"/>
  <c r="D17" i="13"/>
  <c r="D66" i="14" l="1"/>
  <c r="E49" i="14"/>
  <c r="D64" i="14"/>
  <c r="E50" i="14"/>
  <c r="E51" i="14" s="1"/>
  <c r="E52" i="14" s="1"/>
  <c r="E53" i="14" s="1"/>
  <c r="E54" i="14" s="1"/>
  <c r="E30" i="14"/>
  <c r="E31" i="14" s="1"/>
  <c r="E32" i="14" s="1"/>
  <c r="E33" i="14" s="1"/>
  <c r="E34" i="14" s="1"/>
  <c r="E13" i="14"/>
  <c r="E14" i="14" s="1"/>
  <c r="E15" i="14" s="1"/>
  <c r="E16" i="14" s="1"/>
  <c r="E17" i="14" s="1"/>
  <c r="D62" i="14"/>
  <c r="C63" i="14"/>
  <c r="D63" i="14" s="1"/>
  <c r="C19" i="14"/>
  <c r="E35" i="14"/>
  <c r="C56" i="14"/>
  <c r="E18" i="14"/>
  <c r="C36" i="14"/>
  <c r="C55" i="13"/>
  <c r="D66" i="13" s="1"/>
  <c r="D54" i="13"/>
  <c r="D53" i="13"/>
  <c r="D52" i="13"/>
  <c r="D51" i="13"/>
  <c r="D50" i="13"/>
  <c r="D49" i="13"/>
  <c r="E48" i="13"/>
  <c r="E49" i="13" s="1"/>
  <c r="E50" i="13" s="1"/>
  <c r="E51" i="13" s="1"/>
  <c r="E52" i="13" s="1"/>
  <c r="E53" i="13" s="1"/>
  <c r="E54" i="13" s="1"/>
  <c r="D48" i="13"/>
  <c r="C35" i="13"/>
  <c r="C36" i="13" s="1"/>
  <c r="D34" i="13"/>
  <c r="D33" i="13"/>
  <c r="D32" i="13"/>
  <c r="D31" i="13"/>
  <c r="D30" i="13"/>
  <c r="D29" i="13"/>
  <c r="E28" i="13"/>
  <c r="E29" i="13" s="1"/>
  <c r="E30" i="13" s="1"/>
  <c r="E31" i="13" s="1"/>
  <c r="E32" i="13" s="1"/>
  <c r="E33" i="13" s="1"/>
  <c r="E34" i="13" s="1"/>
  <c r="D28" i="13"/>
  <c r="C62" i="13"/>
  <c r="D62" i="13" s="1"/>
  <c r="D15" i="13"/>
  <c r="D14" i="13"/>
  <c r="D13" i="13"/>
  <c r="D12" i="13"/>
  <c r="D11" i="13"/>
  <c r="E11" i="13"/>
  <c r="E12" i="13" s="1"/>
  <c r="E13" i="13" s="1"/>
  <c r="E14" i="13" s="1"/>
  <c r="E15" i="13" s="1"/>
  <c r="E16" i="13" s="1"/>
  <c r="E17" i="13" s="1"/>
  <c r="D10" i="13"/>
  <c r="C65" i="11"/>
  <c r="C66" i="11"/>
  <c r="D11" i="11"/>
  <c r="C55" i="11"/>
  <c r="C56" i="11" s="1"/>
  <c r="D54" i="11"/>
  <c r="D53" i="11"/>
  <c r="D52" i="11"/>
  <c r="D51" i="11"/>
  <c r="D50" i="11"/>
  <c r="D49" i="11"/>
  <c r="D48" i="11"/>
  <c r="E47" i="11"/>
  <c r="E48" i="11" s="1"/>
  <c r="E49" i="11" s="1"/>
  <c r="E50" i="11" s="1"/>
  <c r="E51" i="11" s="1"/>
  <c r="E52" i="11" s="1"/>
  <c r="E53" i="11" s="1"/>
  <c r="E54" i="11" s="1"/>
  <c r="D47" i="11"/>
  <c r="C34" i="11"/>
  <c r="D33" i="11"/>
  <c r="D32" i="11"/>
  <c r="D31" i="11"/>
  <c r="D30" i="11"/>
  <c r="D29" i="11"/>
  <c r="D28" i="11"/>
  <c r="E27" i="11"/>
  <c r="E28" i="11" s="1"/>
  <c r="E29" i="11" s="1"/>
  <c r="E30" i="11" s="1"/>
  <c r="E31" i="11" s="1"/>
  <c r="E32" i="11" s="1"/>
  <c r="E33" i="11" s="1"/>
  <c r="D27" i="11"/>
  <c r="C17" i="11"/>
  <c r="C62" i="11" s="1"/>
  <c r="D62" i="11" s="1"/>
  <c r="D16" i="11"/>
  <c r="D15" i="11"/>
  <c r="D14" i="11"/>
  <c r="D13" i="11"/>
  <c r="D12" i="11"/>
  <c r="E10" i="11"/>
  <c r="D10" i="11"/>
  <c r="C68" i="10"/>
  <c r="C65" i="10"/>
  <c r="D36" i="10"/>
  <c r="C58" i="10"/>
  <c r="C59" i="10" s="1"/>
  <c r="D57" i="10"/>
  <c r="D56" i="10"/>
  <c r="D55" i="10"/>
  <c r="D54" i="10"/>
  <c r="D53" i="10"/>
  <c r="D52" i="10"/>
  <c r="D51" i="10"/>
  <c r="E50" i="10"/>
  <c r="E51" i="10" s="1"/>
  <c r="E52" i="10" s="1"/>
  <c r="E53" i="10" s="1"/>
  <c r="E54" i="10" s="1"/>
  <c r="E55" i="10" s="1"/>
  <c r="E56" i="10" s="1"/>
  <c r="E57" i="10" s="1"/>
  <c r="D50" i="10"/>
  <c r="C37" i="10"/>
  <c r="E37" i="10" s="1"/>
  <c r="D35" i="10"/>
  <c r="D34" i="10"/>
  <c r="D33" i="10"/>
  <c r="D32" i="10"/>
  <c r="D31" i="10"/>
  <c r="D30" i="10"/>
  <c r="D29" i="10"/>
  <c r="E28" i="10"/>
  <c r="E29" i="10" s="1"/>
  <c r="E30" i="10" s="1"/>
  <c r="E31" i="10" s="1"/>
  <c r="E32" i="10" s="1"/>
  <c r="E33" i="10" s="1"/>
  <c r="E34" i="10" s="1"/>
  <c r="E35" i="10" s="1"/>
  <c r="E36" i="10" s="1"/>
  <c r="D28" i="10"/>
  <c r="C18" i="10"/>
  <c r="E18" i="10" s="1"/>
  <c r="D17" i="10"/>
  <c r="D16" i="10"/>
  <c r="D15" i="10"/>
  <c r="D14" i="10"/>
  <c r="D13" i="10"/>
  <c r="D12" i="10"/>
  <c r="D11" i="10"/>
  <c r="E10" i="10"/>
  <c r="E11" i="10" s="1"/>
  <c r="E12" i="10" s="1"/>
  <c r="E13" i="10" s="1"/>
  <c r="E14" i="10" s="1"/>
  <c r="E15" i="10" s="1"/>
  <c r="E16" i="10" s="1"/>
  <c r="E17" i="10" s="1"/>
  <c r="D10" i="10"/>
  <c r="D61" i="14" l="1"/>
  <c r="D65" i="14"/>
  <c r="E18" i="13"/>
  <c r="C63" i="13"/>
  <c r="D63" i="13" s="1"/>
  <c r="C19" i="13"/>
  <c r="E35" i="13"/>
  <c r="E55" i="13"/>
  <c r="D64" i="13"/>
  <c r="C56" i="13"/>
  <c r="C61" i="13"/>
  <c r="D66" i="11"/>
  <c r="E11" i="11"/>
  <c r="E12" i="11" s="1"/>
  <c r="E13" i="11" s="1"/>
  <c r="E14" i="11" s="1"/>
  <c r="E15" i="11" s="1"/>
  <c r="E16" i="11" s="1"/>
  <c r="C18" i="11"/>
  <c r="E34" i="11"/>
  <c r="E17" i="11"/>
  <c r="C35" i="11"/>
  <c r="C61" i="11"/>
  <c r="C63" i="11"/>
  <c r="D63" i="11" s="1"/>
  <c r="E55" i="11"/>
  <c r="C64" i="11"/>
  <c r="D64" i="11" s="1"/>
  <c r="C19" i="10"/>
  <c r="D65" i="10"/>
  <c r="E58" i="10"/>
  <c r="C67" i="10"/>
  <c r="D67" i="10" s="1"/>
  <c r="C38" i="10"/>
  <c r="C64" i="10"/>
  <c r="C66" i="10"/>
  <c r="D66" i="10" s="1"/>
  <c r="C69" i="10"/>
  <c r="D69" i="10" s="1"/>
  <c r="D61" i="13" l="1"/>
  <c r="D65" i="13"/>
  <c r="D61" i="11"/>
  <c r="D65" i="11"/>
  <c r="D64" i="10"/>
  <c r="D68" i="10"/>
  <c r="E18" i="7" l="1"/>
  <c r="D56" i="9"/>
  <c r="D55" i="9"/>
  <c r="D54" i="9"/>
  <c r="D53" i="9"/>
  <c r="D52" i="9"/>
  <c r="D51" i="9"/>
  <c r="D50" i="9"/>
  <c r="D49" i="9"/>
  <c r="E49" i="9"/>
  <c r="E50" i="9" s="1"/>
  <c r="E51" i="9" s="1"/>
  <c r="E52" i="9" s="1"/>
  <c r="E53" i="9" s="1"/>
  <c r="E54" i="9" s="1"/>
  <c r="E55" i="9" s="1"/>
  <c r="E56" i="9" s="1"/>
  <c r="C36" i="9"/>
  <c r="C68" i="9" s="1"/>
  <c r="D68" i="9" s="1"/>
  <c r="D35" i="9"/>
  <c r="D34" i="9"/>
  <c r="D33" i="9"/>
  <c r="D32" i="9"/>
  <c r="D31" i="9"/>
  <c r="D30" i="9"/>
  <c r="D29" i="9"/>
  <c r="E28" i="9"/>
  <c r="E29" i="9" s="1"/>
  <c r="E30" i="9" s="1"/>
  <c r="E31" i="9" s="1"/>
  <c r="E32" i="9" s="1"/>
  <c r="E33" i="9" s="1"/>
  <c r="E34" i="9" s="1"/>
  <c r="E35" i="9" s="1"/>
  <c r="D28" i="9"/>
  <c r="C18" i="9"/>
  <c r="C64" i="9" s="1"/>
  <c r="D64" i="9" s="1"/>
  <c r="D17" i="9"/>
  <c r="D16" i="9"/>
  <c r="D15" i="9"/>
  <c r="D14" i="9"/>
  <c r="D13" i="9"/>
  <c r="D12" i="9"/>
  <c r="D11" i="9"/>
  <c r="E10" i="9"/>
  <c r="E11" i="9" s="1"/>
  <c r="E12" i="9" s="1"/>
  <c r="E13" i="9" s="1"/>
  <c r="E14" i="9" s="1"/>
  <c r="E15" i="9" s="1"/>
  <c r="E16" i="9" s="1"/>
  <c r="E17" i="9" s="1"/>
  <c r="D10" i="9"/>
  <c r="C49" i="8"/>
  <c r="E49" i="8" s="1"/>
  <c r="E50" i="8" s="1"/>
  <c r="E51" i="8" s="1"/>
  <c r="E52" i="8" s="1"/>
  <c r="E53" i="8" s="1"/>
  <c r="E54" i="8" s="1"/>
  <c r="E55" i="8" s="1"/>
  <c r="E56" i="8" s="1"/>
  <c r="D35" i="8"/>
  <c r="D34" i="8"/>
  <c r="D56" i="8"/>
  <c r="D55" i="8"/>
  <c r="D54" i="8"/>
  <c r="D53" i="8"/>
  <c r="D52" i="8"/>
  <c r="D51" i="8"/>
  <c r="D50" i="8"/>
  <c r="C57" i="8"/>
  <c r="C36" i="8"/>
  <c r="C68" i="8" s="1"/>
  <c r="D68" i="8" s="1"/>
  <c r="D33" i="8"/>
  <c r="D32" i="8"/>
  <c r="D31" i="8"/>
  <c r="D30" i="8"/>
  <c r="D29" i="8"/>
  <c r="E28" i="8"/>
  <c r="E29" i="8" s="1"/>
  <c r="E30" i="8" s="1"/>
  <c r="E31" i="8" s="1"/>
  <c r="E32" i="8" s="1"/>
  <c r="E33" i="8" s="1"/>
  <c r="D28" i="8"/>
  <c r="C18" i="8"/>
  <c r="C19" i="8" s="1"/>
  <c r="D17" i="8"/>
  <c r="D16" i="8"/>
  <c r="D15" i="8"/>
  <c r="D14" i="8"/>
  <c r="D13" i="8"/>
  <c r="D12" i="8"/>
  <c r="D11" i="8"/>
  <c r="E10" i="8"/>
  <c r="E11" i="8" s="1"/>
  <c r="E12" i="8" s="1"/>
  <c r="E13" i="8" s="1"/>
  <c r="E14" i="8" s="1"/>
  <c r="E15" i="8" s="1"/>
  <c r="E16" i="8" s="1"/>
  <c r="E17" i="8" s="1"/>
  <c r="D10" i="8"/>
  <c r="C67" i="7"/>
  <c r="C49" i="7"/>
  <c r="C28" i="7"/>
  <c r="C37" i="9" l="1"/>
  <c r="E18" i="9"/>
  <c r="C19" i="9"/>
  <c r="C65" i="9"/>
  <c r="D65" i="9" s="1"/>
  <c r="C57" i="9"/>
  <c r="E36" i="9"/>
  <c r="D49" i="8"/>
  <c r="E34" i="8"/>
  <c r="E35" i="8" s="1"/>
  <c r="C63" i="8"/>
  <c r="C58" i="8"/>
  <c r="C66" i="8"/>
  <c r="D66" i="8" s="1"/>
  <c r="E57" i="8"/>
  <c r="E18" i="8"/>
  <c r="E36" i="8"/>
  <c r="C64" i="8"/>
  <c r="D64" i="8" s="1"/>
  <c r="C37" i="8"/>
  <c r="C65" i="8"/>
  <c r="D65" i="8" s="1"/>
  <c r="C57" i="7"/>
  <c r="D56" i="7"/>
  <c r="D55" i="7"/>
  <c r="D54" i="7"/>
  <c r="D53" i="7"/>
  <c r="D52" i="7"/>
  <c r="D51" i="7"/>
  <c r="D50" i="7"/>
  <c r="D49" i="7"/>
  <c r="E49" i="7"/>
  <c r="E50" i="7" s="1"/>
  <c r="E51" i="7" s="1"/>
  <c r="E52" i="7" s="1"/>
  <c r="E53" i="7" s="1"/>
  <c r="E54" i="7" s="1"/>
  <c r="E55" i="7" s="1"/>
  <c r="E56" i="7" s="1"/>
  <c r="C36" i="7"/>
  <c r="C68" i="7" s="1"/>
  <c r="D68" i="7" s="1"/>
  <c r="D35" i="7"/>
  <c r="D34" i="7"/>
  <c r="D33" i="7"/>
  <c r="D32" i="7"/>
  <c r="D31" i="7"/>
  <c r="D30" i="7"/>
  <c r="D29" i="7"/>
  <c r="D28" i="7"/>
  <c r="E28" i="7"/>
  <c r="E29" i="7" s="1"/>
  <c r="E30" i="7" s="1"/>
  <c r="E31" i="7" s="1"/>
  <c r="E32" i="7" s="1"/>
  <c r="E33" i="7" s="1"/>
  <c r="E34" i="7" s="1"/>
  <c r="E35" i="7" s="1"/>
  <c r="C18" i="7"/>
  <c r="C64" i="7" s="1"/>
  <c r="D64" i="7" s="1"/>
  <c r="D17" i="7"/>
  <c r="D16" i="7"/>
  <c r="D15" i="7"/>
  <c r="D14" i="7"/>
  <c r="D13" i="7"/>
  <c r="D12" i="7"/>
  <c r="D11" i="7"/>
  <c r="E10" i="7"/>
  <c r="E11" i="7" s="1"/>
  <c r="E12" i="7" s="1"/>
  <c r="E13" i="7" s="1"/>
  <c r="E14" i="7" s="1"/>
  <c r="E15" i="7" s="1"/>
  <c r="E16" i="7" s="1"/>
  <c r="E17" i="7" s="1"/>
  <c r="D10" i="7"/>
  <c r="C66" i="9" l="1"/>
  <c r="D66" i="9" s="1"/>
  <c r="E57" i="9"/>
  <c r="C63" i="9"/>
  <c r="C58" i="9"/>
  <c r="D63" i="8"/>
  <c r="C67" i="8"/>
  <c r="D67" i="8" s="1"/>
  <c r="C37" i="7"/>
  <c r="C63" i="7"/>
  <c r="C66" i="7"/>
  <c r="D66" i="7" s="1"/>
  <c r="E57" i="7"/>
  <c r="C65" i="7"/>
  <c r="D65" i="7" s="1"/>
  <c r="C19" i="7"/>
  <c r="C58" i="7"/>
  <c r="E36" i="7"/>
  <c r="D63" i="9" l="1"/>
  <c r="C67" i="9"/>
  <c r="D67" i="9" s="1"/>
  <c r="D63" i="7"/>
  <c r="D67" i="7"/>
  <c r="C67" i="6"/>
  <c r="C50" i="6"/>
  <c r="C29" i="6"/>
  <c r="C37" i="6" s="1"/>
  <c r="D57" i="6"/>
  <c r="D56" i="6"/>
  <c r="D55" i="6"/>
  <c r="D54" i="6"/>
  <c r="D53" i="6"/>
  <c r="D52" i="6"/>
  <c r="D51" i="6"/>
  <c r="D36" i="6"/>
  <c r="D35" i="6"/>
  <c r="D34" i="6"/>
  <c r="D33" i="6"/>
  <c r="D32" i="6"/>
  <c r="D31" i="6"/>
  <c r="D30" i="6"/>
  <c r="D29" i="6"/>
  <c r="C19" i="6"/>
  <c r="D18" i="6"/>
  <c r="D17" i="6"/>
  <c r="D16" i="6"/>
  <c r="D15" i="6"/>
  <c r="D14" i="6"/>
  <c r="D13" i="6"/>
  <c r="D12" i="6"/>
  <c r="D11" i="6"/>
  <c r="E10" i="6"/>
  <c r="E11" i="6" s="1"/>
  <c r="E12" i="6" s="1"/>
  <c r="E13" i="6" s="1"/>
  <c r="E14" i="6" s="1"/>
  <c r="E15" i="6" s="1"/>
  <c r="E16" i="6" s="1"/>
  <c r="E17" i="6" s="1"/>
  <c r="E18" i="6" s="1"/>
  <c r="D10" i="6"/>
  <c r="E29" i="6" l="1"/>
  <c r="E30" i="6" s="1"/>
  <c r="E31" i="6" s="1"/>
  <c r="E32" i="6" s="1"/>
  <c r="E33" i="6" s="1"/>
  <c r="E34" i="6" s="1"/>
  <c r="E35" i="6" s="1"/>
  <c r="E36" i="6" s="1"/>
  <c r="D67" i="6"/>
  <c r="E37" i="6"/>
  <c r="C69" i="6"/>
  <c r="E50" i="6"/>
  <c r="E51" i="6" s="1"/>
  <c r="E52" i="6" s="1"/>
  <c r="E53" i="6" s="1"/>
  <c r="E54" i="6" s="1"/>
  <c r="E55" i="6" s="1"/>
  <c r="E56" i="6" s="1"/>
  <c r="E57" i="6" s="1"/>
  <c r="C82" i="6"/>
  <c r="C65" i="6"/>
  <c r="D50" i="6"/>
  <c r="C58" i="6"/>
  <c r="C64" i="6"/>
  <c r="C38" i="6"/>
  <c r="E19" i="6"/>
  <c r="C20" i="6"/>
  <c r="C59" i="6"/>
  <c r="D64" i="6" l="1"/>
  <c r="F82" i="6"/>
  <c r="C66" i="6"/>
  <c r="D66" i="6" s="1"/>
  <c r="C81" i="6"/>
  <c r="F81" i="6" s="1"/>
  <c r="C80" i="6"/>
  <c r="F80" i="6" s="1"/>
  <c r="E58" i="6"/>
  <c r="D65" i="6"/>
  <c r="D69" i="6"/>
  <c r="C68" i="6"/>
  <c r="D68" i="6" s="1"/>
  <c r="C104" i="5"/>
  <c r="C99" i="5"/>
  <c r="G98" i="5"/>
  <c r="C76" i="5"/>
  <c r="C77" i="5" s="1"/>
  <c r="D75" i="5"/>
  <c r="D74" i="5"/>
  <c r="D73" i="5"/>
  <c r="D72" i="5"/>
  <c r="D71" i="5"/>
  <c r="D70" i="5"/>
  <c r="D69" i="5"/>
  <c r="D68" i="5"/>
  <c r="D67" i="5"/>
  <c r="D66" i="5"/>
  <c r="E65" i="5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D65" i="5"/>
  <c r="C52" i="5"/>
  <c r="B82" i="5" s="1"/>
  <c r="D51" i="5"/>
  <c r="D50" i="5"/>
  <c r="D49" i="5"/>
  <c r="D48" i="5"/>
  <c r="D47" i="5"/>
  <c r="D46" i="5"/>
  <c r="D45" i="5"/>
  <c r="D44" i="5"/>
  <c r="D43" i="5"/>
  <c r="D42" i="5"/>
  <c r="D41" i="5"/>
  <c r="E40" i="5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D40" i="5"/>
  <c r="C26" i="5"/>
  <c r="C27" i="5" s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D10" i="5"/>
  <c r="F65" i="6" l="1"/>
  <c r="B79" i="5"/>
  <c r="B80" i="5"/>
  <c r="C80" i="5" s="1"/>
  <c r="B81" i="5"/>
  <c r="C81" i="5" s="1"/>
  <c r="E26" i="5"/>
  <c r="C82" i="5"/>
  <c r="C53" i="5"/>
  <c r="D66" i="4"/>
  <c r="D67" i="4"/>
  <c r="D68" i="4"/>
  <c r="D69" i="4"/>
  <c r="D70" i="4"/>
  <c r="D71" i="4"/>
  <c r="D72" i="4"/>
  <c r="D73" i="4"/>
  <c r="D74" i="4"/>
  <c r="D75" i="4"/>
  <c r="C51" i="4"/>
  <c r="D39" i="4"/>
  <c r="D40" i="4"/>
  <c r="D41" i="4"/>
  <c r="D42" i="4"/>
  <c r="D43" i="4"/>
  <c r="D44" i="4"/>
  <c r="D45" i="4"/>
  <c r="D46" i="4"/>
  <c r="D47" i="4"/>
  <c r="D48" i="4"/>
  <c r="D49" i="4"/>
  <c r="D50" i="4"/>
  <c r="D24" i="4"/>
  <c r="D25" i="4"/>
  <c r="D26" i="4"/>
  <c r="C27" i="4"/>
  <c r="E27" i="4" s="1"/>
  <c r="D19" i="4"/>
  <c r="D20" i="4"/>
  <c r="D21" i="4"/>
  <c r="D22" i="4"/>
  <c r="D23" i="4"/>
  <c r="D16" i="4"/>
  <c r="D17" i="4"/>
  <c r="D18" i="4"/>
  <c r="D12" i="4"/>
  <c r="D13" i="4"/>
  <c r="D14" i="4"/>
  <c r="D15" i="4"/>
  <c r="C52" i="4" l="1"/>
  <c r="E51" i="4"/>
  <c r="B83" i="5"/>
  <c r="B85" i="5"/>
  <c r="C85" i="5" s="1"/>
  <c r="C83" i="4"/>
  <c r="C85" i="4"/>
  <c r="D85" i="4" s="1"/>
  <c r="C83" i="5"/>
  <c r="C79" i="5"/>
  <c r="E64" i="4" l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D65" i="4"/>
  <c r="D64" i="4"/>
  <c r="C76" i="4"/>
  <c r="E76" i="4" s="1"/>
  <c r="C84" i="4" l="1"/>
  <c r="D84" i="4" s="1"/>
  <c r="C82" i="4"/>
  <c r="C86" i="4" s="1"/>
  <c r="C77" i="4"/>
  <c r="D38" i="4" l="1"/>
  <c r="E37" i="4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D37" i="4"/>
  <c r="D11" i="4"/>
  <c r="E10" i="4"/>
  <c r="E11" i="4" s="1"/>
  <c r="D10" i="4"/>
  <c r="C87" i="4" l="1"/>
  <c r="D87" i="4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D83" i="4"/>
  <c r="C28" i="4"/>
  <c r="D82" i="4" l="1"/>
  <c r="D86" i="4"/>
  <c r="D26" i="2"/>
  <c r="D27" i="2"/>
  <c r="D28" i="2"/>
  <c r="D29" i="2"/>
  <c r="D30" i="2"/>
  <c r="D25" i="2"/>
  <c r="C31" i="2"/>
  <c r="D43" i="2"/>
  <c r="C45" i="2"/>
  <c r="D42" i="2"/>
  <c r="D41" i="2"/>
  <c r="D40" i="2"/>
  <c r="D39" i="2"/>
  <c r="E38" i="2"/>
  <c r="E39" i="2" s="1"/>
  <c r="E40" i="2" s="1"/>
  <c r="E41" i="2" s="1"/>
  <c r="E42" i="2" s="1"/>
  <c r="E43" i="2" s="1"/>
  <c r="D38" i="2"/>
  <c r="E25" i="2"/>
  <c r="E26" i="2" s="1"/>
  <c r="E27" i="2" s="1"/>
  <c r="E28" i="2" s="1"/>
  <c r="E29" i="2" s="1"/>
  <c r="E30" i="2" s="1"/>
  <c r="C17" i="2"/>
  <c r="D15" i="2"/>
  <c r="D14" i="2"/>
  <c r="D13" i="2"/>
  <c r="D12" i="2"/>
  <c r="D11" i="2"/>
  <c r="E10" i="2"/>
  <c r="E11" i="2" s="1"/>
  <c r="E12" i="2" s="1"/>
  <c r="E13" i="2" s="1"/>
  <c r="E14" i="2" s="1"/>
  <c r="E15" i="2" s="1"/>
  <c r="D10" i="2"/>
  <c r="C37" i="1"/>
  <c r="C57" i="1"/>
  <c r="D55" i="1"/>
  <c r="D54" i="1"/>
  <c r="D53" i="1"/>
  <c r="D52" i="1"/>
  <c r="D51" i="1"/>
  <c r="E50" i="1"/>
  <c r="E51" i="1" s="1"/>
  <c r="E52" i="1" s="1"/>
  <c r="E53" i="1" s="1"/>
  <c r="E54" i="1" s="1"/>
  <c r="E55" i="1" s="1"/>
  <c r="D50" i="1"/>
  <c r="D35" i="1"/>
  <c r="D34" i="1"/>
  <c r="D33" i="1"/>
  <c r="D32" i="1"/>
  <c r="E31" i="1"/>
  <c r="E32" i="1" s="1"/>
  <c r="E33" i="1" s="1"/>
  <c r="E34" i="1" s="1"/>
  <c r="E35" i="1" s="1"/>
  <c r="D31" i="1"/>
  <c r="C17" i="1"/>
  <c r="B60" i="1" s="1"/>
  <c r="C60" i="1" s="1"/>
  <c r="D11" i="1"/>
  <c r="D12" i="1"/>
  <c r="D13" i="1"/>
  <c r="D14" i="1"/>
  <c r="D15" i="1"/>
  <c r="D10" i="1"/>
  <c r="E10" i="1"/>
  <c r="E11" i="1" s="1"/>
  <c r="E12" i="1" s="1"/>
  <c r="E13" i="1" s="1"/>
  <c r="E14" i="1" s="1"/>
  <c r="E15" i="1" s="1"/>
  <c r="B59" i="1" l="1"/>
  <c r="C59" i="1" s="1"/>
  <c r="B47" i="2"/>
  <c r="B48" i="2"/>
  <c r="C48" i="2" s="1"/>
  <c r="B50" i="2" l="1"/>
  <c r="C50" i="2" s="1"/>
  <c r="C47" i="2"/>
</calcChain>
</file>

<file path=xl/sharedStrings.xml><?xml version="1.0" encoding="utf-8"?>
<sst xmlns="http://schemas.openxmlformats.org/spreadsheetml/2006/main" count="589" uniqueCount="96">
  <si>
    <t xml:space="preserve">KALIBRASI BATANG KENDALI </t>
  </si>
  <si>
    <t>Batang pengatur</t>
  </si>
  <si>
    <t>Posisi</t>
  </si>
  <si>
    <t>Reaktivitas</t>
  </si>
  <si>
    <t>drho/dh</t>
  </si>
  <si>
    <t>sigma rho</t>
  </si>
  <si>
    <t>(%)</t>
  </si>
  <si>
    <t>(c$)</t>
  </si>
  <si>
    <t>(c$/%)</t>
  </si>
  <si>
    <t>r</t>
  </si>
  <si>
    <t>Batang pengaman</t>
  </si>
  <si>
    <t>Batang Kompensasi</t>
  </si>
  <si>
    <t xml:space="preserve">Total </t>
  </si>
  <si>
    <t>Core excess</t>
  </si>
  <si>
    <t>Shutdown margin</t>
  </si>
  <si>
    <t>Tanggal, 17 Maret 2014</t>
  </si>
  <si>
    <t>Tanggal, 22 Juni 2021</t>
  </si>
  <si>
    <t>cent</t>
  </si>
  <si>
    <t>$</t>
  </si>
  <si>
    <t>(cent/%)</t>
  </si>
  <si>
    <t>(cent)</t>
  </si>
  <si>
    <t>pengatur</t>
  </si>
  <si>
    <t>core excess</t>
  </si>
  <si>
    <t>shutdown margin</t>
  </si>
  <si>
    <t>(pengatur)</t>
  </si>
  <si>
    <t>(pengaman)</t>
  </si>
  <si>
    <t>(kompensasi)</t>
  </si>
  <si>
    <t>(307.57+326.7+168.75)-(326.7)-(149.57)</t>
  </si>
  <si>
    <t>stuck rod</t>
  </si>
  <si>
    <t>Tanggal, 25 Juli 2024</t>
  </si>
  <si>
    <t>Tanggal: 17 Januari  2024</t>
  </si>
  <si>
    <t>Batang Pengatur</t>
  </si>
  <si>
    <t>Cent</t>
  </si>
  <si>
    <t>Dollar</t>
  </si>
  <si>
    <t>Rod drop</t>
  </si>
  <si>
    <t>Tanggal: 17 Oktober 2024</t>
  </si>
  <si>
    <t>PENGUKURAN REAKTIVITAS BATANG KENDALI</t>
  </si>
  <si>
    <t>reaktor kartini 0.5$ = 50 cent</t>
  </si>
  <si>
    <t>Control Rod Reactivity Measurement</t>
  </si>
  <si>
    <t>Date: Oct 29th, 2024</t>
  </si>
  <si>
    <t>Regulating Rod</t>
  </si>
  <si>
    <t>Position</t>
  </si>
  <si>
    <t>Reactivity</t>
  </si>
  <si>
    <t>Shim/ Compensation Rod</t>
  </si>
  <si>
    <t>Safety Rod</t>
  </si>
  <si>
    <t>(regulating)</t>
  </si>
  <si>
    <t>(safety)</t>
  </si>
  <si>
    <t>(shim/compensation)</t>
  </si>
  <si>
    <t>Kartini Reactor 0.5$ = 50 cent</t>
  </si>
  <si>
    <t>Rho (out)</t>
  </si>
  <si>
    <t>kompensasi</t>
  </si>
  <si>
    <t>safety</t>
  </si>
  <si>
    <t>Date: Feb, 24th,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</si>
  <si>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</si>
  <si>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Date: Mar, 5th, 2025</t>
  </si>
  <si>
    <t>Date: Mar, 11th, 2025</t>
  </si>
  <si>
    <t>Minimum = Kartini Reactor 0.5$ = 50 cent</t>
  </si>
  <si>
    <t>Date: May, 09th, 2025</t>
  </si>
  <si>
    <t>Auliya sekar</t>
  </si>
  <si>
    <t>Ikmal</t>
  </si>
  <si>
    <t>Nailah</t>
  </si>
  <si>
    <t>Razzandi</t>
  </si>
  <si>
    <t>Pricilla</t>
  </si>
  <si>
    <t>Alvin</t>
  </si>
  <si>
    <t>cyntia</t>
  </si>
  <si>
    <t>Rofi</t>
  </si>
  <si>
    <t>Sabrina</t>
  </si>
  <si>
    <t>Rafif</t>
  </si>
  <si>
    <t>Meitha</t>
  </si>
  <si>
    <t>Amalia</t>
  </si>
  <si>
    <t>reaktivitas paling tinggi (BK Pengaman)</t>
  </si>
  <si>
    <t>Date: Nov, 26th, 2025</t>
  </si>
  <si>
    <t>zahrah</t>
  </si>
  <si>
    <t>ahmad karim</t>
  </si>
  <si>
    <t>ainun</t>
  </si>
  <si>
    <t>rouf</t>
  </si>
  <si>
    <t>siti nabila</t>
  </si>
  <si>
    <t>Shofan</t>
  </si>
  <si>
    <t>Jihan</t>
  </si>
  <si>
    <t>alex</t>
  </si>
  <si>
    <t>devi</t>
  </si>
  <si>
    <t>aul</t>
  </si>
  <si>
    <t>rista</t>
  </si>
  <si>
    <t>wafiatur</t>
  </si>
  <si>
    <t>harviana</t>
  </si>
  <si>
    <t>naila</t>
  </si>
  <si>
    <t>luluk</t>
  </si>
  <si>
    <t>nindira</t>
  </si>
  <si>
    <t>marzuki</t>
  </si>
  <si>
    <t>daniyal</t>
  </si>
  <si>
    <t>tidak respon : M. Badrus;</t>
  </si>
  <si>
    <t>nisaul</t>
  </si>
  <si>
    <t>ziyadatul</t>
  </si>
  <si>
    <t>nilai paling besar</t>
  </si>
  <si>
    <t>dila</t>
  </si>
  <si>
    <t>Date: Jan, 07th,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</si>
</sst>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Symbol"/>
      <family val="1"/>
      <charset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4" fillId="0" borderId="0" xfId="0" applyFont="1"/>
    <xf numFmtId="2" fontId="0" fillId="0" borderId="0" xfId="0" applyNumberFormat="1"/>
    <xf numFmtId="0" fontId="0" fillId="0" borderId="2" xfId="0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2" xfId="0" applyNumberFormat="1" applyBorder="1"/>
    <xf numFmtId="2" fontId="0" fillId="0" borderId="0" xfId="0" applyNumberFormat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164" fontId="5" fillId="2" borderId="0" xfId="0" applyNumberFormat="1" applyFont="1" applyFill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/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2" fontId="5" fillId="2" borderId="1" xfId="0" applyNumberFormat="1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/>
    <xf numFmtId="2" fontId="7" fillId="3" borderId="1" xfId="0" applyNumberFormat="1" applyFont="1" applyFill="1" applyBorder="1"/>
    <xf numFmtId="0" fontId="7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2" borderId="0" xfId="0" applyNumberFormat="1" applyFont="1" applyFill="1"/>
    <xf numFmtId="0" fontId="5" fillId="5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</a:t>
            </a:r>
            <a:r>
              <a:rPr lang="en-US"/>
              <a:t>Integral</a:t>
            </a:r>
            <a:r>
              <a:rPr lang="id-ID"/>
              <a:t> Reaktivitas </a:t>
            </a:r>
            <a:r>
              <a:rPr lang="en-US"/>
              <a:t>Batang Pengatur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A2-46CB-AA8B-09BAF9D0957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'25Juli'!$B$9:$B$25</c:f>
              <c:numCache>
                <c:formatCode>0.00</c:formatCode>
                <c:ptCount val="17"/>
                <c:pt idx="0">
                  <c:v>0</c:v>
                </c:pt>
                <c:pt idx="1">
                  <c:v>14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35.5</c:v>
                </c:pt>
                <c:pt idx="6">
                  <c:v>40</c:v>
                </c:pt>
                <c:pt idx="7">
                  <c:v>45.5</c:v>
                </c:pt>
                <c:pt idx="8">
                  <c:v>50.2</c:v>
                </c:pt>
                <c:pt idx="9">
                  <c:v>55.2</c:v>
                </c:pt>
                <c:pt idx="10">
                  <c:v>60.4</c:v>
                </c:pt>
                <c:pt idx="11">
                  <c:v>65</c:v>
                </c:pt>
                <c:pt idx="12">
                  <c:v>70</c:v>
                </c:pt>
                <c:pt idx="13">
                  <c:v>75.8</c:v>
                </c:pt>
                <c:pt idx="14">
                  <c:v>80.2</c:v>
                </c:pt>
                <c:pt idx="15">
                  <c:v>85.5</c:v>
                </c:pt>
                <c:pt idx="16">
                  <c:v>100</c:v>
                </c:pt>
              </c:numCache>
            </c:numRef>
          </c:xVal>
          <c:yVal>
            <c:numRef>
              <c:f>'25Juli'!$E$9:$E$25</c:f>
              <c:numCache>
                <c:formatCode>0.00</c:formatCode>
                <c:ptCount val="17"/>
                <c:pt idx="0">
                  <c:v>0</c:v>
                </c:pt>
                <c:pt idx="1">
                  <c:v>26.37</c:v>
                </c:pt>
                <c:pt idx="2">
                  <c:v>40.04</c:v>
                </c:pt>
                <c:pt idx="3">
                  <c:v>53.41</c:v>
                </c:pt>
                <c:pt idx="4">
                  <c:v>67.47999999999999</c:v>
                </c:pt>
                <c:pt idx="5">
                  <c:v>81.549999999999983</c:v>
                </c:pt>
                <c:pt idx="6">
                  <c:v>95.219999999999985</c:v>
                </c:pt>
                <c:pt idx="7">
                  <c:v>110.58999999999999</c:v>
                </c:pt>
                <c:pt idx="8">
                  <c:v>124.16</c:v>
                </c:pt>
                <c:pt idx="9">
                  <c:v>136.53</c:v>
                </c:pt>
                <c:pt idx="10">
                  <c:v>149.19999999999999</c:v>
                </c:pt>
                <c:pt idx="11">
                  <c:v>157.57</c:v>
                </c:pt>
                <c:pt idx="12">
                  <c:v>165.94</c:v>
                </c:pt>
                <c:pt idx="13">
                  <c:v>172.31</c:v>
                </c:pt>
                <c:pt idx="14">
                  <c:v>177.18</c:v>
                </c:pt>
                <c:pt idx="15">
                  <c:v>179.85</c:v>
                </c:pt>
                <c:pt idx="16">
                  <c:v>182.92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A2-46CB-AA8B-09BAF9D09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Diferensial Reaktivitas </a:t>
            </a:r>
            <a:r>
              <a:rPr lang="en-US"/>
              <a:t>Batang </a:t>
            </a:r>
            <a:r>
              <a:rPr lang="id-ID"/>
              <a:t>kompensasi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98-4FBF-9A57-EB206D5B6A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'25Juli'!$B$39:$B$51</c:f>
              <c:numCache>
                <c:formatCode>0.00</c:formatCode>
                <c:ptCount val="13"/>
                <c:pt idx="0">
                  <c:v>0</c:v>
                </c:pt>
                <c:pt idx="1">
                  <c:v>42.5</c:v>
                </c:pt>
                <c:pt idx="2">
                  <c:v>47.5</c:v>
                </c:pt>
                <c:pt idx="3">
                  <c:v>52</c:v>
                </c:pt>
                <c:pt idx="4">
                  <c:v>57</c:v>
                </c:pt>
                <c:pt idx="5">
                  <c:v>62.4</c:v>
                </c:pt>
                <c:pt idx="6">
                  <c:v>67.400000000000006</c:v>
                </c:pt>
                <c:pt idx="7">
                  <c:v>72</c:v>
                </c:pt>
                <c:pt idx="8">
                  <c:v>77.900000000000006</c:v>
                </c:pt>
                <c:pt idx="9">
                  <c:v>81.7</c:v>
                </c:pt>
                <c:pt idx="10">
                  <c:v>87.6</c:v>
                </c:pt>
                <c:pt idx="11">
                  <c:v>92.8</c:v>
                </c:pt>
                <c:pt idx="12">
                  <c:v>100</c:v>
                </c:pt>
              </c:numCache>
            </c:numRef>
          </c:xVal>
          <c:yVal>
            <c:numRef>
              <c:f>'25Juli'!$E$39:$E$51</c:f>
              <c:numCache>
                <c:formatCode>0.00</c:formatCode>
                <c:ptCount val="13"/>
                <c:pt idx="0">
                  <c:v>0</c:v>
                </c:pt>
                <c:pt idx="1">
                  <c:v>182</c:v>
                </c:pt>
                <c:pt idx="2">
                  <c:v>207.87</c:v>
                </c:pt>
                <c:pt idx="3">
                  <c:v>228.94</c:v>
                </c:pt>
                <c:pt idx="4">
                  <c:v>249.51</c:v>
                </c:pt>
                <c:pt idx="5">
                  <c:v>270.58</c:v>
                </c:pt>
                <c:pt idx="6">
                  <c:v>288.45</c:v>
                </c:pt>
                <c:pt idx="7">
                  <c:v>303.02</c:v>
                </c:pt>
                <c:pt idx="8">
                  <c:v>314.49</c:v>
                </c:pt>
                <c:pt idx="9">
                  <c:v>320.86</c:v>
                </c:pt>
                <c:pt idx="10">
                  <c:v>327.73</c:v>
                </c:pt>
                <c:pt idx="11">
                  <c:v>330.8</c:v>
                </c:pt>
                <c:pt idx="12">
                  <c:v>331.8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98-4FBF-9A57-EB206D5B6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Diferensial Reaktivitas </a:t>
            </a:r>
            <a:r>
              <a:rPr lang="en-US"/>
              <a:t>Batang Penga</a:t>
            </a:r>
            <a:r>
              <a:rPr lang="id-ID"/>
              <a:t>man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A-4116-8B26-002710873F0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'25Juli'!$B$64:$B$75</c:f>
              <c:numCache>
                <c:formatCode>0.00</c:formatCode>
                <c:ptCount val="12"/>
                <c:pt idx="0">
                  <c:v>0</c:v>
                </c:pt>
                <c:pt idx="1">
                  <c:v>40</c:v>
                </c:pt>
                <c:pt idx="2">
                  <c:v>44.6</c:v>
                </c:pt>
                <c:pt idx="3">
                  <c:v>49</c:v>
                </c:pt>
                <c:pt idx="4">
                  <c:v>54</c:v>
                </c:pt>
                <c:pt idx="5">
                  <c:v>59.3</c:v>
                </c:pt>
                <c:pt idx="6">
                  <c:v>64.8</c:v>
                </c:pt>
                <c:pt idx="7">
                  <c:v>69.5</c:v>
                </c:pt>
                <c:pt idx="8">
                  <c:v>74</c:v>
                </c:pt>
                <c:pt idx="9">
                  <c:v>79.599999999999994</c:v>
                </c:pt>
                <c:pt idx="10">
                  <c:v>84.9</c:v>
                </c:pt>
                <c:pt idx="11">
                  <c:v>100</c:v>
                </c:pt>
              </c:numCache>
            </c:numRef>
          </c:xVal>
          <c:yVal>
            <c:numRef>
              <c:f>'25Juli'!$E$64:$E$75</c:f>
              <c:numCache>
                <c:formatCode>0.00</c:formatCode>
                <c:ptCount val="12"/>
                <c:pt idx="0">
                  <c:v>0</c:v>
                </c:pt>
                <c:pt idx="1">
                  <c:v>152</c:v>
                </c:pt>
                <c:pt idx="2">
                  <c:v>176.97</c:v>
                </c:pt>
                <c:pt idx="3">
                  <c:v>197.74</c:v>
                </c:pt>
                <c:pt idx="4">
                  <c:v>218.21</c:v>
                </c:pt>
                <c:pt idx="5">
                  <c:v>237.08</c:v>
                </c:pt>
                <c:pt idx="6">
                  <c:v>255.95000000000002</c:v>
                </c:pt>
                <c:pt idx="7">
                  <c:v>269.22000000000003</c:v>
                </c:pt>
                <c:pt idx="8">
                  <c:v>279.79000000000002</c:v>
                </c:pt>
                <c:pt idx="9">
                  <c:v>290.36</c:v>
                </c:pt>
                <c:pt idx="10">
                  <c:v>295.83000000000004</c:v>
                </c:pt>
                <c:pt idx="11">
                  <c:v>300.70000000000005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4A-4116-8B26-00271087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Reaktivitas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 Reaktivitas Batang Pengatur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FC-497E-9C10-CE80A9C31EE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'25Juli'!$B$9:$B$25</c:f>
              <c:numCache>
                <c:formatCode>0.00</c:formatCode>
                <c:ptCount val="17"/>
                <c:pt idx="0">
                  <c:v>0</c:v>
                </c:pt>
                <c:pt idx="1">
                  <c:v>14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35.5</c:v>
                </c:pt>
                <c:pt idx="6">
                  <c:v>40</c:v>
                </c:pt>
                <c:pt idx="7">
                  <c:v>45.5</c:v>
                </c:pt>
                <c:pt idx="8">
                  <c:v>50.2</c:v>
                </c:pt>
                <c:pt idx="9">
                  <c:v>55.2</c:v>
                </c:pt>
                <c:pt idx="10">
                  <c:v>60.4</c:v>
                </c:pt>
                <c:pt idx="11">
                  <c:v>65</c:v>
                </c:pt>
                <c:pt idx="12">
                  <c:v>70</c:v>
                </c:pt>
                <c:pt idx="13">
                  <c:v>75.8</c:v>
                </c:pt>
                <c:pt idx="14">
                  <c:v>80.2</c:v>
                </c:pt>
                <c:pt idx="15">
                  <c:v>85.5</c:v>
                </c:pt>
                <c:pt idx="16">
                  <c:v>100</c:v>
                </c:pt>
              </c:numCache>
            </c:numRef>
          </c:xVal>
          <c:yVal>
            <c:numRef>
              <c:f>'25Juli'!$E$9:$E$25</c:f>
              <c:numCache>
                <c:formatCode>0.00</c:formatCode>
                <c:ptCount val="17"/>
                <c:pt idx="0">
                  <c:v>0</c:v>
                </c:pt>
                <c:pt idx="1">
                  <c:v>26.37</c:v>
                </c:pt>
                <c:pt idx="2">
                  <c:v>40.04</c:v>
                </c:pt>
                <c:pt idx="3">
                  <c:v>53.41</c:v>
                </c:pt>
                <c:pt idx="4">
                  <c:v>67.47999999999999</c:v>
                </c:pt>
                <c:pt idx="5">
                  <c:v>81.549999999999983</c:v>
                </c:pt>
                <c:pt idx="6">
                  <c:v>95.219999999999985</c:v>
                </c:pt>
                <c:pt idx="7">
                  <c:v>110.58999999999999</c:v>
                </c:pt>
                <c:pt idx="8">
                  <c:v>124.16</c:v>
                </c:pt>
                <c:pt idx="9">
                  <c:v>136.53</c:v>
                </c:pt>
                <c:pt idx="10">
                  <c:v>149.19999999999999</c:v>
                </c:pt>
                <c:pt idx="11">
                  <c:v>157.57</c:v>
                </c:pt>
                <c:pt idx="12">
                  <c:v>165.94</c:v>
                </c:pt>
                <c:pt idx="13">
                  <c:v>172.31</c:v>
                </c:pt>
                <c:pt idx="14">
                  <c:v>177.18</c:v>
                </c:pt>
                <c:pt idx="15">
                  <c:v>179.85</c:v>
                </c:pt>
                <c:pt idx="16">
                  <c:v>182.92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FC-497E-9C10-CE80A9C31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 Reaktivitas Batang Kompensasi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6-4A4C-833E-08B1F002E5B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'25Juli'!$B$39:$B$51</c:f>
              <c:numCache>
                <c:formatCode>0.00</c:formatCode>
                <c:ptCount val="13"/>
                <c:pt idx="0">
                  <c:v>0</c:v>
                </c:pt>
                <c:pt idx="1">
                  <c:v>42.5</c:v>
                </c:pt>
                <c:pt idx="2">
                  <c:v>47.5</c:v>
                </c:pt>
                <c:pt idx="3">
                  <c:v>52</c:v>
                </c:pt>
                <c:pt idx="4">
                  <c:v>57</c:v>
                </c:pt>
                <c:pt idx="5">
                  <c:v>62.4</c:v>
                </c:pt>
                <c:pt idx="6">
                  <c:v>67.400000000000006</c:v>
                </c:pt>
                <c:pt idx="7">
                  <c:v>72</c:v>
                </c:pt>
                <c:pt idx="8">
                  <c:v>77.900000000000006</c:v>
                </c:pt>
                <c:pt idx="9">
                  <c:v>81.7</c:v>
                </c:pt>
                <c:pt idx="10">
                  <c:v>87.6</c:v>
                </c:pt>
                <c:pt idx="11">
                  <c:v>92.8</c:v>
                </c:pt>
                <c:pt idx="12">
                  <c:v>100</c:v>
                </c:pt>
              </c:numCache>
            </c:numRef>
          </c:xVal>
          <c:yVal>
            <c:numRef>
              <c:f>'25Juli'!$E$39:$E$51</c:f>
              <c:numCache>
                <c:formatCode>0.00</c:formatCode>
                <c:ptCount val="13"/>
                <c:pt idx="0">
                  <c:v>0</c:v>
                </c:pt>
                <c:pt idx="1">
                  <c:v>182</c:v>
                </c:pt>
                <c:pt idx="2">
                  <c:v>207.87</c:v>
                </c:pt>
                <c:pt idx="3">
                  <c:v>228.94</c:v>
                </c:pt>
                <c:pt idx="4">
                  <c:v>249.51</c:v>
                </c:pt>
                <c:pt idx="5">
                  <c:v>270.58</c:v>
                </c:pt>
                <c:pt idx="6">
                  <c:v>288.45</c:v>
                </c:pt>
                <c:pt idx="7">
                  <c:v>303.02</c:v>
                </c:pt>
                <c:pt idx="8">
                  <c:v>314.49</c:v>
                </c:pt>
                <c:pt idx="9">
                  <c:v>320.86</c:v>
                </c:pt>
                <c:pt idx="10">
                  <c:v>327.73</c:v>
                </c:pt>
                <c:pt idx="11">
                  <c:v>330.8</c:v>
                </c:pt>
                <c:pt idx="12">
                  <c:v>331.8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6-4A4C-833E-08B1F002E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 Reaktivitas Batang Pengaman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B-4F70-B82C-DE0EC430E4F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'25Juli'!$B$64:$B$71</c:f>
              <c:numCache>
                <c:formatCode>0.00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44.6</c:v>
                </c:pt>
                <c:pt idx="3">
                  <c:v>49</c:v>
                </c:pt>
                <c:pt idx="4">
                  <c:v>54</c:v>
                </c:pt>
                <c:pt idx="5">
                  <c:v>59.3</c:v>
                </c:pt>
                <c:pt idx="6">
                  <c:v>64.8</c:v>
                </c:pt>
                <c:pt idx="7">
                  <c:v>69.5</c:v>
                </c:pt>
              </c:numCache>
            </c:numRef>
          </c:xVal>
          <c:yVal>
            <c:numRef>
              <c:f>'25Juli'!$E$64:$E$71</c:f>
              <c:numCache>
                <c:formatCode>0.00</c:formatCode>
                <c:ptCount val="8"/>
                <c:pt idx="0">
                  <c:v>0</c:v>
                </c:pt>
                <c:pt idx="1">
                  <c:v>152</c:v>
                </c:pt>
                <c:pt idx="2">
                  <c:v>176.97</c:v>
                </c:pt>
                <c:pt idx="3">
                  <c:v>197.74</c:v>
                </c:pt>
                <c:pt idx="4">
                  <c:v>218.21</c:v>
                </c:pt>
                <c:pt idx="5">
                  <c:v>237.08</c:v>
                </c:pt>
                <c:pt idx="6">
                  <c:v>255.95000000000002</c:v>
                </c:pt>
                <c:pt idx="7">
                  <c:v>269.22000000000003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2B-4F70-B82C-DE0EC430E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Diferensial Reaktivitas </a:t>
            </a:r>
            <a:r>
              <a:rPr lang="en-US"/>
              <a:t>Batang Pengatur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C-4999-B9AB-4BE88169DFA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Jan24'!$B$9:$B$26</c:f>
              <c:numCache>
                <c:formatCode>General</c:formatCode>
                <c:ptCount val="18"/>
                <c:pt idx="0">
                  <c:v>0</c:v>
                </c:pt>
                <c:pt idx="1">
                  <c:v>16.899999999999999</c:v>
                </c:pt>
                <c:pt idx="2">
                  <c:v>22.3</c:v>
                </c:pt>
                <c:pt idx="3">
                  <c:v>27.3</c:v>
                </c:pt>
                <c:pt idx="4">
                  <c:v>32.299999999999997</c:v>
                </c:pt>
                <c:pt idx="5">
                  <c:v>37.799999999999997</c:v>
                </c:pt>
                <c:pt idx="6">
                  <c:v>42.1</c:v>
                </c:pt>
                <c:pt idx="7">
                  <c:v>47.6</c:v>
                </c:pt>
                <c:pt idx="8">
                  <c:v>51.9</c:v>
                </c:pt>
                <c:pt idx="9">
                  <c:v>57.6</c:v>
                </c:pt>
                <c:pt idx="10">
                  <c:v>62.5</c:v>
                </c:pt>
                <c:pt idx="11">
                  <c:v>67.400000000000006</c:v>
                </c:pt>
                <c:pt idx="12">
                  <c:v>72.7</c:v>
                </c:pt>
                <c:pt idx="13">
                  <c:v>77.3</c:v>
                </c:pt>
                <c:pt idx="14">
                  <c:v>82.3</c:v>
                </c:pt>
                <c:pt idx="15">
                  <c:v>87.2</c:v>
                </c:pt>
                <c:pt idx="16">
                  <c:v>92.7</c:v>
                </c:pt>
                <c:pt idx="17">
                  <c:v>100</c:v>
                </c:pt>
              </c:numCache>
            </c:numRef>
          </c:xVal>
          <c:yVal>
            <c:numRef>
              <c:f>'17 Jan24'!$D$9:$D$26</c:f>
              <c:numCache>
                <c:formatCode>0.0000</c:formatCode>
                <c:ptCount val="18"/>
                <c:pt idx="0">
                  <c:v>0</c:v>
                </c:pt>
                <c:pt idx="1">
                  <c:v>1.6289940828402369</c:v>
                </c:pt>
                <c:pt idx="2">
                  <c:v>2.4574074074074064</c:v>
                </c:pt>
                <c:pt idx="3">
                  <c:v>2.4140000000000001</c:v>
                </c:pt>
                <c:pt idx="4">
                  <c:v>2.5940000000000021</c:v>
                </c:pt>
                <c:pt idx="5">
                  <c:v>2.8490909090909091</c:v>
                </c:pt>
                <c:pt idx="6">
                  <c:v>2.9465116279069736</c:v>
                </c:pt>
                <c:pt idx="7">
                  <c:v>2.6854545454545455</c:v>
                </c:pt>
                <c:pt idx="8">
                  <c:v>2.8069767441860485</c:v>
                </c:pt>
                <c:pt idx="9">
                  <c:v>2.3807017543859637</c:v>
                </c:pt>
                <c:pt idx="10">
                  <c:v>2.2183673469387761</c:v>
                </c:pt>
                <c:pt idx="11">
                  <c:v>1.8510204081632633</c:v>
                </c:pt>
                <c:pt idx="12">
                  <c:v>1.3150943396226422</c:v>
                </c:pt>
                <c:pt idx="13">
                  <c:v>1.3195652173913059</c:v>
                </c:pt>
                <c:pt idx="14">
                  <c:v>0.79400000000000004</c:v>
                </c:pt>
                <c:pt idx="15">
                  <c:v>0.74897959183673379</c:v>
                </c:pt>
                <c:pt idx="16">
                  <c:v>0.28545454545454546</c:v>
                </c:pt>
                <c:pt idx="17">
                  <c:v>0.21506849315068502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CC-4999-B9AB-4BE88169D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Diferensial Reaktivitas </a:t>
            </a:r>
            <a:r>
              <a:rPr lang="en-US"/>
              <a:t>Batang </a:t>
            </a:r>
            <a:r>
              <a:rPr lang="id-ID"/>
              <a:t>kompensasi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0-4E46-B00B-4FBE8AE1228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Jan24'!$B$36:$B$50</c:f>
              <c:numCache>
                <c:formatCode>General</c:formatCode>
                <c:ptCount val="15"/>
                <c:pt idx="0">
                  <c:v>0</c:v>
                </c:pt>
                <c:pt idx="1">
                  <c:v>43.9</c:v>
                </c:pt>
                <c:pt idx="2">
                  <c:v>48</c:v>
                </c:pt>
                <c:pt idx="3">
                  <c:v>52.3</c:v>
                </c:pt>
                <c:pt idx="4">
                  <c:v>56.3</c:v>
                </c:pt>
                <c:pt idx="5">
                  <c:v>60.5</c:v>
                </c:pt>
                <c:pt idx="6">
                  <c:v>64.400000000000006</c:v>
                </c:pt>
                <c:pt idx="7">
                  <c:v>68.3</c:v>
                </c:pt>
                <c:pt idx="8">
                  <c:v>72.5</c:v>
                </c:pt>
                <c:pt idx="9">
                  <c:v>76.900000000000006</c:v>
                </c:pt>
                <c:pt idx="10">
                  <c:v>80.7</c:v>
                </c:pt>
                <c:pt idx="11">
                  <c:v>84.6</c:v>
                </c:pt>
                <c:pt idx="12">
                  <c:v>88</c:v>
                </c:pt>
                <c:pt idx="13">
                  <c:v>93.5</c:v>
                </c:pt>
                <c:pt idx="14">
                  <c:v>100</c:v>
                </c:pt>
              </c:numCache>
            </c:numRef>
          </c:xVal>
          <c:yVal>
            <c:numRef>
              <c:f>'17 Jan24'!$D$36:$D$50</c:f>
              <c:numCache>
                <c:formatCode>0.0000</c:formatCode>
                <c:ptCount val="15"/>
                <c:pt idx="0">
                  <c:v>0</c:v>
                </c:pt>
                <c:pt idx="1">
                  <c:v>4.4259681093394079</c:v>
                </c:pt>
                <c:pt idx="2">
                  <c:v>5.504878048780486</c:v>
                </c:pt>
                <c:pt idx="3">
                  <c:v>4.8302325581395378</c:v>
                </c:pt>
                <c:pt idx="4">
                  <c:v>4.2925000000000004</c:v>
                </c:pt>
                <c:pt idx="5">
                  <c:v>4.3023809523809495</c:v>
                </c:pt>
                <c:pt idx="6">
                  <c:v>3.941025641025635</c:v>
                </c:pt>
                <c:pt idx="7">
                  <c:v>3.2487179487179558</c:v>
                </c:pt>
                <c:pt idx="8">
                  <c:v>3.0166666666666644</c:v>
                </c:pt>
                <c:pt idx="9">
                  <c:v>2.3340909090909059</c:v>
                </c:pt>
                <c:pt idx="10">
                  <c:v>2.1500000000000017</c:v>
                </c:pt>
                <c:pt idx="11">
                  <c:v>1.4025641025641056</c:v>
                </c:pt>
                <c:pt idx="12">
                  <c:v>1.1676470588235275</c:v>
                </c:pt>
                <c:pt idx="13">
                  <c:v>0.55818181818181811</c:v>
                </c:pt>
                <c:pt idx="14">
                  <c:v>0.47230769230769226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60-4E46-B00B-4FBE8AE12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Diferensial Reaktivitas </a:t>
            </a:r>
            <a:r>
              <a:rPr lang="en-US"/>
              <a:t>Batang Penga</a:t>
            </a:r>
            <a:r>
              <a:rPr lang="id-ID"/>
              <a:t>man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417-9299-54D2E902BF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Jan24'!$B$63:$B$75</c:f>
              <c:numCache>
                <c:formatCode>General</c:formatCode>
                <c:ptCount val="13"/>
                <c:pt idx="0">
                  <c:v>0</c:v>
                </c:pt>
                <c:pt idx="1">
                  <c:v>40.5</c:v>
                </c:pt>
                <c:pt idx="2">
                  <c:v>45.1</c:v>
                </c:pt>
                <c:pt idx="3">
                  <c:v>50.1</c:v>
                </c:pt>
                <c:pt idx="4">
                  <c:v>55.3</c:v>
                </c:pt>
                <c:pt idx="5">
                  <c:v>60.7</c:v>
                </c:pt>
                <c:pt idx="6">
                  <c:v>65.5</c:v>
                </c:pt>
                <c:pt idx="7">
                  <c:v>70.599999999999994</c:v>
                </c:pt>
                <c:pt idx="8">
                  <c:v>75.900000000000006</c:v>
                </c:pt>
                <c:pt idx="9">
                  <c:v>80.5</c:v>
                </c:pt>
                <c:pt idx="10">
                  <c:v>85.7</c:v>
                </c:pt>
                <c:pt idx="11">
                  <c:v>90.8</c:v>
                </c:pt>
                <c:pt idx="12">
                  <c:v>100</c:v>
                </c:pt>
              </c:numCache>
            </c:numRef>
          </c:xVal>
          <c:yVal>
            <c:numRef>
              <c:f>'17 Jan24'!$D$63:$D$75</c:f>
              <c:numCache>
                <c:formatCode>0.0000</c:formatCode>
                <c:ptCount val="13"/>
                <c:pt idx="0">
                  <c:v>0</c:v>
                </c:pt>
                <c:pt idx="1">
                  <c:v>3.8345679012345681</c:v>
                </c:pt>
                <c:pt idx="2">
                  <c:v>4.6456521739130423</c:v>
                </c:pt>
                <c:pt idx="3">
                  <c:v>4.274</c:v>
                </c:pt>
                <c:pt idx="4">
                  <c:v>4.1096153846153882</c:v>
                </c:pt>
                <c:pt idx="5">
                  <c:v>3.9574074074074033</c:v>
                </c:pt>
                <c:pt idx="6">
                  <c:v>3.2645833333333352</c:v>
                </c:pt>
                <c:pt idx="7">
                  <c:v>2.8960784313725521</c:v>
                </c:pt>
                <c:pt idx="8">
                  <c:v>2.3339622641509381</c:v>
                </c:pt>
                <c:pt idx="9">
                  <c:v>1.6456521739130456</c:v>
                </c:pt>
                <c:pt idx="10">
                  <c:v>1.0519230769230763</c:v>
                </c:pt>
                <c:pt idx="11">
                  <c:v>0.66078431372549096</c:v>
                </c:pt>
                <c:pt idx="12">
                  <c:v>0.23586956521739122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417-9299-54D2E902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Reaktivitas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Integral Reaktivitas Batang Pengatur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5-4689-8C06-205414C66B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Jan24'!$B$9:$B$26</c:f>
              <c:numCache>
                <c:formatCode>General</c:formatCode>
                <c:ptCount val="18"/>
                <c:pt idx="0">
                  <c:v>0</c:v>
                </c:pt>
                <c:pt idx="1">
                  <c:v>16.899999999999999</c:v>
                </c:pt>
                <c:pt idx="2">
                  <c:v>22.3</c:v>
                </c:pt>
                <c:pt idx="3">
                  <c:v>27.3</c:v>
                </c:pt>
                <c:pt idx="4">
                  <c:v>32.299999999999997</c:v>
                </c:pt>
                <c:pt idx="5">
                  <c:v>37.799999999999997</c:v>
                </c:pt>
                <c:pt idx="6">
                  <c:v>42.1</c:v>
                </c:pt>
                <c:pt idx="7">
                  <c:v>47.6</c:v>
                </c:pt>
                <c:pt idx="8">
                  <c:v>51.9</c:v>
                </c:pt>
                <c:pt idx="9">
                  <c:v>57.6</c:v>
                </c:pt>
                <c:pt idx="10">
                  <c:v>62.5</c:v>
                </c:pt>
                <c:pt idx="11">
                  <c:v>67.400000000000006</c:v>
                </c:pt>
                <c:pt idx="12">
                  <c:v>72.7</c:v>
                </c:pt>
                <c:pt idx="13">
                  <c:v>77.3</c:v>
                </c:pt>
                <c:pt idx="14">
                  <c:v>82.3</c:v>
                </c:pt>
                <c:pt idx="15">
                  <c:v>87.2</c:v>
                </c:pt>
                <c:pt idx="16">
                  <c:v>92.7</c:v>
                </c:pt>
                <c:pt idx="17">
                  <c:v>100</c:v>
                </c:pt>
              </c:numCache>
            </c:numRef>
          </c:xVal>
          <c:yVal>
            <c:numRef>
              <c:f>'17 Jan24'!$E$9:$E$26</c:f>
              <c:numCache>
                <c:formatCode>General</c:formatCode>
                <c:ptCount val="18"/>
                <c:pt idx="0">
                  <c:v>0</c:v>
                </c:pt>
                <c:pt idx="1">
                  <c:v>27.53</c:v>
                </c:pt>
                <c:pt idx="2">
                  <c:v>40.799999999999997</c:v>
                </c:pt>
                <c:pt idx="3">
                  <c:v>52.87</c:v>
                </c:pt>
                <c:pt idx="4">
                  <c:v>65.84</c:v>
                </c:pt>
                <c:pt idx="5">
                  <c:v>81.510000000000005</c:v>
                </c:pt>
                <c:pt idx="6">
                  <c:v>94.18</c:v>
                </c:pt>
                <c:pt idx="7">
                  <c:v>108.95</c:v>
                </c:pt>
                <c:pt idx="8">
                  <c:v>121.02000000000001</c:v>
                </c:pt>
                <c:pt idx="9">
                  <c:v>134.59</c:v>
                </c:pt>
                <c:pt idx="10">
                  <c:v>145.46</c:v>
                </c:pt>
                <c:pt idx="11">
                  <c:v>154.53</c:v>
                </c:pt>
                <c:pt idx="12">
                  <c:v>161.5</c:v>
                </c:pt>
                <c:pt idx="13">
                  <c:v>167.57</c:v>
                </c:pt>
                <c:pt idx="14">
                  <c:v>171.54</c:v>
                </c:pt>
                <c:pt idx="15">
                  <c:v>175.20999999999998</c:v>
                </c:pt>
                <c:pt idx="16">
                  <c:v>176.77999999999997</c:v>
                </c:pt>
                <c:pt idx="17">
                  <c:v>178.34999999999997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75-4689-8C06-205414C66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Integral Reaktivitas Batang Kompensasi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06-4A85-8E91-A2B519911FB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Jan24'!$B$36:$B$50</c:f>
              <c:numCache>
                <c:formatCode>General</c:formatCode>
                <c:ptCount val="15"/>
                <c:pt idx="0">
                  <c:v>0</c:v>
                </c:pt>
                <c:pt idx="1">
                  <c:v>43.9</c:v>
                </c:pt>
                <c:pt idx="2">
                  <c:v>48</c:v>
                </c:pt>
                <c:pt idx="3">
                  <c:v>52.3</c:v>
                </c:pt>
                <c:pt idx="4">
                  <c:v>56.3</c:v>
                </c:pt>
                <c:pt idx="5">
                  <c:v>60.5</c:v>
                </c:pt>
                <c:pt idx="6">
                  <c:v>64.400000000000006</c:v>
                </c:pt>
                <c:pt idx="7">
                  <c:v>68.3</c:v>
                </c:pt>
                <c:pt idx="8">
                  <c:v>72.5</c:v>
                </c:pt>
                <c:pt idx="9">
                  <c:v>76.900000000000006</c:v>
                </c:pt>
                <c:pt idx="10">
                  <c:v>80.7</c:v>
                </c:pt>
                <c:pt idx="11">
                  <c:v>84.6</c:v>
                </c:pt>
                <c:pt idx="12">
                  <c:v>88</c:v>
                </c:pt>
                <c:pt idx="13">
                  <c:v>93.5</c:v>
                </c:pt>
                <c:pt idx="14">
                  <c:v>100</c:v>
                </c:pt>
              </c:numCache>
            </c:numRef>
          </c:xVal>
          <c:yVal>
            <c:numRef>
              <c:f>'17 Jan24'!$E$36:$E$50</c:f>
              <c:numCache>
                <c:formatCode>General</c:formatCode>
                <c:ptCount val="15"/>
                <c:pt idx="0">
                  <c:v>0</c:v>
                </c:pt>
                <c:pt idx="1">
                  <c:v>194.3</c:v>
                </c:pt>
                <c:pt idx="2">
                  <c:v>216.87</c:v>
                </c:pt>
                <c:pt idx="3">
                  <c:v>237.64000000000001</c:v>
                </c:pt>
                <c:pt idx="4">
                  <c:v>254.81</c:v>
                </c:pt>
                <c:pt idx="5">
                  <c:v>272.88</c:v>
                </c:pt>
                <c:pt idx="6">
                  <c:v>288.25</c:v>
                </c:pt>
                <c:pt idx="7">
                  <c:v>300.92</c:v>
                </c:pt>
                <c:pt idx="8">
                  <c:v>313.59000000000003</c:v>
                </c:pt>
                <c:pt idx="9">
                  <c:v>323.86</c:v>
                </c:pt>
                <c:pt idx="10">
                  <c:v>332.03000000000003</c:v>
                </c:pt>
                <c:pt idx="11">
                  <c:v>337.50000000000006</c:v>
                </c:pt>
                <c:pt idx="12">
                  <c:v>341.47000000000008</c:v>
                </c:pt>
                <c:pt idx="13">
                  <c:v>344.54000000000008</c:v>
                </c:pt>
                <c:pt idx="14">
                  <c:v>347.61000000000007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06-4A85-8E91-A2B51991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 Reaktivitas Batang Pengaman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0-46B0-9436-455E523E01B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Jan24'!$B$63:$B$70</c:f>
              <c:numCache>
                <c:formatCode>General</c:formatCode>
                <c:ptCount val="8"/>
                <c:pt idx="0">
                  <c:v>0</c:v>
                </c:pt>
                <c:pt idx="1">
                  <c:v>40.5</c:v>
                </c:pt>
                <c:pt idx="2">
                  <c:v>45.1</c:v>
                </c:pt>
                <c:pt idx="3">
                  <c:v>50.1</c:v>
                </c:pt>
                <c:pt idx="4">
                  <c:v>55.3</c:v>
                </c:pt>
                <c:pt idx="5">
                  <c:v>60.7</c:v>
                </c:pt>
                <c:pt idx="6">
                  <c:v>65.5</c:v>
                </c:pt>
                <c:pt idx="7">
                  <c:v>70.599999999999994</c:v>
                </c:pt>
              </c:numCache>
            </c:numRef>
          </c:xVal>
          <c:yVal>
            <c:numRef>
              <c:f>'17 Jan24'!$E$63:$E$70</c:f>
              <c:numCache>
                <c:formatCode>General</c:formatCode>
                <c:ptCount val="8"/>
                <c:pt idx="0">
                  <c:v>0</c:v>
                </c:pt>
                <c:pt idx="1">
                  <c:v>155.30000000000001</c:v>
                </c:pt>
                <c:pt idx="2">
                  <c:v>176.67000000000002</c:v>
                </c:pt>
                <c:pt idx="3">
                  <c:v>198.04000000000002</c:v>
                </c:pt>
                <c:pt idx="4">
                  <c:v>219.41000000000003</c:v>
                </c:pt>
                <c:pt idx="5">
                  <c:v>240.78000000000003</c:v>
                </c:pt>
                <c:pt idx="6">
                  <c:v>256.45000000000005</c:v>
                </c:pt>
                <c:pt idx="7">
                  <c:v>271.22000000000003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80-46B0-9436-455E523E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Diferensial Reaktivitas </a:t>
            </a:r>
            <a:r>
              <a:rPr lang="en-US"/>
              <a:t>Batang Pengatur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EB-474B-9875-0934A0BE3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3928"/>
        <c:axId val="292883752"/>
      </c:scatterChart>
      <c:valAx>
        <c:axId val="29234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3752"/>
        <c:crosses val="autoZero"/>
        <c:crossBetween val="midCat"/>
      </c:valAx>
      <c:valAx>
        <c:axId val="29288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baseline="0">
                <a:effectLst/>
              </a:rPr>
              <a:t>Grafik Diferensial Reaktivitas </a:t>
            </a:r>
            <a:r>
              <a:rPr lang="en-US" sz="1400" b="1" i="0" baseline="0">
                <a:effectLst/>
              </a:rPr>
              <a:t>Batang </a:t>
            </a:r>
            <a:r>
              <a:rPr lang="id-ID" sz="1400" b="1" i="0" baseline="0">
                <a:effectLst/>
              </a:rPr>
              <a:t>kompensasi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0-4322-9057-911E07D9A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1792"/>
        <c:axId val="292887280"/>
      </c:scatterChart>
      <c:valAx>
        <c:axId val="29288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7280"/>
        <c:crosses val="autoZero"/>
        <c:crossBetween val="midCat"/>
      </c:valAx>
      <c:valAx>
        <c:axId val="29288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baseline="0">
                <a:effectLst/>
              </a:rPr>
              <a:t>Grafik Diferensial Reaktivitas </a:t>
            </a:r>
            <a:r>
              <a:rPr lang="en-US" sz="1400" b="1" i="0" baseline="0">
                <a:effectLst/>
              </a:rPr>
              <a:t>Batang Penga</a:t>
            </a:r>
            <a:r>
              <a:rPr lang="id-ID" sz="1400" b="1" i="0" baseline="0">
                <a:effectLst/>
              </a:rPr>
              <a:t>man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2-49C2-B056-674AD2C8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4144"/>
        <c:axId val="292887672"/>
      </c:scatterChart>
      <c:valAx>
        <c:axId val="29288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7672"/>
        <c:crosses val="autoZero"/>
        <c:crossBetween val="midCat"/>
      </c:valAx>
      <c:valAx>
        <c:axId val="29288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Reaktivitas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</a:t>
            </a:r>
            <a:r>
              <a:rPr lang="id-ID" baseline="0"/>
              <a:t> Reaktivitas </a:t>
            </a:r>
            <a:r>
              <a:rPr lang="id-ID"/>
              <a:t>Batang</a:t>
            </a:r>
            <a:r>
              <a:rPr lang="id-ID" baseline="0"/>
              <a:t> Pengatur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8C-4AB9-86AF-3D98568AA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4536"/>
        <c:axId val="292885320"/>
      </c:scatterChart>
      <c:valAx>
        <c:axId val="292884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5320"/>
        <c:crosses val="autoZero"/>
        <c:crossBetween val="midCat"/>
      </c:valAx>
      <c:valAx>
        <c:axId val="29288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</a:t>
            </a:r>
            <a:r>
              <a:rPr lang="id-ID" baseline="0"/>
              <a:t> Reaktivitas </a:t>
            </a:r>
            <a:r>
              <a:rPr lang="id-ID"/>
              <a:t>Batang</a:t>
            </a:r>
            <a:r>
              <a:rPr lang="id-ID" baseline="0"/>
              <a:t> Kompensasi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C4-4AB0-BFD3-123BB0414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1400"/>
        <c:axId val="292882576"/>
      </c:scatterChart>
      <c:valAx>
        <c:axId val="292881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2576"/>
        <c:crosses val="autoZero"/>
        <c:crossBetween val="midCat"/>
      </c:valAx>
      <c:valAx>
        <c:axId val="2928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Grafik Integral</a:t>
            </a:r>
            <a:r>
              <a:rPr lang="id-ID" baseline="0"/>
              <a:t> Reaktivitas </a:t>
            </a:r>
            <a:r>
              <a:rPr lang="id-ID"/>
              <a:t>Batang</a:t>
            </a:r>
            <a:r>
              <a:rPr lang="id-ID" baseline="0"/>
              <a:t> Pengaman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BA-4E19-BE5B-3C708718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5712"/>
        <c:axId val="292883360"/>
      </c:scatterChart>
      <c:valAx>
        <c:axId val="29288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3360"/>
        <c:crosses val="autoZero"/>
        <c:crossBetween val="midCat"/>
      </c:valAx>
      <c:valAx>
        <c:axId val="2928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8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Kalibrasi Batang Pengatur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641907261592301"/>
          <c:y val="0.1794131703686293"/>
          <c:w val="0.67550437445319333"/>
          <c:h val="0.61885188232068011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'17 Maret'!$B$9:$B$15</c:f>
              <c:numCache>
                <c:formatCode>General</c:formatCode>
                <c:ptCount val="7"/>
                <c:pt idx="0">
                  <c:v>0</c:v>
                </c:pt>
                <c:pt idx="1">
                  <c:v>26.2</c:v>
                </c:pt>
                <c:pt idx="2">
                  <c:v>34.700000000000003</c:v>
                </c:pt>
                <c:pt idx="3">
                  <c:v>42.1</c:v>
                </c:pt>
                <c:pt idx="4">
                  <c:v>52.4</c:v>
                </c:pt>
                <c:pt idx="5">
                  <c:v>62.2</c:v>
                </c:pt>
                <c:pt idx="6">
                  <c:v>100</c:v>
                </c:pt>
              </c:numCache>
            </c:numRef>
          </c:xVal>
          <c:yVal>
            <c:numRef>
              <c:f>'17 Maret'!$D$9:$D$15</c:f>
              <c:numCache>
                <c:formatCode>General</c:formatCode>
                <c:ptCount val="7"/>
                <c:pt idx="0">
                  <c:v>0</c:v>
                </c:pt>
                <c:pt idx="1">
                  <c:v>0.49618320610687022</c:v>
                </c:pt>
                <c:pt idx="2">
                  <c:v>2.4235294117647048</c:v>
                </c:pt>
                <c:pt idx="3">
                  <c:v>2.4729729729729737</c:v>
                </c:pt>
                <c:pt idx="4">
                  <c:v>2.4951456310679618</c:v>
                </c:pt>
                <c:pt idx="5">
                  <c:v>2.1734693877551012</c:v>
                </c:pt>
                <c:pt idx="6">
                  <c:v>0.78571428571428581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3-4CB4-9702-438EEAB11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86496"/>
        <c:axId val="292886888"/>
      </c:scatterChart>
      <c:valAx>
        <c:axId val="29288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2886888"/>
        <c:crosses val="autoZero"/>
        <c:crossBetween val="midCat"/>
      </c:valAx>
      <c:valAx>
        <c:axId val="292886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id-ID"/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2886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Kalibrasi Batang Kompensasi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641907261592306"/>
          <c:y val="0.17941317036862936"/>
          <c:w val="0.67550437445319389"/>
          <c:h val="0.61885188232068056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'17 Maret'!$B$24:$B$30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55</c:v>
                </c:pt>
                <c:pt idx="3">
                  <c:v>59.6</c:v>
                </c:pt>
                <c:pt idx="4">
                  <c:v>65</c:v>
                </c:pt>
                <c:pt idx="5">
                  <c:v>72.099999999999994</c:v>
                </c:pt>
                <c:pt idx="6">
                  <c:v>100</c:v>
                </c:pt>
              </c:numCache>
            </c:numRef>
          </c:xVal>
          <c:yVal>
            <c:numRef>
              <c:f>'17 Maret'!$D$24:$D$30</c:f>
              <c:numCache>
                <c:formatCode>General</c:formatCode>
                <c:ptCount val="7"/>
                <c:pt idx="0">
                  <c:v>0</c:v>
                </c:pt>
                <c:pt idx="1">
                  <c:v>2.4</c:v>
                </c:pt>
                <c:pt idx="2">
                  <c:v>4.5</c:v>
                </c:pt>
                <c:pt idx="3">
                  <c:v>4.4130434782608683</c:v>
                </c:pt>
                <c:pt idx="4">
                  <c:v>3.7407407407407418</c:v>
                </c:pt>
                <c:pt idx="5">
                  <c:v>3.0704225352112702</c:v>
                </c:pt>
                <c:pt idx="6">
                  <c:v>1.1039426523297489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85-4847-B065-4CE3B9E9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4320"/>
        <c:axId val="292345104"/>
      </c:scatterChart>
      <c:valAx>
        <c:axId val="29234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2345104"/>
        <c:crosses val="autoZero"/>
        <c:crossBetween val="midCat"/>
      </c:valAx>
      <c:valAx>
        <c:axId val="292345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id-ID"/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2344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Kalibrasi Batang Pengaman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641907261592312"/>
          <c:y val="0.17941317036862942"/>
          <c:w val="0.67550437445319433"/>
          <c:h val="0.61885188232068111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'17 Maret'!$B$37:$B$43</c:f>
              <c:numCache>
                <c:formatCode>General</c:formatCode>
                <c:ptCount val="7"/>
                <c:pt idx="0">
                  <c:v>0</c:v>
                </c:pt>
                <c:pt idx="1">
                  <c:v>48.6</c:v>
                </c:pt>
                <c:pt idx="2">
                  <c:v>52.8</c:v>
                </c:pt>
                <c:pt idx="3">
                  <c:v>57.6</c:v>
                </c:pt>
                <c:pt idx="4">
                  <c:v>64</c:v>
                </c:pt>
                <c:pt idx="5">
                  <c:v>70.900000000000006</c:v>
                </c:pt>
                <c:pt idx="6">
                  <c:v>100</c:v>
                </c:pt>
              </c:numCache>
            </c:numRef>
          </c:xVal>
          <c:yVal>
            <c:numRef>
              <c:f>'17 Maret'!$D$37:$D$43</c:f>
              <c:numCache>
                <c:formatCode>General</c:formatCode>
                <c:ptCount val="7"/>
                <c:pt idx="0">
                  <c:v>0</c:v>
                </c:pt>
                <c:pt idx="1">
                  <c:v>2.6748971193415638</c:v>
                </c:pt>
                <c:pt idx="2">
                  <c:v>4.6190476190476231</c:v>
                </c:pt>
                <c:pt idx="3">
                  <c:v>4.5416666666666625</c:v>
                </c:pt>
                <c:pt idx="4">
                  <c:v>3.5312500000000009</c:v>
                </c:pt>
                <c:pt idx="5">
                  <c:v>2.9855072463768093</c:v>
                </c:pt>
                <c:pt idx="6">
                  <c:v>1.0240549828178696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BE-479F-ABE2-42D66224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211792"/>
        <c:axId val="293213752"/>
      </c:scatterChart>
      <c:valAx>
        <c:axId val="29321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3213752"/>
        <c:crosses val="autoZero"/>
        <c:crossBetween val="midCat"/>
      </c:valAx>
      <c:valAx>
        <c:axId val="293213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id-ID"/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211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Diferensial Reaktivitas </a:t>
            </a:r>
            <a:r>
              <a:rPr lang="en-US"/>
              <a:t>Batang Pengatur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6A-42DA-B4A2-92E0117BBFB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24'!$B$9:$B$18</c:f>
              <c:numCache>
                <c:formatCode>General</c:formatCode>
                <c:ptCount val="10"/>
                <c:pt idx="0">
                  <c:v>0</c:v>
                </c:pt>
                <c:pt idx="1">
                  <c:v>15.4</c:v>
                </c:pt>
                <c:pt idx="2">
                  <c:v>23.3</c:v>
                </c:pt>
                <c:pt idx="3">
                  <c:v>31.7</c:v>
                </c:pt>
                <c:pt idx="4">
                  <c:v>38.4</c:v>
                </c:pt>
                <c:pt idx="5">
                  <c:v>45.1</c:v>
                </c:pt>
                <c:pt idx="6">
                  <c:v>52.2</c:v>
                </c:pt>
                <c:pt idx="7">
                  <c:v>60.4</c:v>
                </c:pt>
                <c:pt idx="8">
                  <c:v>71.8</c:v>
                </c:pt>
                <c:pt idx="9">
                  <c:v>100</c:v>
                </c:pt>
              </c:numCache>
            </c:numRef>
          </c:xVal>
          <c:yVal>
            <c:numRef>
              <c:f>'17 Okt 24'!$D$9:$D$18</c:f>
              <c:numCache>
                <c:formatCode>0.0000</c:formatCode>
                <c:ptCount val="10"/>
                <c:pt idx="0">
                  <c:v>0</c:v>
                </c:pt>
                <c:pt idx="1">
                  <c:v>1.6103896103896105</c:v>
                </c:pt>
                <c:pt idx="2">
                  <c:v>2.3670886075949364</c:v>
                </c:pt>
                <c:pt idx="3">
                  <c:v>2.5833333333333335</c:v>
                </c:pt>
                <c:pt idx="4">
                  <c:v>2.6970149253731348</c:v>
                </c:pt>
                <c:pt idx="5">
                  <c:v>2.5925373134328349</c:v>
                </c:pt>
                <c:pt idx="6">
                  <c:v>2.6295774647887322</c:v>
                </c:pt>
                <c:pt idx="7">
                  <c:v>2.5329268292682938</c:v>
                </c:pt>
                <c:pt idx="8">
                  <c:v>1.7956140350877194</c:v>
                </c:pt>
                <c:pt idx="9">
                  <c:v>0.56631205673758866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6A-42DA-B4A2-92E0117B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Diferensial Reaktivitas </a:t>
            </a:r>
            <a:r>
              <a:rPr lang="en-US"/>
              <a:t>Batang </a:t>
            </a:r>
            <a:r>
              <a:rPr lang="id-ID"/>
              <a:t>kompensasi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9D-4E0C-9D60-9F61C37B12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24'!$B$28:$B$36</c:f>
              <c:numCache>
                <c:formatCode>General</c:formatCode>
                <c:ptCount val="9"/>
                <c:pt idx="0">
                  <c:v>0</c:v>
                </c:pt>
                <c:pt idx="1">
                  <c:v>42.4</c:v>
                </c:pt>
                <c:pt idx="2">
                  <c:v>46.7</c:v>
                </c:pt>
                <c:pt idx="3">
                  <c:v>51.4</c:v>
                </c:pt>
                <c:pt idx="4">
                  <c:v>56.2</c:v>
                </c:pt>
                <c:pt idx="5">
                  <c:v>61.4</c:v>
                </c:pt>
                <c:pt idx="6">
                  <c:v>67.2</c:v>
                </c:pt>
                <c:pt idx="7">
                  <c:v>76.2</c:v>
                </c:pt>
                <c:pt idx="8">
                  <c:v>100</c:v>
                </c:pt>
              </c:numCache>
            </c:numRef>
          </c:xVal>
          <c:yVal>
            <c:numRef>
              <c:f>'17 Okt 24'!$D$28:$D$36</c:f>
              <c:numCache>
                <c:formatCode>0.0000</c:formatCode>
                <c:ptCount val="9"/>
                <c:pt idx="0">
                  <c:v>0</c:v>
                </c:pt>
                <c:pt idx="1">
                  <c:v>4.3702830188679247</c:v>
                </c:pt>
                <c:pt idx="2">
                  <c:v>5.0627906976744139</c:v>
                </c:pt>
                <c:pt idx="3">
                  <c:v>4.5468085106383018</c:v>
                </c:pt>
                <c:pt idx="4">
                  <c:v>4.3270833333333298</c:v>
                </c:pt>
                <c:pt idx="5">
                  <c:v>3.9365384615384644</c:v>
                </c:pt>
                <c:pt idx="6">
                  <c:v>3.6327586206896525</c:v>
                </c:pt>
                <c:pt idx="7">
                  <c:v>2.5411111111111113</c:v>
                </c:pt>
                <c:pt idx="8">
                  <c:v>0.92310924369747904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9D-4E0C-9D60-9F61C37B1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Diferensial Reaktivitas </a:t>
            </a:r>
            <a:r>
              <a:rPr lang="en-US"/>
              <a:t>Batang Penga</a:t>
            </a:r>
            <a:r>
              <a:rPr lang="id-ID"/>
              <a:t>man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13-415A-BBCD-1B9AA51088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24'!$B$49:$B$57</c:f>
              <c:numCache>
                <c:formatCode>General</c:formatCode>
                <c:ptCount val="9"/>
                <c:pt idx="0">
                  <c:v>0</c:v>
                </c:pt>
                <c:pt idx="1">
                  <c:v>39.700000000000003</c:v>
                </c:pt>
                <c:pt idx="2">
                  <c:v>44.1</c:v>
                </c:pt>
                <c:pt idx="3">
                  <c:v>49.2</c:v>
                </c:pt>
                <c:pt idx="4">
                  <c:v>54.2</c:v>
                </c:pt>
                <c:pt idx="5">
                  <c:v>59.3</c:v>
                </c:pt>
                <c:pt idx="6">
                  <c:v>65.400000000000006</c:v>
                </c:pt>
                <c:pt idx="7">
                  <c:v>73.2</c:v>
                </c:pt>
                <c:pt idx="8">
                  <c:v>100</c:v>
                </c:pt>
              </c:numCache>
            </c:numRef>
          </c:xVal>
          <c:yVal>
            <c:numRef>
              <c:f>'17 Okt 24'!$D$49:$D$57</c:f>
              <c:numCache>
                <c:formatCode>0.0000</c:formatCode>
                <c:ptCount val="9"/>
                <c:pt idx="0">
                  <c:v>0</c:v>
                </c:pt>
                <c:pt idx="1">
                  <c:v>3.6851385390428213</c:v>
                </c:pt>
                <c:pt idx="2">
                  <c:v>4.4477272727272741</c:v>
                </c:pt>
                <c:pt idx="3">
                  <c:v>4.8921568627450966</c:v>
                </c:pt>
                <c:pt idx="4">
                  <c:v>3.9740000000000002</c:v>
                </c:pt>
                <c:pt idx="5">
                  <c:v>4.0137254901960828</c:v>
                </c:pt>
                <c:pt idx="6">
                  <c:v>3.372131147540979</c:v>
                </c:pt>
                <c:pt idx="7">
                  <c:v>2.4320512820512827</c:v>
                </c:pt>
                <c:pt idx="8">
                  <c:v>0.84216417910447772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13-415A-BBCD-1B9AA510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Reaktivitas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Integral Reaktivitas Batang Pengatur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F5-498D-80D9-E5FF8C7CD77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24'!$B$9:$B$18</c:f>
              <c:numCache>
                <c:formatCode>General</c:formatCode>
                <c:ptCount val="10"/>
                <c:pt idx="0">
                  <c:v>0</c:v>
                </c:pt>
                <c:pt idx="1">
                  <c:v>15.4</c:v>
                </c:pt>
                <c:pt idx="2">
                  <c:v>23.3</c:v>
                </c:pt>
                <c:pt idx="3">
                  <c:v>31.7</c:v>
                </c:pt>
                <c:pt idx="4">
                  <c:v>38.4</c:v>
                </c:pt>
                <c:pt idx="5">
                  <c:v>45.1</c:v>
                </c:pt>
                <c:pt idx="6">
                  <c:v>52.2</c:v>
                </c:pt>
                <c:pt idx="7">
                  <c:v>60.4</c:v>
                </c:pt>
                <c:pt idx="8">
                  <c:v>71.8</c:v>
                </c:pt>
                <c:pt idx="9">
                  <c:v>100</c:v>
                </c:pt>
              </c:numCache>
            </c:numRef>
          </c:xVal>
          <c:yVal>
            <c:numRef>
              <c:f>'17 Okt 24'!$E$9:$E$18</c:f>
              <c:numCache>
                <c:formatCode>General</c:formatCode>
                <c:ptCount val="10"/>
                <c:pt idx="0">
                  <c:v>0</c:v>
                </c:pt>
                <c:pt idx="1">
                  <c:v>24.8</c:v>
                </c:pt>
                <c:pt idx="2">
                  <c:v>43.5</c:v>
                </c:pt>
                <c:pt idx="3">
                  <c:v>65.2</c:v>
                </c:pt>
                <c:pt idx="4">
                  <c:v>83.27000000000001</c:v>
                </c:pt>
                <c:pt idx="5">
                  <c:v>100.64000000000001</c:v>
                </c:pt>
                <c:pt idx="6">
                  <c:v>119.31000000000002</c:v>
                </c:pt>
                <c:pt idx="7">
                  <c:v>140.08000000000001</c:v>
                </c:pt>
                <c:pt idx="8">
                  <c:v>160.55000000000001</c:v>
                </c:pt>
                <c:pt idx="9">
                  <c:v>176.52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F5-498D-80D9-E5FF8C7C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Integral Reaktivitas Batang Kompensasi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9-4201-A758-F97016D531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24'!$B$28:$B$36</c:f>
              <c:numCache>
                <c:formatCode>General</c:formatCode>
                <c:ptCount val="9"/>
                <c:pt idx="0">
                  <c:v>0</c:v>
                </c:pt>
                <c:pt idx="1">
                  <c:v>42.4</c:v>
                </c:pt>
                <c:pt idx="2">
                  <c:v>46.7</c:v>
                </c:pt>
                <c:pt idx="3">
                  <c:v>51.4</c:v>
                </c:pt>
                <c:pt idx="4">
                  <c:v>56.2</c:v>
                </c:pt>
                <c:pt idx="5">
                  <c:v>61.4</c:v>
                </c:pt>
                <c:pt idx="6">
                  <c:v>67.2</c:v>
                </c:pt>
                <c:pt idx="7">
                  <c:v>76.2</c:v>
                </c:pt>
                <c:pt idx="8">
                  <c:v>100</c:v>
                </c:pt>
              </c:numCache>
            </c:numRef>
          </c:xVal>
          <c:yVal>
            <c:numRef>
              <c:f>'17 Okt 24'!$E$28:$E$36</c:f>
              <c:numCache>
                <c:formatCode>General</c:formatCode>
                <c:ptCount val="9"/>
                <c:pt idx="0">
                  <c:v>0</c:v>
                </c:pt>
                <c:pt idx="1">
                  <c:v>185.3</c:v>
                </c:pt>
                <c:pt idx="2">
                  <c:v>207.07000000000002</c:v>
                </c:pt>
                <c:pt idx="3">
                  <c:v>228.44000000000003</c:v>
                </c:pt>
                <c:pt idx="4">
                  <c:v>249.21000000000004</c:v>
                </c:pt>
                <c:pt idx="5">
                  <c:v>269.68000000000006</c:v>
                </c:pt>
                <c:pt idx="6">
                  <c:v>290.75000000000006</c:v>
                </c:pt>
                <c:pt idx="7">
                  <c:v>313.62000000000006</c:v>
                </c:pt>
                <c:pt idx="8">
                  <c:v>335.59000000000003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29-4201-A758-F97016D53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/>
              <a:t>Grafik Integral Reaktivitas Batang Pengaman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E7-47E3-97B1-6506F5942BA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'17 Okt 24'!$B$49:$B$56</c:f>
              <c:numCache>
                <c:formatCode>General</c:formatCode>
                <c:ptCount val="8"/>
                <c:pt idx="0">
                  <c:v>0</c:v>
                </c:pt>
                <c:pt idx="1">
                  <c:v>39.700000000000003</c:v>
                </c:pt>
                <c:pt idx="2">
                  <c:v>44.1</c:v>
                </c:pt>
                <c:pt idx="3">
                  <c:v>49.2</c:v>
                </c:pt>
                <c:pt idx="4">
                  <c:v>54.2</c:v>
                </c:pt>
                <c:pt idx="5">
                  <c:v>59.3</c:v>
                </c:pt>
                <c:pt idx="6">
                  <c:v>65.400000000000006</c:v>
                </c:pt>
                <c:pt idx="7">
                  <c:v>73.2</c:v>
                </c:pt>
              </c:numCache>
            </c:numRef>
          </c:xVal>
          <c:yVal>
            <c:numRef>
              <c:f>'17 Okt 24'!$E$49:$E$56</c:f>
              <c:numCache>
                <c:formatCode>General</c:formatCode>
                <c:ptCount val="8"/>
                <c:pt idx="0">
                  <c:v>0</c:v>
                </c:pt>
                <c:pt idx="1">
                  <c:v>146.30000000000001</c:v>
                </c:pt>
                <c:pt idx="2">
                  <c:v>165.87</c:v>
                </c:pt>
                <c:pt idx="3">
                  <c:v>190.82</c:v>
                </c:pt>
                <c:pt idx="4">
                  <c:v>210.69</c:v>
                </c:pt>
                <c:pt idx="5">
                  <c:v>231.16</c:v>
                </c:pt>
                <c:pt idx="6">
                  <c:v>251.73</c:v>
                </c:pt>
                <c:pt idx="7">
                  <c:v>270.7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E7-47E3-97B1-6506F5942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Posisi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d-ID"/>
                  <a:t>Reaktivitas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CC-48A4-B58B-9264551B918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24'!$B$9:$B$17</c:f>
              <c:numCache>
                <c:formatCode>General</c:formatCode>
                <c:ptCount val="9"/>
                <c:pt idx="0">
                  <c:v>0</c:v>
                </c:pt>
                <c:pt idx="1">
                  <c:v>14.7</c:v>
                </c:pt>
                <c:pt idx="2">
                  <c:v>24.5</c:v>
                </c:pt>
                <c:pt idx="3">
                  <c:v>33.4</c:v>
                </c:pt>
                <c:pt idx="4">
                  <c:v>42.5</c:v>
                </c:pt>
                <c:pt idx="5">
                  <c:v>51.3</c:v>
                </c:pt>
                <c:pt idx="6">
                  <c:v>62</c:v>
                </c:pt>
                <c:pt idx="7">
                  <c:v>76</c:v>
                </c:pt>
                <c:pt idx="8">
                  <c:v>100</c:v>
                </c:pt>
              </c:numCache>
            </c:numRef>
          </c:xVal>
          <c:yVal>
            <c:numRef>
              <c:f>'29 Oct 24'!$D$9:$D$17</c:f>
              <c:numCache>
                <c:formatCode>0.0000</c:formatCode>
                <c:ptCount val="9"/>
                <c:pt idx="0">
                  <c:v>0</c:v>
                </c:pt>
                <c:pt idx="1">
                  <c:v>1.4965986394557824</c:v>
                </c:pt>
                <c:pt idx="2">
                  <c:v>2.1193877551020406</c:v>
                </c:pt>
                <c:pt idx="3">
                  <c:v>2.3033707865168545</c:v>
                </c:pt>
                <c:pt idx="4">
                  <c:v>2.2527472527472523</c:v>
                </c:pt>
                <c:pt idx="5">
                  <c:v>2.6136363636363646</c:v>
                </c:pt>
                <c:pt idx="6">
                  <c:v>2.1775700934579434</c:v>
                </c:pt>
                <c:pt idx="7">
                  <c:v>1.2642857142857142</c:v>
                </c:pt>
                <c:pt idx="8">
                  <c:v>0.17791666666666664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CC-48A4-B58B-9264551B9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46-4C99-AABA-BC0CAEB28C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24'!$B$27:$B$35</c:f>
              <c:numCache>
                <c:formatCode>General</c:formatCode>
                <c:ptCount val="9"/>
                <c:pt idx="0">
                  <c:v>0</c:v>
                </c:pt>
                <c:pt idx="1">
                  <c:v>43.1</c:v>
                </c:pt>
                <c:pt idx="2">
                  <c:v>46.7</c:v>
                </c:pt>
                <c:pt idx="3">
                  <c:v>50.6</c:v>
                </c:pt>
                <c:pt idx="4">
                  <c:v>56.3</c:v>
                </c:pt>
                <c:pt idx="5">
                  <c:v>61.7</c:v>
                </c:pt>
                <c:pt idx="6">
                  <c:v>67.900000000000006</c:v>
                </c:pt>
                <c:pt idx="7">
                  <c:v>76.3</c:v>
                </c:pt>
                <c:pt idx="8">
                  <c:v>100</c:v>
                </c:pt>
              </c:numCache>
            </c:numRef>
          </c:xVal>
          <c:yVal>
            <c:numRef>
              <c:f>'29 Oct 24'!$D$27:$D$35</c:f>
              <c:numCache>
                <c:formatCode>0.0000</c:formatCode>
                <c:ptCount val="9"/>
                <c:pt idx="0">
                  <c:v>0</c:v>
                </c:pt>
                <c:pt idx="1">
                  <c:v>4.2621809744779577</c:v>
                </c:pt>
                <c:pt idx="2">
                  <c:v>5.5194444444444422</c:v>
                </c:pt>
                <c:pt idx="3">
                  <c:v>4.9230769230769251</c:v>
                </c:pt>
                <c:pt idx="4">
                  <c:v>4.1000000000000032</c:v>
                </c:pt>
                <c:pt idx="5">
                  <c:v>3.9574074074074033</c:v>
                </c:pt>
                <c:pt idx="6">
                  <c:v>3.4629032258064498</c:v>
                </c:pt>
                <c:pt idx="7">
                  <c:v>2.7226190476190504</c:v>
                </c:pt>
                <c:pt idx="8">
                  <c:v>0.88902953586497879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46-4C99-AABA-BC0CAEB2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D-4D6E-8DA5-5012800E760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24'!$B$48:$B$56</c:f>
              <c:numCache>
                <c:formatCode>General</c:formatCode>
                <c:ptCount val="9"/>
                <c:pt idx="0">
                  <c:v>0</c:v>
                </c:pt>
                <c:pt idx="1">
                  <c:v>40.1</c:v>
                </c:pt>
                <c:pt idx="2">
                  <c:v>43.5</c:v>
                </c:pt>
                <c:pt idx="3">
                  <c:v>48.7</c:v>
                </c:pt>
                <c:pt idx="4">
                  <c:v>53.9</c:v>
                </c:pt>
                <c:pt idx="5">
                  <c:v>60.1</c:v>
                </c:pt>
                <c:pt idx="6">
                  <c:v>67</c:v>
                </c:pt>
                <c:pt idx="7">
                  <c:v>77.2</c:v>
                </c:pt>
                <c:pt idx="8">
                  <c:v>100</c:v>
                </c:pt>
              </c:numCache>
            </c:numRef>
          </c:xVal>
          <c:yVal>
            <c:numRef>
              <c:f>'29 Oct 24'!$D$48:$D$56</c:f>
              <c:numCache>
                <c:formatCode>0.0000</c:formatCode>
                <c:ptCount val="9"/>
                <c:pt idx="0">
                  <c:v>0</c:v>
                </c:pt>
                <c:pt idx="1">
                  <c:v>4.0224438902743147</c:v>
                </c:pt>
                <c:pt idx="2">
                  <c:v>5.1382352941176492</c:v>
                </c:pt>
                <c:pt idx="3">
                  <c:v>4.0192307692307665</c:v>
                </c:pt>
                <c:pt idx="4">
                  <c:v>4.3788461538461574</c:v>
                </c:pt>
                <c:pt idx="5">
                  <c:v>3.0112903225806442</c:v>
                </c:pt>
                <c:pt idx="6">
                  <c:v>3.0101449275362326</c:v>
                </c:pt>
                <c:pt idx="7">
                  <c:v>2.0460784313725484</c:v>
                </c:pt>
                <c:pt idx="8">
                  <c:v>0.54254385964912288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0D-4D6E-8DA5-5012800E7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B7-42DC-A033-38507D0CD4D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24'!$B$9:$B$17</c:f>
              <c:numCache>
                <c:formatCode>General</c:formatCode>
                <c:ptCount val="9"/>
                <c:pt idx="0">
                  <c:v>0</c:v>
                </c:pt>
                <c:pt idx="1">
                  <c:v>14.7</c:v>
                </c:pt>
                <c:pt idx="2">
                  <c:v>24.5</c:v>
                </c:pt>
                <c:pt idx="3">
                  <c:v>33.4</c:v>
                </c:pt>
                <c:pt idx="4">
                  <c:v>42.5</c:v>
                </c:pt>
                <c:pt idx="5">
                  <c:v>51.3</c:v>
                </c:pt>
                <c:pt idx="6">
                  <c:v>62</c:v>
                </c:pt>
                <c:pt idx="7">
                  <c:v>76</c:v>
                </c:pt>
                <c:pt idx="8">
                  <c:v>100</c:v>
                </c:pt>
              </c:numCache>
            </c:numRef>
          </c:xVal>
          <c:yVal>
            <c:numRef>
              <c:f>'29 Oct 24'!$E$9:$E$17</c:f>
              <c:numCache>
                <c:formatCode>General</c:formatCode>
                <c:ptCount val="9"/>
                <c:pt idx="0">
                  <c:v>0</c:v>
                </c:pt>
                <c:pt idx="1">
                  <c:v>22</c:v>
                </c:pt>
                <c:pt idx="2">
                  <c:v>42.769999999999996</c:v>
                </c:pt>
                <c:pt idx="3">
                  <c:v>63.269999999999996</c:v>
                </c:pt>
                <c:pt idx="4">
                  <c:v>83.77</c:v>
                </c:pt>
                <c:pt idx="5">
                  <c:v>106.77</c:v>
                </c:pt>
                <c:pt idx="6">
                  <c:v>130.07</c:v>
                </c:pt>
                <c:pt idx="7">
                  <c:v>147.76999999999998</c:v>
                </c:pt>
                <c:pt idx="8">
                  <c:v>152.04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B7-42DC-A033-38507D0CD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E-4CD4-90D9-6F75EFE840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24'!$B$27:$B$35</c:f>
              <c:numCache>
                <c:formatCode>General</c:formatCode>
                <c:ptCount val="9"/>
                <c:pt idx="0">
                  <c:v>0</c:v>
                </c:pt>
                <c:pt idx="1">
                  <c:v>43.1</c:v>
                </c:pt>
                <c:pt idx="2">
                  <c:v>46.7</c:v>
                </c:pt>
                <c:pt idx="3">
                  <c:v>50.6</c:v>
                </c:pt>
                <c:pt idx="4">
                  <c:v>56.3</c:v>
                </c:pt>
                <c:pt idx="5">
                  <c:v>61.7</c:v>
                </c:pt>
                <c:pt idx="6">
                  <c:v>67.900000000000006</c:v>
                </c:pt>
                <c:pt idx="7">
                  <c:v>76.3</c:v>
                </c:pt>
                <c:pt idx="8">
                  <c:v>100</c:v>
                </c:pt>
              </c:numCache>
            </c:numRef>
          </c:xVal>
          <c:yVal>
            <c:numRef>
              <c:f>'29 Oct 24'!$E$27:$E$35</c:f>
              <c:numCache>
                <c:formatCode>General</c:formatCode>
                <c:ptCount val="9"/>
                <c:pt idx="0">
                  <c:v>0</c:v>
                </c:pt>
                <c:pt idx="1">
                  <c:v>183.7</c:v>
                </c:pt>
                <c:pt idx="2">
                  <c:v>203.57</c:v>
                </c:pt>
                <c:pt idx="3">
                  <c:v>222.76999999999998</c:v>
                </c:pt>
                <c:pt idx="4">
                  <c:v>246.14</c:v>
                </c:pt>
                <c:pt idx="5">
                  <c:v>267.51</c:v>
                </c:pt>
                <c:pt idx="6">
                  <c:v>288.98</c:v>
                </c:pt>
                <c:pt idx="7">
                  <c:v>311.85000000000002</c:v>
                </c:pt>
                <c:pt idx="8">
                  <c:v>332.92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E-4CD4-90D9-6F75EFE84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4-4037-9784-FDE05879CB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'29 Oct 24'!$B$48:$B$55</c:f>
              <c:numCache>
                <c:formatCode>General</c:formatCode>
                <c:ptCount val="8"/>
                <c:pt idx="0">
                  <c:v>0</c:v>
                </c:pt>
                <c:pt idx="1">
                  <c:v>40.1</c:v>
                </c:pt>
                <c:pt idx="2">
                  <c:v>43.5</c:v>
                </c:pt>
                <c:pt idx="3">
                  <c:v>48.7</c:v>
                </c:pt>
                <c:pt idx="4">
                  <c:v>53.9</c:v>
                </c:pt>
                <c:pt idx="5">
                  <c:v>60.1</c:v>
                </c:pt>
                <c:pt idx="6">
                  <c:v>67</c:v>
                </c:pt>
                <c:pt idx="7">
                  <c:v>77.2</c:v>
                </c:pt>
              </c:numCache>
            </c:numRef>
          </c:xVal>
          <c:yVal>
            <c:numRef>
              <c:f>'29 Oct 24'!$E$48:$E$55</c:f>
              <c:numCache>
                <c:formatCode>General</c:formatCode>
                <c:ptCount val="8"/>
                <c:pt idx="0">
                  <c:v>0</c:v>
                </c:pt>
                <c:pt idx="1">
                  <c:v>161.30000000000001</c:v>
                </c:pt>
                <c:pt idx="2">
                  <c:v>178.77</c:v>
                </c:pt>
                <c:pt idx="3">
                  <c:v>199.67000000000002</c:v>
                </c:pt>
                <c:pt idx="4">
                  <c:v>222.44000000000003</c:v>
                </c:pt>
                <c:pt idx="5">
                  <c:v>241.11</c:v>
                </c:pt>
                <c:pt idx="6">
                  <c:v>261.88</c:v>
                </c:pt>
                <c:pt idx="7">
                  <c:v>282.75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4-4037-9784-FDE05879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5-4990-8855-01E0451636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25.9</c:v>
                </c:pt>
                <c:pt idx="3">
                  <c:v>34.700000000000003</c:v>
                </c:pt>
                <c:pt idx="4">
                  <c:v>43.8</c:v>
                </c:pt>
                <c:pt idx="5">
                  <c:v>53.2</c:v>
                </c:pt>
                <c:pt idx="6">
                  <c:v>66</c:v>
                </c:pt>
                <c:pt idx="7">
                  <c:v>86.7</c:v>
                </c:pt>
                <c:pt idx="8">
                  <c:v>100</c:v>
                </c:pt>
              </c:numCache>
            </c:numRef>
          </c:xVal>
          <c:yVal>
            <c:numRef>
              <c:f>'24 Feb 25'!$D$9:$D$17</c:f>
              <c:numCache>
                <c:formatCode>0.0000</c:formatCode>
                <c:ptCount val="9"/>
                <c:pt idx="0">
                  <c:v>0</c:v>
                </c:pt>
                <c:pt idx="1">
                  <c:v>1.375</c:v>
                </c:pt>
                <c:pt idx="2">
                  <c:v>2.3737373737373741</c:v>
                </c:pt>
                <c:pt idx="3">
                  <c:v>2.5988636363636353</c:v>
                </c:pt>
                <c:pt idx="4">
                  <c:v>2.6450549450549468</c:v>
                </c:pt>
                <c:pt idx="5">
                  <c:v>2.5287234042553175</c:v>
                </c:pt>
                <c:pt idx="6">
                  <c:v>2.0445312500000008</c:v>
                </c:pt>
                <c:pt idx="7">
                  <c:v>1.0468599033816424</c:v>
                </c:pt>
                <c:pt idx="8">
                  <c:v>0.34360902255639109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B5-4990-8855-01E045163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D-465F-8E4D-8F56FFEC125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25'!$B$27:$B$35</c:f>
              <c:numCache>
                <c:formatCode>General</c:formatCode>
                <c:ptCount val="9"/>
                <c:pt idx="0">
                  <c:v>0</c:v>
                </c:pt>
                <c:pt idx="1">
                  <c:v>43</c:v>
                </c:pt>
                <c:pt idx="2">
                  <c:v>47.2</c:v>
                </c:pt>
                <c:pt idx="3">
                  <c:v>51.7</c:v>
                </c:pt>
                <c:pt idx="4">
                  <c:v>56.7</c:v>
                </c:pt>
                <c:pt idx="5">
                  <c:v>61.9</c:v>
                </c:pt>
                <c:pt idx="6">
                  <c:v>68.900000000000006</c:v>
                </c:pt>
                <c:pt idx="7">
                  <c:v>78.3</c:v>
                </c:pt>
                <c:pt idx="8">
                  <c:v>100</c:v>
                </c:pt>
              </c:numCache>
            </c:numRef>
          </c:xVal>
          <c:yVal>
            <c:numRef>
              <c:f>'24 Feb 25'!$D$27:$D$35</c:f>
              <c:numCache>
                <c:formatCode>0.0000</c:formatCode>
                <c:ptCount val="9"/>
                <c:pt idx="0">
                  <c:v>0</c:v>
                </c:pt>
                <c:pt idx="1">
                  <c:v>4.2790697674418601</c:v>
                </c:pt>
                <c:pt idx="2">
                  <c:v>5.0880952380952351</c:v>
                </c:pt>
                <c:pt idx="3">
                  <c:v>4.66</c:v>
                </c:pt>
                <c:pt idx="4">
                  <c:v>4.274</c:v>
                </c:pt>
                <c:pt idx="5">
                  <c:v>3.9942307692307724</c:v>
                </c:pt>
                <c:pt idx="6">
                  <c:v>3.1385714285714252</c:v>
                </c:pt>
                <c:pt idx="7">
                  <c:v>2.2414893617021296</c:v>
                </c:pt>
                <c:pt idx="8">
                  <c:v>0.81889400921658972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CD-465F-8E4D-8F56FFEC1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7-4D30-A503-FB3A5CAE7D6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25'!$B$48:$B$56</c:f>
              <c:numCache>
                <c:formatCode>General</c:formatCode>
                <c:ptCount val="9"/>
                <c:pt idx="0">
                  <c:v>0</c:v>
                </c:pt>
                <c:pt idx="1">
                  <c:v>40.4</c:v>
                </c:pt>
                <c:pt idx="2">
                  <c:v>44.4</c:v>
                </c:pt>
                <c:pt idx="3">
                  <c:v>49</c:v>
                </c:pt>
                <c:pt idx="4">
                  <c:v>54.5</c:v>
                </c:pt>
                <c:pt idx="5">
                  <c:v>60.1</c:v>
                </c:pt>
                <c:pt idx="6">
                  <c:v>66</c:v>
                </c:pt>
                <c:pt idx="7">
                  <c:v>75</c:v>
                </c:pt>
                <c:pt idx="8">
                  <c:v>100</c:v>
                </c:pt>
              </c:numCache>
            </c:numRef>
          </c:xVal>
          <c:yVal>
            <c:numRef>
              <c:f>'24 Feb 25'!$D$48:$D$56</c:f>
              <c:numCache>
                <c:formatCode>0.0000</c:formatCode>
                <c:ptCount val="9"/>
                <c:pt idx="0">
                  <c:v>0</c:v>
                </c:pt>
                <c:pt idx="1">
                  <c:v>3.9925742574257428</c:v>
                </c:pt>
                <c:pt idx="2">
                  <c:v>4.7424999999999997</c:v>
                </c:pt>
                <c:pt idx="3">
                  <c:v>4.3630434782608685</c:v>
                </c:pt>
                <c:pt idx="4">
                  <c:v>4.3218181818181813</c:v>
                </c:pt>
                <c:pt idx="5">
                  <c:v>3.8696428571428565</c:v>
                </c:pt>
                <c:pt idx="6">
                  <c:v>3.266101694915255</c:v>
                </c:pt>
                <c:pt idx="7">
                  <c:v>2.3411111111111111</c:v>
                </c:pt>
                <c:pt idx="8">
                  <c:v>0.75879999999999992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27-4D30-A503-FB3A5CAE7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F-4C3D-8C32-2630B59C8AA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25.9</c:v>
                </c:pt>
                <c:pt idx="3">
                  <c:v>34.700000000000003</c:v>
                </c:pt>
                <c:pt idx="4">
                  <c:v>43.8</c:v>
                </c:pt>
                <c:pt idx="5">
                  <c:v>53.2</c:v>
                </c:pt>
                <c:pt idx="6">
                  <c:v>66</c:v>
                </c:pt>
                <c:pt idx="7">
                  <c:v>86.7</c:v>
                </c:pt>
                <c:pt idx="8">
                  <c:v>100</c:v>
                </c:pt>
              </c:numCache>
            </c:numRef>
          </c:xVal>
          <c:yVal>
            <c:numRef>
              <c:f>'24 Feb 25'!$E$9:$E$17</c:f>
              <c:numCache>
                <c:formatCode>General</c:formatCode>
                <c:ptCount val="9"/>
                <c:pt idx="0">
                  <c:v>0</c:v>
                </c:pt>
                <c:pt idx="1">
                  <c:v>22</c:v>
                </c:pt>
                <c:pt idx="2">
                  <c:v>45.5</c:v>
                </c:pt>
                <c:pt idx="3">
                  <c:v>68.37</c:v>
                </c:pt>
                <c:pt idx="4">
                  <c:v>92.44</c:v>
                </c:pt>
                <c:pt idx="5">
                  <c:v>116.21</c:v>
                </c:pt>
                <c:pt idx="6">
                  <c:v>142.38</c:v>
                </c:pt>
                <c:pt idx="7">
                  <c:v>164.05</c:v>
                </c:pt>
                <c:pt idx="8">
                  <c:v>168.62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8F-4C3D-8C32-2630B59C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1-4B67-8810-46D3820E9C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25'!$B$27:$B$35</c:f>
              <c:numCache>
                <c:formatCode>General</c:formatCode>
                <c:ptCount val="9"/>
                <c:pt idx="0">
                  <c:v>0</c:v>
                </c:pt>
                <c:pt idx="1">
                  <c:v>43</c:v>
                </c:pt>
                <c:pt idx="2">
                  <c:v>47.2</c:v>
                </c:pt>
                <c:pt idx="3">
                  <c:v>51.7</c:v>
                </c:pt>
                <c:pt idx="4">
                  <c:v>56.7</c:v>
                </c:pt>
                <c:pt idx="5">
                  <c:v>61.9</c:v>
                </c:pt>
                <c:pt idx="6">
                  <c:v>68.900000000000006</c:v>
                </c:pt>
                <c:pt idx="7">
                  <c:v>78.3</c:v>
                </c:pt>
                <c:pt idx="8">
                  <c:v>100</c:v>
                </c:pt>
              </c:numCache>
            </c:numRef>
          </c:xVal>
          <c:yVal>
            <c:numRef>
              <c:f>'24 Feb 25'!$E$27:$E$35</c:f>
              <c:numCache>
                <c:formatCode>General</c:formatCode>
                <c:ptCount val="9"/>
                <c:pt idx="0">
                  <c:v>0</c:v>
                </c:pt>
                <c:pt idx="1">
                  <c:v>184</c:v>
                </c:pt>
                <c:pt idx="2">
                  <c:v>205.37</c:v>
                </c:pt>
                <c:pt idx="3">
                  <c:v>226.34</c:v>
                </c:pt>
                <c:pt idx="4">
                  <c:v>247.71</c:v>
                </c:pt>
                <c:pt idx="5">
                  <c:v>268.48</c:v>
                </c:pt>
                <c:pt idx="6">
                  <c:v>290.45000000000005</c:v>
                </c:pt>
                <c:pt idx="7">
                  <c:v>311.52000000000004</c:v>
                </c:pt>
                <c:pt idx="8">
                  <c:v>329.29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21-4B67-8810-46D3820E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F5-4D7E-B9F8-47DB1AD494E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Feb 25'!$B$48:$B$55</c:f>
              <c:numCache>
                <c:formatCode>General</c:formatCode>
                <c:ptCount val="8"/>
                <c:pt idx="0">
                  <c:v>0</c:v>
                </c:pt>
                <c:pt idx="1">
                  <c:v>40.4</c:v>
                </c:pt>
                <c:pt idx="2">
                  <c:v>44.4</c:v>
                </c:pt>
                <c:pt idx="3">
                  <c:v>49</c:v>
                </c:pt>
                <c:pt idx="4">
                  <c:v>54.5</c:v>
                </c:pt>
                <c:pt idx="5">
                  <c:v>60.1</c:v>
                </c:pt>
                <c:pt idx="6">
                  <c:v>66</c:v>
                </c:pt>
                <c:pt idx="7">
                  <c:v>75</c:v>
                </c:pt>
              </c:numCache>
            </c:numRef>
          </c:xVal>
          <c:yVal>
            <c:numRef>
              <c:f>'24 Feb 25'!$E$48:$E$55</c:f>
              <c:numCache>
                <c:formatCode>General</c:formatCode>
                <c:ptCount val="8"/>
                <c:pt idx="0">
                  <c:v>0</c:v>
                </c:pt>
                <c:pt idx="1">
                  <c:v>161.30000000000001</c:v>
                </c:pt>
                <c:pt idx="2">
                  <c:v>180.27</c:v>
                </c:pt>
                <c:pt idx="3">
                  <c:v>200.34</c:v>
                </c:pt>
                <c:pt idx="4">
                  <c:v>224.11</c:v>
                </c:pt>
                <c:pt idx="5">
                  <c:v>245.78000000000003</c:v>
                </c:pt>
                <c:pt idx="6">
                  <c:v>265.05</c:v>
                </c:pt>
                <c:pt idx="7">
                  <c:v>286.12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F5-4D7E-B9F8-47DB1AD4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FD-4924-9A99-DEE48DFB17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26.6</c:v>
                </c:pt>
                <c:pt idx="3">
                  <c:v>35.4</c:v>
                </c:pt>
                <c:pt idx="4">
                  <c:v>44.6</c:v>
                </c:pt>
                <c:pt idx="5">
                  <c:v>51.8</c:v>
                </c:pt>
                <c:pt idx="6">
                  <c:v>63.2</c:v>
                </c:pt>
                <c:pt idx="7">
                  <c:v>84.7</c:v>
                </c:pt>
                <c:pt idx="8">
                  <c:v>100</c:v>
                </c:pt>
              </c:numCache>
            </c:numRef>
          </c:xVal>
          <c:yVal>
            <c:numRef>
              <c:f>'5 Mar 2'!$D$9:$D$17</c:f>
              <c:numCache>
                <c:formatCode>0.0000</c:formatCode>
                <c:ptCount val="9"/>
                <c:pt idx="0">
                  <c:v>0</c:v>
                </c:pt>
                <c:pt idx="1">
                  <c:v>1.875</c:v>
                </c:pt>
                <c:pt idx="2">
                  <c:v>2.7179245283018862</c:v>
                </c:pt>
                <c:pt idx="3">
                  <c:v>2.9159090909090919</c:v>
                </c:pt>
                <c:pt idx="4">
                  <c:v>2.5119565217391298</c:v>
                </c:pt>
                <c:pt idx="5">
                  <c:v>3.1444444444444466</c:v>
                </c:pt>
                <c:pt idx="6">
                  <c:v>2.2964912280701744</c:v>
                </c:pt>
                <c:pt idx="7">
                  <c:v>1.152093023255814</c:v>
                </c:pt>
                <c:pt idx="8">
                  <c:v>0.23921568627450987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FD-4924-9A99-DEE48DFB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46-4528-B162-650CAB1FF7C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2'!$B$27:$B$35</c:f>
              <c:numCache>
                <c:formatCode>General</c:formatCode>
                <c:ptCount val="9"/>
                <c:pt idx="0">
                  <c:v>0</c:v>
                </c:pt>
                <c:pt idx="1">
                  <c:v>43</c:v>
                </c:pt>
                <c:pt idx="2">
                  <c:v>47.5</c:v>
                </c:pt>
                <c:pt idx="3">
                  <c:v>52.5</c:v>
                </c:pt>
                <c:pt idx="4">
                  <c:v>57.5</c:v>
                </c:pt>
                <c:pt idx="5">
                  <c:v>62.6</c:v>
                </c:pt>
                <c:pt idx="6">
                  <c:v>68</c:v>
                </c:pt>
                <c:pt idx="7">
                  <c:v>75.2</c:v>
                </c:pt>
                <c:pt idx="8">
                  <c:v>100</c:v>
                </c:pt>
              </c:numCache>
            </c:numRef>
          </c:xVal>
          <c:yVal>
            <c:numRef>
              <c:f>'5 Mar 2'!$D$27:$D$35</c:f>
              <c:numCache>
                <c:formatCode>0.0000</c:formatCode>
                <c:ptCount val="9"/>
                <c:pt idx="0">
                  <c:v>0</c:v>
                </c:pt>
                <c:pt idx="1">
                  <c:v>4.7906976744186043</c:v>
                </c:pt>
                <c:pt idx="2">
                  <c:v>5.66</c:v>
                </c:pt>
                <c:pt idx="3">
                  <c:v>5.01</c:v>
                </c:pt>
                <c:pt idx="4">
                  <c:v>5</c:v>
                </c:pt>
                <c:pt idx="5">
                  <c:v>4.4294117647058808</c:v>
                </c:pt>
                <c:pt idx="6">
                  <c:v>4.1555555555555568</c:v>
                </c:pt>
                <c:pt idx="7">
                  <c:v>2.9527777777777766</c:v>
                </c:pt>
                <c:pt idx="8">
                  <c:v>1.0032258064516131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46-4528-B162-650CAB1F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91-48B8-A1F7-99359BBB47D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2'!$B$48:$B$56</c:f>
              <c:numCache>
                <c:formatCode>General</c:formatCode>
                <c:ptCount val="9"/>
                <c:pt idx="0">
                  <c:v>0</c:v>
                </c:pt>
                <c:pt idx="1">
                  <c:v>40.5</c:v>
                </c:pt>
                <c:pt idx="2">
                  <c:v>44.8</c:v>
                </c:pt>
                <c:pt idx="3">
                  <c:v>49.4</c:v>
                </c:pt>
                <c:pt idx="4">
                  <c:v>54.1</c:v>
                </c:pt>
                <c:pt idx="5">
                  <c:v>59.1</c:v>
                </c:pt>
                <c:pt idx="6">
                  <c:v>64.400000000000006</c:v>
                </c:pt>
                <c:pt idx="7">
                  <c:v>70.900000000000006</c:v>
                </c:pt>
                <c:pt idx="8">
                  <c:v>100</c:v>
                </c:pt>
              </c:numCache>
            </c:numRef>
          </c:xVal>
          <c:yVal>
            <c:numRef>
              <c:f>'5 Mar 2'!$D$48:$D$56</c:f>
              <c:numCache>
                <c:formatCode>0.0000</c:formatCode>
                <c:ptCount val="9"/>
                <c:pt idx="0">
                  <c:v>0</c:v>
                </c:pt>
                <c:pt idx="1">
                  <c:v>5.003703703703704</c:v>
                </c:pt>
                <c:pt idx="2">
                  <c:v>5.5000000000000036</c:v>
                </c:pt>
                <c:pt idx="3">
                  <c:v>5.5434782608695636</c:v>
                </c:pt>
                <c:pt idx="4">
                  <c:v>4.7659574468085077</c:v>
                </c:pt>
                <c:pt idx="5">
                  <c:v>4.7159999999999993</c:v>
                </c:pt>
                <c:pt idx="6">
                  <c:v>4.1075471698113173</c:v>
                </c:pt>
                <c:pt idx="7">
                  <c:v>3.0430769230769235</c:v>
                </c:pt>
                <c:pt idx="8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1-48B8-A1F7-99359BBB4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F7-4391-9104-62BDB4A8A61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26.6</c:v>
                </c:pt>
                <c:pt idx="3">
                  <c:v>35.4</c:v>
                </c:pt>
                <c:pt idx="4">
                  <c:v>44.6</c:v>
                </c:pt>
                <c:pt idx="5">
                  <c:v>51.8</c:v>
                </c:pt>
                <c:pt idx="6">
                  <c:v>63.2</c:v>
                </c:pt>
                <c:pt idx="7">
                  <c:v>84.7</c:v>
                </c:pt>
                <c:pt idx="8">
                  <c:v>100</c:v>
                </c:pt>
              </c:numCache>
            </c:numRef>
          </c:xVal>
          <c:yVal>
            <c:numRef>
              <c:f>'5 Mar 2'!$E$9:$E$17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58.81</c:v>
                </c:pt>
                <c:pt idx="3">
                  <c:v>84.47</c:v>
                </c:pt>
                <c:pt idx="4">
                  <c:v>107.58</c:v>
                </c:pt>
                <c:pt idx="5">
                  <c:v>130.22</c:v>
                </c:pt>
                <c:pt idx="6">
                  <c:v>156.4</c:v>
                </c:pt>
                <c:pt idx="7">
                  <c:v>181.17000000000002</c:v>
                </c:pt>
                <c:pt idx="8">
                  <c:v>184.83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F7-4391-9104-62BDB4A8A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B-4675-96A6-103F9F21A0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2'!$B$27:$B$35</c:f>
              <c:numCache>
                <c:formatCode>General</c:formatCode>
                <c:ptCount val="9"/>
                <c:pt idx="0">
                  <c:v>0</c:v>
                </c:pt>
                <c:pt idx="1">
                  <c:v>43</c:v>
                </c:pt>
                <c:pt idx="2">
                  <c:v>47.5</c:v>
                </c:pt>
                <c:pt idx="3">
                  <c:v>52.5</c:v>
                </c:pt>
                <c:pt idx="4">
                  <c:v>57.5</c:v>
                </c:pt>
                <c:pt idx="5">
                  <c:v>62.6</c:v>
                </c:pt>
                <c:pt idx="6">
                  <c:v>68</c:v>
                </c:pt>
                <c:pt idx="7">
                  <c:v>75.2</c:v>
                </c:pt>
                <c:pt idx="8">
                  <c:v>100</c:v>
                </c:pt>
              </c:numCache>
            </c:numRef>
          </c:xVal>
          <c:yVal>
            <c:numRef>
              <c:f>'5 Mar 2'!$E$27:$E$35</c:f>
              <c:numCache>
                <c:formatCode>General</c:formatCode>
                <c:ptCount val="9"/>
                <c:pt idx="0">
                  <c:v>0</c:v>
                </c:pt>
                <c:pt idx="1">
                  <c:v>206</c:v>
                </c:pt>
                <c:pt idx="2">
                  <c:v>231.47</c:v>
                </c:pt>
                <c:pt idx="3">
                  <c:v>256.52</c:v>
                </c:pt>
                <c:pt idx="4">
                  <c:v>281.52</c:v>
                </c:pt>
                <c:pt idx="5">
                  <c:v>304.10999999999996</c:v>
                </c:pt>
                <c:pt idx="6">
                  <c:v>326.54999999999995</c:v>
                </c:pt>
                <c:pt idx="7">
                  <c:v>347.80999999999995</c:v>
                </c:pt>
                <c:pt idx="8">
                  <c:v>372.68999999999994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B-4675-96A6-103F9F21A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5-4136-A52D-B3FE50FBAAC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 Mar 2'!$B$48:$B$55</c:f>
              <c:numCache>
                <c:formatCode>General</c:formatCode>
                <c:ptCount val="8"/>
                <c:pt idx="0">
                  <c:v>0</c:v>
                </c:pt>
                <c:pt idx="1">
                  <c:v>40.5</c:v>
                </c:pt>
                <c:pt idx="2">
                  <c:v>44.8</c:v>
                </c:pt>
                <c:pt idx="3">
                  <c:v>49.4</c:v>
                </c:pt>
                <c:pt idx="4">
                  <c:v>54.1</c:v>
                </c:pt>
                <c:pt idx="5">
                  <c:v>59.1</c:v>
                </c:pt>
                <c:pt idx="6">
                  <c:v>64.400000000000006</c:v>
                </c:pt>
                <c:pt idx="7">
                  <c:v>70.900000000000006</c:v>
                </c:pt>
              </c:numCache>
            </c:numRef>
          </c:xVal>
          <c:yVal>
            <c:numRef>
              <c:f>'5 Mar 2'!$E$48:$E$55</c:f>
              <c:numCache>
                <c:formatCode>General</c:formatCode>
                <c:ptCount val="8"/>
                <c:pt idx="0">
                  <c:v>0</c:v>
                </c:pt>
                <c:pt idx="1">
                  <c:v>202.65</c:v>
                </c:pt>
                <c:pt idx="2">
                  <c:v>226.3</c:v>
                </c:pt>
                <c:pt idx="3">
                  <c:v>251.8</c:v>
                </c:pt>
                <c:pt idx="4">
                  <c:v>274.2</c:v>
                </c:pt>
                <c:pt idx="5">
                  <c:v>297.77999999999997</c:v>
                </c:pt>
                <c:pt idx="6">
                  <c:v>319.54999999999995</c:v>
                </c:pt>
                <c:pt idx="7">
                  <c:v>339.32999999999993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5-4136-A52D-B3FE50FBA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37-4A15-885D-0134C4CF204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15.5</c:v>
                </c:pt>
                <c:pt idx="2">
                  <c:v>24.2</c:v>
                </c:pt>
                <c:pt idx="3">
                  <c:v>32.200000000000003</c:v>
                </c:pt>
                <c:pt idx="4">
                  <c:v>40.700000000000003</c:v>
                </c:pt>
                <c:pt idx="5">
                  <c:v>49</c:v>
                </c:pt>
                <c:pt idx="6">
                  <c:v>58.1</c:v>
                </c:pt>
                <c:pt idx="7">
                  <c:v>70.599999999999994</c:v>
                </c:pt>
                <c:pt idx="8">
                  <c:v>100</c:v>
                </c:pt>
              </c:numCache>
            </c:numRef>
          </c:xVal>
          <c:yVal>
            <c:numRef>
              <c:f>'11 Mar 25'!$D$9:$D$17</c:f>
              <c:numCache>
                <c:formatCode>0.0000</c:formatCode>
                <c:ptCount val="9"/>
                <c:pt idx="0">
                  <c:v>0</c:v>
                </c:pt>
                <c:pt idx="1">
                  <c:v>1.8387096774193548</c:v>
                </c:pt>
                <c:pt idx="2">
                  <c:v>2.5333333333333337</c:v>
                </c:pt>
                <c:pt idx="3">
                  <c:v>2.7549999999999986</c:v>
                </c:pt>
                <c:pt idx="4">
                  <c:v>2.7647058823529411</c:v>
                </c:pt>
                <c:pt idx="5">
                  <c:v>2.8072289156626518</c:v>
                </c:pt>
                <c:pt idx="6">
                  <c:v>2.6626373626373621</c:v>
                </c:pt>
                <c:pt idx="7">
                  <c:v>1.9480000000000013</c:v>
                </c:pt>
                <c:pt idx="8">
                  <c:v>0.65306122448979576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37-4A15-885D-0134C4CF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55-410B-9202-DD0B3533F41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25'!$B$27:$B$35</c:f>
              <c:numCache>
                <c:formatCode>General</c:formatCode>
                <c:ptCount val="9"/>
                <c:pt idx="0">
                  <c:v>0</c:v>
                </c:pt>
                <c:pt idx="1">
                  <c:v>43.2</c:v>
                </c:pt>
                <c:pt idx="2">
                  <c:v>46.4</c:v>
                </c:pt>
                <c:pt idx="3">
                  <c:v>51.1</c:v>
                </c:pt>
                <c:pt idx="4">
                  <c:v>55.1</c:v>
                </c:pt>
                <c:pt idx="5">
                  <c:v>60.2</c:v>
                </c:pt>
                <c:pt idx="6">
                  <c:v>65.400000000000006</c:v>
                </c:pt>
                <c:pt idx="7">
                  <c:v>72.400000000000006</c:v>
                </c:pt>
                <c:pt idx="8">
                  <c:v>81.599999999999994</c:v>
                </c:pt>
              </c:numCache>
            </c:numRef>
          </c:xVal>
          <c:yVal>
            <c:numRef>
              <c:f>'11 Mar 25'!$D$27:$D$35</c:f>
              <c:numCache>
                <c:formatCode>0.0000</c:formatCode>
                <c:ptCount val="9"/>
                <c:pt idx="0">
                  <c:v>0</c:v>
                </c:pt>
                <c:pt idx="1">
                  <c:v>4.7129629629629628</c:v>
                </c:pt>
                <c:pt idx="2">
                  <c:v>6.2906250000000083</c:v>
                </c:pt>
                <c:pt idx="3">
                  <c:v>5.2234042553191458</c:v>
                </c:pt>
                <c:pt idx="4">
                  <c:v>5.0599999999999996</c:v>
                </c:pt>
                <c:pt idx="5">
                  <c:v>4.6078431372549007</c:v>
                </c:pt>
                <c:pt idx="6">
                  <c:v>3.9596153846153825</c:v>
                </c:pt>
                <c:pt idx="7">
                  <c:v>3.4</c:v>
                </c:pt>
                <c:pt idx="8">
                  <c:v>2.2771739130434812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55-410B-9202-DD0B3533F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F5-4666-B915-4B033CA9243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25'!$B$49:$B$57</c:f>
              <c:numCache>
                <c:formatCode>General</c:formatCode>
                <c:ptCount val="9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  <c:pt idx="8">
                  <c:v>100</c:v>
                </c:pt>
              </c:numCache>
            </c:numRef>
          </c:xVal>
          <c:yVal>
            <c:numRef>
              <c:f>'11 Mar 25'!$D$49:$D$57</c:f>
              <c:numCache>
                <c:formatCode>0.0000</c:formatCode>
                <c:ptCount val="9"/>
                <c:pt idx="0">
                  <c:v>0</c:v>
                </c:pt>
                <c:pt idx="1">
                  <c:v>4.977149877149877</c:v>
                </c:pt>
                <c:pt idx="2">
                  <c:v>5.7777777777777874</c:v>
                </c:pt>
                <c:pt idx="3">
                  <c:v>4.9428571428571395</c:v>
                </c:pt>
                <c:pt idx="4">
                  <c:v>4.8387755102040835</c:v>
                </c:pt>
                <c:pt idx="5">
                  <c:v>4.121818181818182</c:v>
                </c:pt>
                <c:pt idx="6">
                  <c:v>3.5875000000000008</c:v>
                </c:pt>
                <c:pt idx="7">
                  <c:v>2.3829545454545462</c:v>
                </c:pt>
                <c:pt idx="8">
                  <c:v>0.8756756756756755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F5-4666-B915-4B033CA9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7-42B5-A4EC-393B42BD7F5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15.5</c:v>
                </c:pt>
                <c:pt idx="2">
                  <c:v>24.2</c:v>
                </c:pt>
                <c:pt idx="3">
                  <c:v>32.200000000000003</c:v>
                </c:pt>
                <c:pt idx="4">
                  <c:v>40.700000000000003</c:v>
                </c:pt>
                <c:pt idx="5">
                  <c:v>49</c:v>
                </c:pt>
                <c:pt idx="6">
                  <c:v>58.1</c:v>
                </c:pt>
                <c:pt idx="7">
                  <c:v>70.599999999999994</c:v>
                </c:pt>
                <c:pt idx="8">
                  <c:v>100</c:v>
                </c:pt>
              </c:numCache>
            </c:numRef>
          </c:xVal>
          <c:yVal>
            <c:numRef>
              <c:f>'11 Mar 25'!$E$9:$E$17</c:f>
              <c:numCache>
                <c:formatCode>General</c:formatCode>
                <c:ptCount val="9"/>
                <c:pt idx="0">
                  <c:v>0</c:v>
                </c:pt>
                <c:pt idx="1">
                  <c:v>28.5</c:v>
                </c:pt>
                <c:pt idx="2">
                  <c:v>50.54</c:v>
                </c:pt>
                <c:pt idx="3">
                  <c:v>72.58</c:v>
                </c:pt>
                <c:pt idx="4">
                  <c:v>96.08</c:v>
                </c:pt>
                <c:pt idx="5">
                  <c:v>119.38</c:v>
                </c:pt>
                <c:pt idx="6">
                  <c:v>143.60999999999999</c:v>
                </c:pt>
                <c:pt idx="7">
                  <c:v>167.95999999999998</c:v>
                </c:pt>
                <c:pt idx="8">
                  <c:v>187.15999999999997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37-42B5-A4EC-393B42BD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C-4DEB-B459-C0BA3C28904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25'!$B$27:$B$35</c:f>
              <c:numCache>
                <c:formatCode>General</c:formatCode>
                <c:ptCount val="9"/>
                <c:pt idx="0">
                  <c:v>0</c:v>
                </c:pt>
                <c:pt idx="1">
                  <c:v>43.2</c:v>
                </c:pt>
                <c:pt idx="2">
                  <c:v>46.4</c:v>
                </c:pt>
                <c:pt idx="3">
                  <c:v>51.1</c:v>
                </c:pt>
                <c:pt idx="4">
                  <c:v>55.1</c:v>
                </c:pt>
                <c:pt idx="5">
                  <c:v>60.2</c:v>
                </c:pt>
                <c:pt idx="6">
                  <c:v>65.400000000000006</c:v>
                </c:pt>
                <c:pt idx="7">
                  <c:v>72.400000000000006</c:v>
                </c:pt>
                <c:pt idx="8">
                  <c:v>81.599999999999994</c:v>
                </c:pt>
              </c:numCache>
            </c:numRef>
          </c:xVal>
          <c:yVal>
            <c:numRef>
              <c:f>'11 Mar 25'!$E$27:$E$35</c:f>
              <c:numCache>
                <c:formatCode>General</c:formatCode>
                <c:ptCount val="9"/>
                <c:pt idx="0">
                  <c:v>0</c:v>
                </c:pt>
                <c:pt idx="1">
                  <c:v>203.6</c:v>
                </c:pt>
                <c:pt idx="2">
                  <c:v>223.73</c:v>
                </c:pt>
                <c:pt idx="3">
                  <c:v>248.28</c:v>
                </c:pt>
                <c:pt idx="4">
                  <c:v>268.52</c:v>
                </c:pt>
                <c:pt idx="5">
                  <c:v>292.02</c:v>
                </c:pt>
                <c:pt idx="6">
                  <c:v>312.60999999999996</c:v>
                </c:pt>
                <c:pt idx="7">
                  <c:v>336.40999999999997</c:v>
                </c:pt>
                <c:pt idx="8">
                  <c:v>357.35999999999996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2C-4DEB-B459-C0BA3C289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8-447C-A099-FC8472ABD7F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 Mar 25'!$B$49:$B$56</c:f>
              <c:numCache>
                <c:formatCode>General</c:formatCode>
                <c:ptCount val="8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</c:numCache>
            </c:numRef>
          </c:xVal>
          <c:yVal>
            <c:numRef>
              <c:f>'11 Mar 25'!$E$49:$E$56</c:f>
              <c:numCache>
                <c:formatCode>General</c:formatCode>
                <c:ptCount val="8"/>
                <c:pt idx="0">
                  <c:v>0</c:v>
                </c:pt>
                <c:pt idx="1">
                  <c:v>202.57</c:v>
                </c:pt>
                <c:pt idx="2">
                  <c:v>223.37</c:v>
                </c:pt>
                <c:pt idx="3">
                  <c:v>244.13</c:v>
                </c:pt>
                <c:pt idx="4">
                  <c:v>267.83999999999997</c:v>
                </c:pt>
                <c:pt idx="5">
                  <c:v>290.51</c:v>
                </c:pt>
                <c:pt idx="6">
                  <c:v>313.46999999999997</c:v>
                </c:pt>
                <c:pt idx="7">
                  <c:v>334.43999999999994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48-447C-A099-FC8472ABD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6-4E4B-91E7-D516A91DB3D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2025'!$B$9:$B$16</c:f>
              <c:numCache>
                <c:formatCode>General</c:formatCode>
                <c:ptCount val="8"/>
                <c:pt idx="0">
                  <c:v>0</c:v>
                </c:pt>
                <c:pt idx="1">
                  <c:v>15</c:v>
                </c:pt>
                <c:pt idx="2">
                  <c:v>29</c:v>
                </c:pt>
                <c:pt idx="3">
                  <c:v>37.4</c:v>
                </c:pt>
                <c:pt idx="4">
                  <c:v>45.5</c:v>
                </c:pt>
                <c:pt idx="5">
                  <c:v>55</c:v>
                </c:pt>
                <c:pt idx="6">
                  <c:v>67</c:v>
                </c:pt>
                <c:pt idx="7">
                  <c:v>100</c:v>
                </c:pt>
              </c:numCache>
            </c:numRef>
          </c:xVal>
          <c:yVal>
            <c:numRef>
              <c:f>'09 Mei 2025'!$D$9:$D$16</c:f>
              <c:numCache>
                <c:formatCode>0.0000</c:formatCode>
                <c:ptCount val="8"/>
                <c:pt idx="0">
                  <c:v>0</c:v>
                </c:pt>
                <c:pt idx="1">
                  <c:v>0.71333333333333326</c:v>
                </c:pt>
                <c:pt idx="2">
                  <c:v>2.3785714285714286</c:v>
                </c:pt>
                <c:pt idx="3">
                  <c:v>2.6904761904761911</c:v>
                </c:pt>
                <c:pt idx="4">
                  <c:v>2.6975308641975304</c:v>
                </c:pt>
                <c:pt idx="5">
                  <c:v>2.4010526315789473</c:v>
                </c:pt>
                <c:pt idx="6">
                  <c:v>1.9591666666666667</c:v>
                </c:pt>
                <c:pt idx="7">
                  <c:v>0.67575757575757578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6-4E4B-91E7-D516A91D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3E-42B2-BB36-CF0C055823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2025'!$B$26:$B$33</c:f>
              <c:numCache>
                <c:formatCode>General</c:formatCode>
                <c:ptCount val="8"/>
                <c:pt idx="0">
                  <c:v>0</c:v>
                </c:pt>
                <c:pt idx="1">
                  <c:v>43.7</c:v>
                </c:pt>
                <c:pt idx="2">
                  <c:v>47.7</c:v>
                </c:pt>
                <c:pt idx="3">
                  <c:v>52.5</c:v>
                </c:pt>
                <c:pt idx="4">
                  <c:v>58</c:v>
                </c:pt>
                <c:pt idx="5">
                  <c:v>63</c:v>
                </c:pt>
                <c:pt idx="6">
                  <c:v>71.7</c:v>
                </c:pt>
                <c:pt idx="7">
                  <c:v>100</c:v>
                </c:pt>
              </c:numCache>
            </c:numRef>
          </c:xVal>
          <c:yVal>
            <c:numRef>
              <c:f>'09 Mei 2025'!$D$26:$D$33</c:f>
              <c:numCache>
                <c:formatCode>0.0000</c:formatCode>
                <c:ptCount val="8"/>
                <c:pt idx="0">
                  <c:v>0</c:v>
                </c:pt>
                <c:pt idx="1">
                  <c:v>3.4919908466819218</c:v>
                </c:pt>
                <c:pt idx="2">
                  <c:v>6.6349999999999998</c:v>
                </c:pt>
                <c:pt idx="3">
                  <c:v>4.9375000000000027</c:v>
                </c:pt>
                <c:pt idx="4">
                  <c:v>4.6000000000000005</c:v>
                </c:pt>
                <c:pt idx="5">
                  <c:v>4.46</c:v>
                </c:pt>
                <c:pt idx="6">
                  <c:v>3.1379310344827576</c:v>
                </c:pt>
                <c:pt idx="7">
                  <c:v>0.90812720848056538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3E-42B2-BB36-CF0C05582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1-4386-8C5C-C19FBB2D5A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2025'!$B$46:$B$54</c:f>
              <c:numCache>
                <c:formatCode>General</c:formatCode>
                <c:ptCount val="9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  <c:pt idx="8">
                  <c:v>100</c:v>
                </c:pt>
              </c:numCache>
            </c:numRef>
          </c:xVal>
          <c:yVal>
            <c:numRef>
              <c:f>'09 Mei 2025'!$D$46:$D$54</c:f>
              <c:numCache>
                <c:formatCode>0.0000</c:formatCode>
                <c:ptCount val="9"/>
                <c:pt idx="0">
                  <c:v>0</c:v>
                </c:pt>
                <c:pt idx="1">
                  <c:v>4.977149877149877</c:v>
                </c:pt>
                <c:pt idx="2">
                  <c:v>5.7777777777777874</c:v>
                </c:pt>
                <c:pt idx="3">
                  <c:v>4.9428571428571395</c:v>
                </c:pt>
                <c:pt idx="4">
                  <c:v>4.8387755102040835</c:v>
                </c:pt>
                <c:pt idx="5">
                  <c:v>4.121818181818182</c:v>
                </c:pt>
                <c:pt idx="6">
                  <c:v>3.5875000000000008</c:v>
                </c:pt>
                <c:pt idx="7">
                  <c:v>2.3829545454545462</c:v>
                </c:pt>
                <c:pt idx="8">
                  <c:v>0.8756756756756755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51-4386-8C5C-C19FBB2D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54-4A16-AA29-8FC8D9CFFE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2025'!$B$9:$B$16</c:f>
              <c:numCache>
                <c:formatCode>General</c:formatCode>
                <c:ptCount val="8"/>
                <c:pt idx="0">
                  <c:v>0</c:v>
                </c:pt>
                <c:pt idx="1">
                  <c:v>15</c:v>
                </c:pt>
                <c:pt idx="2">
                  <c:v>29</c:v>
                </c:pt>
                <c:pt idx="3">
                  <c:v>37.4</c:v>
                </c:pt>
                <c:pt idx="4">
                  <c:v>45.5</c:v>
                </c:pt>
                <c:pt idx="5">
                  <c:v>55</c:v>
                </c:pt>
                <c:pt idx="6">
                  <c:v>67</c:v>
                </c:pt>
                <c:pt idx="7">
                  <c:v>100</c:v>
                </c:pt>
              </c:numCache>
            </c:numRef>
          </c:xVal>
          <c:yVal>
            <c:numRef>
              <c:f>'09 Mei 2025'!$E$9:$E$16</c:f>
              <c:numCache>
                <c:formatCode>General</c:formatCode>
                <c:ptCount val="8"/>
                <c:pt idx="0">
                  <c:v>0</c:v>
                </c:pt>
                <c:pt idx="1">
                  <c:v>10.7</c:v>
                </c:pt>
                <c:pt idx="2">
                  <c:v>44</c:v>
                </c:pt>
                <c:pt idx="3">
                  <c:v>66.599999999999994</c:v>
                </c:pt>
                <c:pt idx="4">
                  <c:v>88.449999999999989</c:v>
                </c:pt>
                <c:pt idx="5">
                  <c:v>111.25999999999999</c:v>
                </c:pt>
                <c:pt idx="6">
                  <c:v>134.76999999999998</c:v>
                </c:pt>
                <c:pt idx="7">
                  <c:v>157.07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54-4A16-AA29-8FC8D9CFF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86-438E-9D98-D4EBC8C843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2025'!$B$26:$B$33</c:f>
              <c:numCache>
                <c:formatCode>General</c:formatCode>
                <c:ptCount val="8"/>
                <c:pt idx="0">
                  <c:v>0</c:v>
                </c:pt>
                <c:pt idx="1">
                  <c:v>43.7</c:v>
                </c:pt>
                <c:pt idx="2">
                  <c:v>47.7</c:v>
                </c:pt>
                <c:pt idx="3">
                  <c:v>52.5</c:v>
                </c:pt>
                <c:pt idx="4">
                  <c:v>58</c:v>
                </c:pt>
                <c:pt idx="5">
                  <c:v>63</c:v>
                </c:pt>
                <c:pt idx="6">
                  <c:v>71.7</c:v>
                </c:pt>
                <c:pt idx="7">
                  <c:v>100</c:v>
                </c:pt>
              </c:numCache>
            </c:numRef>
          </c:xVal>
          <c:yVal>
            <c:numRef>
              <c:f>'09 Mei 2025'!$E$26:$E$33</c:f>
              <c:numCache>
                <c:formatCode>General</c:formatCode>
                <c:ptCount val="8"/>
                <c:pt idx="0">
                  <c:v>0</c:v>
                </c:pt>
                <c:pt idx="1">
                  <c:v>152.6</c:v>
                </c:pt>
                <c:pt idx="2">
                  <c:v>179.14</c:v>
                </c:pt>
                <c:pt idx="3">
                  <c:v>202.83999999999997</c:v>
                </c:pt>
                <c:pt idx="4">
                  <c:v>228.14</c:v>
                </c:pt>
                <c:pt idx="5">
                  <c:v>250.44</c:v>
                </c:pt>
                <c:pt idx="6">
                  <c:v>277.74</c:v>
                </c:pt>
                <c:pt idx="7">
                  <c:v>303.44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86-438E-9D98-D4EBC8C8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0B-4CE0-8F38-5221291BFE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'09 Mei 2025'!$B$46:$B$53</c:f>
              <c:numCache>
                <c:formatCode>General</c:formatCode>
                <c:ptCount val="8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</c:numCache>
            </c:numRef>
          </c:xVal>
          <c:yVal>
            <c:numRef>
              <c:f>'09 Mei 2025'!$E$46:$E$53</c:f>
              <c:numCache>
                <c:formatCode>General</c:formatCode>
                <c:ptCount val="8"/>
                <c:pt idx="0">
                  <c:v>0</c:v>
                </c:pt>
                <c:pt idx="1">
                  <c:v>202.57</c:v>
                </c:pt>
                <c:pt idx="2">
                  <c:v>223.37</c:v>
                </c:pt>
                <c:pt idx="3">
                  <c:v>244.13</c:v>
                </c:pt>
                <c:pt idx="4">
                  <c:v>267.83999999999997</c:v>
                </c:pt>
                <c:pt idx="5">
                  <c:v>290.51</c:v>
                </c:pt>
                <c:pt idx="6">
                  <c:v>313.46999999999997</c:v>
                </c:pt>
                <c:pt idx="7">
                  <c:v>334.43999999999994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0B-4CE0-8F38-5221291BF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8-1447-B7DF-E997FABA10A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23.5</c:v>
                </c:pt>
                <c:pt idx="3">
                  <c:v>33.200000000000003</c:v>
                </c:pt>
                <c:pt idx="4">
                  <c:v>44</c:v>
                </c:pt>
                <c:pt idx="5">
                  <c:v>50.3</c:v>
                </c:pt>
                <c:pt idx="6">
                  <c:v>60.4</c:v>
                </c:pt>
                <c:pt idx="7">
                  <c:v>72.400000000000006</c:v>
                </c:pt>
                <c:pt idx="8">
                  <c:v>100</c:v>
                </c:pt>
              </c:numCache>
            </c:numRef>
          </c:xVal>
          <c:yVal>
            <c:numRef>
              <c:f>'26 Nov 25'!$D$9:$D$17</c:f>
              <c:numCache>
                <c:formatCode>0.0000</c:formatCode>
                <c:ptCount val="9"/>
                <c:pt idx="0">
                  <c:v>0</c:v>
                </c:pt>
                <c:pt idx="1">
                  <c:v>1.71</c:v>
                </c:pt>
                <c:pt idx="2">
                  <c:v>2.1813333333333333</c:v>
                </c:pt>
                <c:pt idx="3">
                  <c:v>2.5536082474226798</c:v>
                </c:pt>
                <c:pt idx="4">
                  <c:v>2.2953703703703709</c:v>
                </c:pt>
                <c:pt idx="5">
                  <c:v>3.6460317460317473</c:v>
                </c:pt>
                <c:pt idx="6">
                  <c:v>2.4287128712871286</c:v>
                </c:pt>
                <c:pt idx="7">
                  <c:v>2.1274999999999986</c:v>
                </c:pt>
                <c:pt idx="8">
                  <c:v>0.58043478260869574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8-1447-B7DF-E997FABA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AF-D241-93E8-39556495E4F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25'!$B$27:$B$34</c:f>
              <c:numCache>
                <c:formatCode>General</c:formatCode>
                <c:ptCount val="8"/>
                <c:pt idx="0">
                  <c:v>0</c:v>
                </c:pt>
                <c:pt idx="1">
                  <c:v>43.5</c:v>
                </c:pt>
                <c:pt idx="2">
                  <c:v>48.1</c:v>
                </c:pt>
                <c:pt idx="3">
                  <c:v>53.1</c:v>
                </c:pt>
                <c:pt idx="4">
                  <c:v>58.9</c:v>
                </c:pt>
                <c:pt idx="5">
                  <c:v>65.5</c:v>
                </c:pt>
                <c:pt idx="6">
                  <c:v>74</c:v>
                </c:pt>
                <c:pt idx="7">
                  <c:v>100</c:v>
                </c:pt>
              </c:numCache>
            </c:numRef>
          </c:xVal>
          <c:yVal>
            <c:numRef>
              <c:f>'26 Nov 25'!$D$27:$D$34</c:f>
              <c:numCache>
                <c:formatCode>0.0000</c:formatCode>
                <c:ptCount val="8"/>
                <c:pt idx="0">
                  <c:v>0</c:v>
                </c:pt>
                <c:pt idx="1">
                  <c:v>4.6544827586206896</c:v>
                </c:pt>
                <c:pt idx="2">
                  <c:v>5.4652173913043463</c:v>
                </c:pt>
                <c:pt idx="3">
                  <c:v>5.0720000000000001</c:v>
                </c:pt>
                <c:pt idx="4">
                  <c:v>4.4172413793103473</c:v>
                </c:pt>
                <c:pt idx="5">
                  <c:v>4.0454545454545441</c:v>
                </c:pt>
                <c:pt idx="6">
                  <c:v>3.0023529411764707</c:v>
                </c:pt>
                <c:pt idx="7">
                  <c:v>0.85653846153846147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AF-D241-93E8-39556495E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7-4E44-B043-C60ABA98568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25'!$B$47:$B$54</c:f>
              <c:numCache>
                <c:formatCode>General</c:formatCode>
                <c:ptCount val="8"/>
                <c:pt idx="0">
                  <c:v>0</c:v>
                </c:pt>
                <c:pt idx="1">
                  <c:v>40.9</c:v>
                </c:pt>
                <c:pt idx="2">
                  <c:v>45.3</c:v>
                </c:pt>
                <c:pt idx="3">
                  <c:v>50.2</c:v>
                </c:pt>
                <c:pt idx="4">
                  <c:v>55.8</c:v>
                </c:pt>
                <c:pt idx="5">
                  <c:v>62.4</c:v>
                </c:pt>
                <c:pt idx="6">
                  <c:v>71.400000000000006</c:v>
                </c:pt>
                <c:pt idx="7">
                  <c:v>100</c:v>
                </c:pt>
              </c:numCache>
            </c:numRef>
          </c:xVal>
          <c:yVal>
            <c:numRef>
              <c:f>'26 Nov 25'!$D$47:$D$54</c:f>
              <c:numCache>
                <c:formatCode>0.0000</c:formatCode>
                <c:ptCount val="8"/>
                <c:pt idx="0">
                  <c:v>0</c:v>
                </c:pt>
                <c:pt idx="1">
                  <c:v>4.6938875305623471</c:v>
                </c:pt>
                <c:pt idx="2">
                  <c:v>5.1954545454545471</c:v>
                </c:pt>
                <c:pt idx="3">
                  <c:v>4.7204081632653008</c:v>
                </c:pt>
                <c:pt idx="4">
                  <c:v>4.3910714285714327</c:v>
                </c:pt>
                <c:pt idx="5">
                  <c:v>3.8424242424242414</c:v>
                </c:pt>
                <c:pt idx="6">
                  <c:v>2.8399999999999976</c:v>
                </c:pt>
                <c:pt idx="7">
                  <c:v>0.56398601398601411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77-4E44-B043-C60ABA985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BF-0848-966B-61F51E2471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16</c:v>
                </c:pt>
                <c:pt idx="2">
                  <c:v>23.5</c:v>
                </c:pt>
                <c:pt idx="3">
                  <c:v>33.200000000000003</c:v>
                </c:pt>
                <c:pt idx="4">
                  <c:v>44</c:v>
                </c:pt>
                <c:pt idx="5">
                  <c:v>50.3</c:v>
                </c:pt>
                <c:pt idx="6">
                  <c:v>60.4</c:v>
                </c:pt>
                <c:pt idx="7">
                  <c:v>72.400000000000006</c:v>
                </c:pt>
                <c:pt idx="8">
                  <c:v>100</c:v>
                </c:pt>
              </c:numCache>
            </c:numRef>
          </c:xVal>
          <c:yVal>
            <c:numRef>
              <c:f>'26 Nov 25'!$E$9:$E$17</c:f>
              <c:numCache>
                <c:formatCode>General</c:formatCode>
                <c:ptCount val="9"/>
                <c:pt idx="0">
                  <c:v>0</c:v>
                </c:pt>
                <c:pt idx="1">
                  <c:v>27.36</c:v>
                </c:pt>
                <c:pt idx="2">
                  <c:v>43.72</c:v>
                </c:pt>
                <c:pt idx="3">
                  <c:v>68.489999999999995</c:v>
                </c:pt>
                <c:pt idx="4">
                  <c:v>93.28</c:v>
                </c:pt>
                <c:pt idx="5">
                  <c:v>116.25</c:v>
                </c:pt>
                <c:pt idx="6">
                  <c:v>140.78</c:v>
                </c:pt>
                <c:pt idx="7">
                  <c:v>166.31</c:v>
                </c:pt>
                <c:pt idx="8">
                  <c:v>182.33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BF-0848-966B-61F51E247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6-1948-A2CA-AE253F96EC6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25'!$B$27:$B$34</c:f>
              <c:numCache>
                <c:formatCode>General</c:formatCode>
                <c:ptCount val="8"/>
                <c:pt idx="0">
                  <c:v>0</c:v>
                </c:pt>
                <c:pt idx="1">
                  <c:v>43.5</c:v>
                </c:pt>
                <c:pt idx="2">
                  <c:v>48.1</c:v>
                </c:pt>
                <c:pt idx="3">
                  <c:v>53.1</c:v>
                </c:pt>
                <c:pt idx="4">
                  <c:v>58.9</c:v>
                </c:pt>
                <c:pt idx="5">
                  <c:v>65.5</c:v>
                </c:pt>
                <c:pt idx="6">
                  <c:v>74</c:v>
                </c:pt>
                <c:pt idx="7">
                  <c:v>100</c:v>
                </c:pt>
              </c:numCache>
            </c:numRef>
          </c:xVal>
          <c:yVal>
            <c:numRef>
              <c:f>'26 Nov 25'!$E$27:$E$34</c:f>
              <c:numCache>
                <c:formatCode>General</c:formatCode>
                <c:ptCount val="8"/>
                <c:pt idx="0">
                  <c:v>0</c:v>
                </c:pt>
                <c:pt idx="1">
                  <c:v>202.47</c:v>
                </c:pt>
                <c:pt idx="2">
                  <c:v>227.61</c:v>
                </c:pt>
                <c:pt idx="3">
                  <c:v>252.97000000000003</c:v>
                </c:pt>
                <c:pt idx="4">
                  <c:v>278.59000000000003</c:v>
                </c:pt>
                <c:pt idx="5">
                  <c:v>305.29000000000002</c:v>
                </c:pt>
                <c:pt idx="6">
                  <c:v>330.81</c:v>
                </c:pt>
                <c:pt idx="7">
                  <c:v>353.08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6-1948-A2CA-AE253F96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F9-F041-BB60-866647FCB44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 Nov 25'!$B$47:$B$54</c:f>
              <c:numCache>
                <c:formatCode>General</c:formatCode>
                <c:ptCount val="8"/>
                <c:pt idx="0">
                  <c:v>0</c:v>
                </c:pt>
                <c:pt idx="1">
                  <c:v>40.9</c:v>
                </c:pt>
                <c:pt idx="2">
                  <c:v>45.3</c:v>
                </c:pt>
                <c:pt idx="3">
                  <c:v>50.2</c:v>
                </c:pt>
                <c:pt idx="4">
                  <c:v>55.8</c:v>
                </c:pt>
                <c:pt idx="5">
                  <c:v>62.4</c:v>
                </c:pt>
                <c:pt idx="6">
                  <c:v>71.400000000000006</c:v>
                </c:pt>
                <c:pt idx="7">
                  <c:v>100</c:v>
                </c:pt>
              </c:numCache>
            </c:numRef>
          </c:xVal>
          <c:yVal>
            <c:numRef>
              <c:f>'26 Nov 25'!$E$47:$E$54</c:f>
              <c:numCache>
                <c:formatCode>General</c:formatCode>
                <c:ptCount val="8"/>
                <c:pt idx="0">
                  <c:v>0</c:v>
                </c:pt>
                <c:pt idx="1">
                  <c:v>191.98</c:v>
                </c:pt>
                <c:pt idx="2">
                  <c:v>214.83999999999997</c:v>
                </c:pt>
                <c:pt idx="3">
                  <c:v>237.96999999999997</c:v>
                </c:pt>
                <c:pt idx="4">
                  <c:v>262.55999999999995</c:v>
                </c:pt>
                <c:pt idx="5">
                  <c:v>287.91999999999996</c:v>
                </c:pt>
                <c:pt idx="6">
                  <c:v>313.47999999999996</c:v>
                </c:pt>
                <c:pt idx="7">
                  <c:v>329.60999999999996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F9-F041-BB60-866647FC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Differential Regulating</a:t>
            </a:r>
            <a:r>
              <a:rPr lang="en-US" baseline="0"/>
              <a:t> </a:t>
            </a:r>
            <a:r>
              <a:rPr lang="en-US"/>
              <a:t>Rod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Batang Pengatur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53-884F-8997-1B83874D16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26'!$B$9:$B$17</c:f>
              <c:numCache>
                <c:formatCode>General</c:formatCode>
                <c:ptCount val="9"/>
                <c:pt idx="0">
                  <c:v>0</c:v>
                </c:pt>
                <c:pt idx="1">
                  <c:v>17</c:v>
                </c:pt>
                <c:pt idx="2">
                  <c:v>25.5</c:v>
                </c:pt>
                <c:pt idx="3">
                  <c:v>35.4</c:v>
                </c:pt>
                <c:pt idx="4">
                  <c:v>45.1</c:v>
                </c:pt>
                <c:pt idx="5">
                  <c:v>54.5</c:v>
                </c:pt>
                <c:pt idx="6">
                  <c:v>65.7</c:v>
                </c:pt>
                <c:pt idx="7">
                  <c:v>80.5</c:v>
                </c:pt>
                <c:pt idx="8">
                  <c:v>100</c:v>
                </c:pt>
              </c:numCache>
            </c:numRef>
          </c:xVal>
          <c:yVal>
            <c:numRef>
              <c:f>'07 Jan 26'!$D$9:$D$17</c:f>
              <c:numCache>
                <c:formatCode>0.0000</c:formatCode>
                <c:ptCount val="9"/>
                <c:pt idx="0">
                  <c:v>0</c:v>
                </c:pt>
                <c:pt idx="1">
                  <c:v>1.661764705882353</c:v>
                </c:pt>
                <c:pt idx="2">
                  <c:v>2.5811764705882356</c:v>
                </c:pt>
                <c:pt idx="3">
                  <c:v>2.7030303030303036</c:v>
                </c:pt>
                <c:pt idx="4">
                  <c:v>2.7886597938144324</c:v>
                </c:pt>
                <c:pt idx="5">
                  <c:v>2.6755319148936172</c:v>
                </c:pt>
                <c:pt idx="6">
                  <c:v>2.2044642857142853</c:v>
                </c:pt>
                <c:pt idx="7">
                  <c:v>1.3695945945945949</c:v>
                </c:pt>
                <c:pt idx="8">
                  <c:v>0.38923076923076921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53-884F-8997-1B83874D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6224"/>
        <c:axId val="239676608"/>
      </c:scatterChart>
      <c:valAx>
        <c:axId val="2396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Position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608"/>
        <c:crosses val="autoZero"/>
        <c:crossBetween val="midCat"/>
      </c:valAx>
      <c:valAx>
        <c:axId val="2396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Reactivity</a:t>
                </a:r>
                <a:endParaRPr lang="id-ID"/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6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70-CE47-AB48-AB57F5A9878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26'!$B$27:$B$34</c:f>
              <c:numCache>
                <c:formatCode>General</c:formatCode>
                <c:ptCount val="8"/>
                <c:pt idx="0">
                  <c:v>0</c:v>
                </c:pt>
                <c:pt idx="1">
                  <c:v>43.3</c:v>
                </c:pt>
                <c:pt idx="2">
                  <c:v>47.7</c:v>
                </c:pt>
                <c:pt idx="3">
                  <c:v>52.7</c:v>
                </c:pt>
                <c:pt idx="4">
                  <c:v>57.8</c:v>
                </c:pt>
                <c:pt idx="5">
                  <c:v>63.6</c:v>
                </c:pt>
                <c:pt idx="6">
                  <c:v>72</c:v>
                </c:pt>
                <c:pt idx="7">
                  <c:v>100</c:v>
                </c:pt>
              </c:numCache>
            </c:numRef>
          </c:xVal>
          <c:yVal>
            <c:numRef>
              <c:f>'07 Jan 26'!$D$27:$D$34</c:f>
              <c:numCache>
                <c:formatCode>0.0000</c:formatCode>
                <c:ptCount val="8"/>
                <c:pt idx="0">
                  <c:v>0</c:v>
                </c:pt>
                <c:pt idx="1">
                  <c:v>4.6842956120092385</c:v>
                </c:pt>
                <c:pt idx="2">
                  <c:v>4.6431818181818123</c:v>
                </c:pt>
                <c:pt idx="3">
                  <c:v>5.258</c:v>
                </c:pt>
                <c:pt idx="4">
                  <c:v>4.9450980392156918</c:v>
                </c:pt>
                <c:pt idx="5">
                  <c:v>4.2327586206896521</c:v>
                </c:pt>
                <c:pt idx="6">
                  <c:v>3.2083333333333339</c:v>
                </c:pt>
                <c:pt idx="7">
                  <c:v>1.0010714285714286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70-CE47-AB48-AB57F5A98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46624"/>
        <c:axId val="243347008"/>
      </c:scatterChart>
      <c:valAx>
        <c:axId val="243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7008"/>
        <c:crosses val="autoZero"/>
        <c:crossBetween val="midCat"/>
      </c:valAx>
      <c:valAx>
        <c:axId val="2433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r>
                  <a:rPr lang="id-ID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3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Differential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91-E84F-96AB-8B553974FE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26'!$B$47:$B$54</c:f>
              <c:numCache>
                <c:formatCode>General</c:formatCode>
                <c:ptCount val="8"/>
                <c:pt idx="0">
                  <c:v>0</c:v>
                </c:pt>
                <c:pt idx="1">
                  <c:v>40.700000000000003</c:v>
                </c:pt>
                <c:pt idx="2">
                  <c:v>45.7</c:v>
                </c:pt>
                <c:pt idx="3">
                  <c:v>50.8</c:v>
                </c:pt>
                <c:pt idx="4">
                  <c:v>57.3</c:v>
                </c:pt>
                <c:pt idx="5">
                  <c:v>63.5</c:v>
                </c:pt>
                <c:pt idx="6">
                  <c:v>72.8</c:v>
                </c:pt>
                <c:pt idx="7">
                  <c:v>100</c:v>
                </c:pt>
              </c:numCache>
            </c:numRef>
          </c:xVal>
          <c:yVal>
            <c:numRef>
              <c:f>'07 Jan 26'!$D$47:$D$54</c:f>
              <c:numCache>
                <c:formatCode>0.0000</c:formatCode>
                <c:ptCount val="8"/>
                <c:pt idx="0">
                  <c:v>0</c:v>
                </c:pt>
                <c:pt idx="1">
                  <c:v>4.9582309582309581</c:v>
                </c:pt>
                <c:pt idx="2">
                  <c:v>4.968</c:v>
                </c:pt>
                <c:pt idx="3">
                  <c:v>5.1764705882352997</c:v>
                </c:pt>
                <c:pt idx="4">
                  <c:v>3.92</c:v>
                </c:pt>
                <c:pt idx="5">
                  <c:v>4.0225806451612884</c:v>
                </c:pt>
                <c:pt idx="6">
                  <c:v>2.8505376344086031</c:v>
                </c:pt>
                <c:pt idx="7">
                  <c:v>0.90367647058823519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91-E84F-96AB-8B553974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23368"/>
        <c:axId val="292333400"/>
      </c:scatterChart>
      <c:valAx>
        <c:axId val="24052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33400"/>
        <c:crosses val="autoZero"/>
        <c:crossBetween val="midCat"/>
      </c:valAx>
      <c:valAx>
        <c:axId val="292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052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Regulating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BA-AE40-AAED-24583D6342E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26'!$B$9:$B$17</c:f>
              <c:numCache>
                <c:formatCode>General</c:formatCode>
                <c:ptCount val="9"/>
                <c:pt idx="0">
                  <c:v>0</c:v>
                </c:pt>
                <c:pt idx="1">
                  <c:v>17</c:v>
                </c:pt>
                <c:pt idx="2">
                  <c:v>25.5</c:v>
                </c:pt>
                <c:pt idx="3">
                  <c:v>35.4</c:v>
                </c:pt>
                <c:pt idx="4">
                  <c:v>45.1</c:v>
                </c:pt>
                <c:pt idx="5">
                  <c:v>54.5</c:v>
                </c:pt>
                <c:pt idx="6">
                  <c:v>65.7</c:v>
                </c:pt>
                <c:pt idx="7">
                  <c:v>80.5</c:v>
                </c:pt>
                <c:pt idx="8">
                  <c:v>100</c:v>
                </c:pt>
              </c:numCache>
            </c:numRef>
          </c:xVal>
          <c:yVal>
            <c:numRef>
              <c:f>'07 Jan 26'!$E$9:$E$17</c:f>
              <c:numCache>
                <c:formatCode>0.0000</c:formatCode>
                <c:ptCount val="9"/>
                <c:pt idx="0" formatCode="General">
                  <c:v>0</c:v>
                </c:pt>
                <c:pt idx="1">
                  <c:v>1.661764705882353</c:v>
                </c:pt>
                <c:pt idx="2">
                  <c:v>4.2429411764705884</c:v>
                </c:pt>
                <c:pt idx="3">
                  <c:v>6.9459714795008924</c:v>
                </c:pt>
                <c:pt idx="4">
                  <c:v>9.7346312733153244</c:v>
                </c:pt>
                <c:pt idx="5">
                  <c:v>12.410163188208941</c:v>
                </c:pt>
                <c:pt idx="6">
                  <c:v>14.614627473923226</c:v>
                </c:pt>
                <c:pt idx="7">
                  <c:v>15.984222068517822</c:v>
                </c:pt>
                <c:pt idx="8">
                  <c:v>16.373452837748591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BA-AE40-AAED-24583D634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87960"/>
        <c:axId val="292372672"/>
      </c:scatterChart>
      <c:valAx>
        <c:axId val="29228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72672"/>
        <c:crosses val="autoZero"/>
        <c:crossBetween val="midCat"/>
      </c:valAx>
      <c:valAx>
        <c:axId val="292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28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Compensation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5-4D44-BFF6-6203DFFB9BF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26'!$B$27:$B$34</c:f>
              <c:numCache>
                <c:formatCode>General</c:formatCode>
                <c:ptCount val="8"/>
                <c:pt idx="0">
                  <c:v>0</c:v>
                </c:pt>
                <c:pt idx="1">
                  <c:v>43.3</c:v>
                </c:pt>
                <c:pt idx="2">
                  <c:v>47.7</c:v>
                </c:pt>
                <c:pt idx="3">
                  <c:v>52.7</c:v>
                </c:pt>
                <c:pt idx="4">
                  <c:v>57.8</c:v>
                </c:pt>
                <c:pt idx="5">
                  <c:v>63.6</c:v>
                </c:pt>
                <c:pt idx="6">
                  <c:v>72</c:v>
                </c:pt>
                <c:pt idx="7">
                  <c:v>100</c:v>
                </c:pt>
              </c:numCache>
            </c:numRef>
          </c:xVal>
          <c:yVal>
            <c:numRef>
              <c:f>'07 Jan 26'!$E$27:$E$34</c:f>
              <c:numCache>
                <c:formatCode>0.0000</c:formatCode>
                <c:ptCount val="8"/>
                <c:pt idx="0" formatCode="General">
                  <c:v>0</c:v>
                </c:pt>
                <c:pt idx="1">
                  <c:v>4.6842956120092385</c:v>
                </c:pt>
                <c:pt idx="2">
                  <c:v>9.3274774301910508</c:v>
                </c:pt>
                <c:pt idx="3">
                  <c:v>14.585477430191052</c:v>
                </c:pt>
                <c:pt idx="4">
                  <c:v>19.530575469406742</c:v>
                </c:pt>
                <c:pt idx="5">
                  <c:v>23.763334090096393</c:v>
                </c:pt>
                <c:pt idx="6">
                  <c:v>26.971667423429729</c:v>
                </c:pt>
                <c:pt idx="7">
                  <c:v>27.972738852001157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C5-4D44-BFF6-6203DFFB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7064"/>
        <c:axId val="292345888"/>
      </c:scatterChart>
      <c:valAx>
        <c:axId val="2923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5888"/>
        <c:crosses val="autoZero"/>
        <c:crossBetween val="midCat"/>
      </c:valAx>
      <c:valAx>
        <c:axId val="292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0" i="0" baseline="0">
                <a:effectLst/>
              </a:rPr>
              <a:t>Integral Safety Rod Worth</a:t>
            </a:r>
            <a:endParaRPr lang="en-I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1-764A-A95E-F028171A522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'07 Jan 26'!$B$47:$B$54</c:f>
              <c:numCache>
                <c:formatCode>General</c:formatCode>
                <c:ptCount val="8"/>
                <c:pt idx="0">
                  <c:v>0</c:v>
                </c:pt>
                <c:pt idx="1">
                  <c:v>40.700000000000003</c:v>
                </c:pt>
                <c:pt idx="2">
                  <c:v>45.7</c:v>
                </c:pt>
                <c:pt idx="3">
                  <c:v>50.8</c:v>
                </c:pt>
                <c:pt idx="4">
                  <c:v>57.3</c:v>
                </c:pt>
                <c:pt idx="5">
                  <c:v>63.5</c:v>
                </c:pt>
                <c:pt idx="6">
                  <c:v>72.8</c:v>
                </c:pt>
                <c:pt idx="7">
                  <c:v>100</c:v>
                </c:pt>
              </c:numCache>
            </c:numRef>
          </c:xVal>
          <c:yVal>
            <c:numRef>
              <c:f>'07 Jan 26'!$E$47:$E$54</c:f>
              <c:numCache>
                <c:formatCode>0.0000</c:formatCode>
                <c:ptCount val="8"/>
                <c:pt idx="0" formatCode="General">
                  <c:v>0</c:v>
                </c:pt>
                <c:pt idx="1">
                  <c:v>4.9582309582309581</c:v>
                </c:pt>
                <c:pt idx="2">
                  <c:v>9.926230958230958</c:v>
                </c:pt>
                <c:pt idx="3">
                  <c:v>15.102701546466257</c:v>
                </c:pt>
                <c:pt idx="4">
                  <c:v>19.022701546466259</c:v>
                </c:pt>
                <c:pt idx="5">
                  <c:v>23.045282191627546</c:v>
                </c:pt>
                <c:pt idx="6">
                  <c:v>25.895819826036149</c:v>
                </c:pt>
                <c:pt idx="7">
                  <c:v>26.799496296624383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1-764A-A95E-F028171A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46280"/>
        <c:axId val="292346672"/>
      </c:scatterChart>
      <c:valAx>
        <c:axId val="2923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Position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672"/>
        <c:crosses val="autoZero"/>
        <c:crossBetween val="midCat"/>
      </c:valAx>
      <c:valAx>
        <c:axId val="292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u="none" strike="noStrike" baseline="0">
                    <a:effectLst/>
                  </a:rPr>
                  <a:t>Reactivity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2346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3.xml"/><Relationship Id="rId7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9.xml"/><Relationship Id="rId7" Type="http://schemas.openxmlformats.org/officeDocument/2006/relationships/image" Target="../media/image1.wmf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24.xml"/><Relationship Id="rId7" Type="http://schemas.openxmlformats.org/officeDocument/2006/relationships/image" Target="../media/image1.wmf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30.xml"/><Relationship Id="rId7" Type="http://schemas.openxmlformats.org/officeDocument/2006/relationships/image" Target="../media/image1.wmf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36.xml"/><Relationship Id="rId7" Type="http://schemas.openxmlformats.org/officeDocument/2006/relationships/image" Target="../media/image1.wmf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wmf"/><Relationship Id="rId3" Type="http://schemas.openxmlformats.org/officeDocument/2006/relationships/chart" Target="../charts/chart42.xml"/><Relationship Id="rId7" Type="http://schemas.openxmlformats.org/officeDocument/2006/relationships/image" Target="../media/image1.wmf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48.xml"/><Relationship Id="rId7" Type="http://schemas.openxmlformats.org/officeDocument/2006/relationships/image" Target="../media/image3.png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image" Target="../media/image5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54.xml"/><Relationship Id="rId7" Type="http://schemas.openxmlformats.org/officeDocument/2006/relationships/image" Target="../media/image3.png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60.xml"/><Relationship Id="rId7" Type="http://schemas.openxmlformats.org/officeDocument/2006/relationships/image" Target="../media/image3.png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5" Type="http://schemas.openxmlformats.org/officeDocument/2006/relationships/chart" Target="../charts/chart62.xml"/><Relationship Id="rId4" Type="http://schemas.openxmlformats.org/officeDocument/2006/relationships/chart" Target="../charts/chart6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66.xml"/><Relationship Id="rId7" Type="http://schemas.openxmlformats.org/officeDocument/2006/relationships/image" Target="../media/image3.png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95579</xdr:colOff>
      <xdr:row>5</xdr:row>
      <xdr:rowOff>62872</xdr:rowOff>
    </xdr:from>
    <xdr:to>
      <xdr:col>15</xdr:col>
      <xdr:colOff>100594</xdr:colOff>
      <xdr:row>25</xdr:row>
      <xdr:rowOff>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CEC34D7F-B4D3-4843-AD9C-D4D8B36CA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35</xdr:row>
      <xdr:rowOff>152400</xdr:rowOff>
    </xdr:from>
    <xdr:to>
      <xdr:col>15</xdr:col>
      <xdr:colOff>-1</xdr:colOff>
      <xdr:row>57</xdr:row>
      <xdr:rowOff>119061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151E332-AA66-402C-A13B-8D5946624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28574</xdr:colOff>
      <xdr:row>61</xdr:row>
      <xdr:rowOff>0</xdr:rowOff>
    </xdr:from>
    <xdr:to>
      <xdr:col>15</xdr:col>
      <xdr:colOff>47624</xdr:colOff>
      <xdr:row>81</xdr:row>
      <xdr:rowOff>47626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5E848414-56AE-4C5B-B777-02677C967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265338</xdr:colOff>
      <xdr:row>6</xdr:row>
      <xdr:rowOff>29936</xdr:rowOff>
    </xdr:from>
    <xdr:to>
      <xdr:col>24</xdr:col>
      <xdr:colOff>136071</xdr:colOff>
      <xdr:row>30</xdr:row>
      <xdr:rowOff>68036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23CF1E-472B-44E4-A877-C274D0C41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285749</xdr:colOff>
      <xdr:row>35</xdr:row>
      <xdr:rowOff>190499</xdr:rowOff>
    </xdr:from>
    <xdr:to>
      <xdr:col>24</xdr:col>
      <xdr:colOff>244927</xdr:colOff>
      <xdr:row>57</xdr:row>
      <xdr:rowOff>108856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07FA73-4959-4F6E-B163-CF9E7C584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312964</xdr:colOff>
      <xdr:row>61</xdr:row>
      <xdr:rowOff>13607</xdr:rowOff>
    </xdr:from>
    <xdr:to>
      <xdr:col>24</xdr:col>
      <xdr:colOff>183697</xdr:colOff>
      <xdr:row>81</xdr:row>
      <xdr:rowOff>51707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E2F5C1-0436-4805-A200-AF18008A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168610</xdr:colOff>
      <xdr:row>85</xdr:row>
      <xdr:rowOff>105900</xdr:rowOff>
    </xdr:from>
    <xdr:to>
      <xdr:col>3</xdr:col>
      <xdr:colOff>797935</xdr:colOff>
      <xdr:row>88</xdr:row>
      <xdr:rowOff>80987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591740-C17E-4E3A-B4B0-58C2E2E2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68610" y="16565100"/>
          <a:ext cx="3563025" cy="523727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0</xdr:col>
      <xdr:colOff>170597</xdr:colOff>
      <xdr:row>88</xdr:row>
      <xdr:rowOff>136092</xdr:rowOff>
    </xdr:from>
    <xdr:to>
      <xdr:col>2</xdr:col>
      <xdr:colOff>818219</xdr:colOff>
      <xdr:row>91</xdr:row>
      <xdr:rowOff>159905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04EEC0-7D14-42FF-B399-5FC12420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0597" y="17143932"/>
          <a:ext cx="2636442" cy="572453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27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31</xdr:row>
      <xdr:rowOff>187036</xdr:rowOff>
    </xdr:from>
    <xdr:to>
      <xdr:col>14</xdr:col>
      <xdr:colOff>369454</xdr:colOff>
      <xdr:row>52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58</xdr:row>
      <xdr:rowOff>173182</xdr:rowOff>
    </xdr:from>
    <xdr:to>
      <xdr:col>14</xdr:col>
      <xdr:colOff>369454</xdr:colOff>
      <xdr:row>76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27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31</xdr:row>
      <xdr:rowOff>178955</xdr:rowOff>
    </xdr:from>
    <xdr:to>
      <xdr:col>24</xdr:col>
      <xdr:colOff>265545</xdr:colOff>
      <xdr:row>52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59</xdr:row>
      <xdr:rowOff>2062</xdr:rowOff>
    </xdr:from>
    <xdr:to>
      <xdr:col>24</xdr:col>
      <xdr:colOff>288636</xdr:colOff>
      <xdr:row>76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74889</xdr:colOff>
      <xdr:row>88</xdr:row>
      <xdr:rowOff>16933</xdr:rowOff>
    </xdr:from>
    <xdr:to>
      <xdr:col>4</xdr:col>
      <xdr:colOff>473305</xdr:colOff>
      <xdr:row>90</xdr:row>
      <xdr:rowOff>150194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4889" y="17323569"/>
          <a:ext cx="3631143" cy="525806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83667</xdr:colOff>
      <xdr:row>91</xdr:row>
      <xdr:rowOff>106888</xdr:rowOff>
    </xdr:from>
    <xdr:to>
      <xdr:col>3</xdr:col>
      <xdr:colOff>506730</xdr:colOff>
      <xdr:row>94</xdr:row>
      <xdr:rowOff>92602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3667" y="18002343"/>
          <a:ext cx="2679622" cy="574532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6</xdr:row>
      <xdr:rowOff>23814</xdr:rowOff>
    </xdr:from>
    <xdr:to>
      <xdr:col>15</xdr:col>
      <xdr:colOff>23812</xdr:colOff>
      <xdr:row>21</xdr:row>
      <xdr:rowOff>47626</xdr:rowOff>
    </xdr:to>
    <xdr:graphicFrame macro="">
      <xdr:nvGraphicFramePr>
        <xdr:cNvPr id="1049" name="Chart 6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26</xdr:row>
      <xdr:rowOff>152400</xdr:rowOff>
    </xdr:from>
    <xdr:to>
      <xdr:col>15</xdr:col>
      <xdr:colOff>-1</xdr:colOff>
      <xdr:row>42</xdr:row>
      <xdr:rowOff>119061</xdr:rowOff>
    </xdr:to>
    <xdr:graphicFrame macro="">
      <xdr:nvGraphicFramePr>
        <xdr:cNvPr id="1050" name="Chart 7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28574</xdr:colOff>
      <xdr:row>46</xdr:row>
      <xdr:rowOff>0</xdr:rowOff>
    </xdr:from>
    <xdr:to>
      <xdr:col>15</xdr:col>
      <xdr:colOff>47624</xdr:colOff>
      <xdr:row>61</xdr:row>
      <xdr:rowOff>47626</xdr:rowOff>
    </xdr:to>
    <xdr:graphicFrame macro="">
      <xdr:nvGraphicFramePr>
        <xdr:cNvPr id="1051" name="Chart 8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265338</xdr:colOff>
      <xdr:row>6</xdr:row>
      <xdr:rowOff>29936</xdr:rowOff>
    </xdr:from>
    <xdr:to>
      <xdr:col>24</xdr:col>
      <xdr:colOff>136071</xdr:colOff>
      <xdr:row>21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285749</xdr:colOff>
      <xdr:row>26</xdr:row>
      <xdr:rowOff>190499</xdr:rowOff>
    </xdr:from>
    <xdr:to>
      <xdr:col>24</xdr:col>
      <xdr:colOff>244927</xdr:colOff>
      <xdr:row>42</xdr:row>
      <xdr:rowOff>108856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312964</xdr:colOff>
      <xdr:row>46</xdr:row>
      <xdr:rowOff>13607</xdr:rowOff>
    </xdr:from>
    <xdr:to>
      <xdr:col>24</xdr:col>
      <xdr:colOff>183697</xdr:colOff>
      <xdr:row>61</xdr:row>
      <xdr:rowOff>51707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209550</xdr:rowOff>
    </xdr:from>
    <xdr:to>
      <xdr:col>14</xdr:col>
      <xdr:colOff>333375</xdr:colOff>
      <xdr:row>14</xdr:row>
      <xdr:rowOff>133350</xdr:rowOff>
    </xdr:to>
    <xdr:graphicFrame macro="">
      <xdr:nvGraphicFramePr>
        <xdr:cNvPr id="5153" name="Chart 1">
          <a:extLst>
            <a:ext uri="{FF2B5EF4-FFF2-40B4-BE49-F238E27FC236}">
              <a16:creationId xmlns:a16="http://schemas.microsoft.com/office/drawing/2014/main" id="{00000000-0008-0000-0200-000021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19</xdr:row>
      <xdr:rowOff>114300</xdr:rowOff>
    </xdr:from>
    <xdr:to>
      <xdr:col>13</xdr:col>
      <xdr:colOff>352425</xdr:colOff>
      <xdr:row>31</xdr:row>
      <xdr:rowOff>114300</xdr:rowOff>
    </xdr:to>
    <xdr:graphicFrame macro="">
      <xdr:nvGraphicFramePr>
        <xdr:cNvPr id="5154" name="Chart 2">
          <a:extLst>
            <a:ext uri="{FF2B5EF4-FFF2-40B4-BE49-F238E27FC236}">
              <a16:creationId xmlns:a16="http://schemas.microsoft.com/office/drawing/2014/main" id="{00000000-0008-0000-0200-000022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34</xdr:row>
      <xdr:rowOff>28575</xdr:rowOff>
    </xdr:from>
    <xdr:to>
      <xdr:col>13</xdr:col>
      <xdr:colOff>352425</xdr:colOff>
      <xdr:row>46</xdr:row>
      <xdr:rowOff>28575</xdr:rowOff>
    </xdr:to>
    <xdr:graphicFrame macro="">
      <xdr:nvGraphicFramePr>
        <xdr:cNvPr id="5155" name="Chart 3">
          <a:extLst>
            <a:ext uri="{FF2B5EF4-FFF2-40B4-BE49-F238E27FC236}">
              <a16:creationId xmlns:a16="http://schemas.microsoft.com/office/drawing/2014/main" id="{00000000-0008-0000-0200-00002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19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D99D5BC-B621-4CD4-9AEC-587BA403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23</xdr:row>
      <xdr:rowOff>187036</xdr:rowOff>
    </xdr:from>
    <xdr:to>
      <xdr:col>14</xdr:col>
      <xdr:colOff>369454</xdr:colOff>
      <xdr:row>38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431EE33D-87E4-4EE9-901C-E24B84A5D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44</xdr:row>
      <xdr:rowOff>173182</xdr:rowOff>
    </xdr:from>
    <xdr:to>
      <xdr:col>14</xdr:col>
      <xdr:colOff>369454</xdr:colOff>
      <xdr:row>58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936E774B-8E84-4BD6-BE8A-1F066193F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19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264254-FB5C-49BF-8077-F20D26959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23</xdr:row>
      <xdr:rowOff>178955</xdr:rowOff>
    </xdr:from>
    <xdr:to>
      <xdr:col>24</xdr:col>
      <xdr:colOff>265545</xdr:colOff>
      <xdr:row>38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FF0E58-B1F7-46F2-B27F-DFC477AD3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45</xdr:row>
      <xdr:rowOff>2062</xdr:rowOff>
    </xdr:from>
    <xdr:to>
      <xdr:col>24</xdr:col>
      <xdr:colOff>288636</xdr:colOff>
      <xdr:row>58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F6A26F-3B09-42F5-8905-0D4E25426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74889</xdr:colOff>
      <xdr:row>70</xdr:row>
      <xdr:rowOff>16933</xdr:rowOff>
    </xdr:from>
    <xdr:to>
      <xdr:col>4</xdr:col>
      <xdr:colOff>473305</xdr:colOff>
      <xdr:row>72</xdr:row>
      <xdr:rowOff>150194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375979-0A71-4987-9CAA-99852223C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79739" y="17688983"/>
          <a:ext cx="3624216" cy="526961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83667</xdr:colOff>
      <xdr:row>73</xdr:row>
      <xdr:rowOff>106888</xdr:rowOff>
    </xdr:from>
    <xdr:to>
      <xdr:col>3</xdr:col>
      <xdr:colOff>506730</xdr:colOff>
      <xdr:row>76</xdr:row>
      <xdr:rowOff>92602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396B92-56D4-4CDD-BB16-D96F00AA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8517" y="18369488"/>
          <a:ext cx="2683663" cy="576264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18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936A558-1729-4FBA-92E6-97D4F3DB9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22</xdr:row>
      <xdr:rowOff>187036</xdr:rowOff>
    </xdr:from>
    <xdr:to>
      <xdr:col>14</xdr:col>
      <xdr:colOff>369454</xdr:colOff>
      <xdr:row>37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80D1D8C0-CFFF-48D6-97E1-C83CF64E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43</xdr:row>
      <xdr:rowOff>173182</xdr:rowOff>
    </xdr:from>
    <xdr:to>
      <xdr:col>14</xdr:col>
      <xdr:colOff>369454</xdr:colOff>
      <xdr:row>57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35FC7923-C9BF-4C39-BC32-58B014A2B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18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BC67D7-E9B0-4F04-A371-4595045B7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22</xdr:row>
      <xdr:rowOff>178955</xdr:rowOff>
    </xdr:from>
    <xdr:to>
      <xdr:col>24</xdr:col>
      <xdr:colOff>265545</xdr:colOff>
      <xdr:row>37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17F7A4-100E-41D3-83F8-9C3EB2035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44</xdr:row>
      <xdr:rowOff>2062</xdr:rowOff>
    </xdr:from>
    <xdr:to>
      <xdr:col>24</xdr:col>
      <xdr:colOff>288636</xdr:colOff>
      <xdr:row>57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61615F-D806-46B5-ABA8-521E11A1F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74889</xdr:colOff>
      <xdr:row>69</xdr:row>
      <xdr:rowOff>16933</xdr:rowOff>
    </xdr:from>
    <xdr:to>
      <xdr:col>4</xdr:col>
      <xdr:colOff>473305</xdr:colOff>
      <xdr:row>71</xdr:row>
      <xdr:rowOff>150194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65DAD2-CC3D-4E8C-A152-4626562F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79739" y="14145683"/>
          <a:ext cx="3624216" cy="526961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83667</xdr:colOff>
      <xdr:row>72</xdr:row>
      <xdr:rowOff>106888</xdr:rowOff>
    </xdr:from>
    <xdr:to>
      <xdr:col>3</xdr:col>
      <xdr:colOff>506730</xdr:colOff>
      <xdr:row>75</xdr:row>
      <xdr:rowOff>92602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03AC97-D365-495D-BC18-EEFF613B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8517" y="14826188"/>
          <a:ext cx="2683663" cy="576264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18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22BEB536-A13B-4210-B049-3E24DC358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22</xdr:row>
      <xdr:rowOff>187036</xdr:rowOff>
    </xdr:from>
    <xdr:to>
      <xdr:col>14</xdr:col>
      <xdr:colOff>369454</xdr:colOff>
      <xdr:row>37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A5B720B9-EFD1-4577-B850-F06E5C826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43</xdr:row>
      <xdr:rowOff>173182</xdr:rowOff>
    </xdr:from>
    <xdr:to>
      <xdr:col>14</xdr:col>
      <xdr:colOff>369454</xdr:colOff>
      <xdr:row>57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8E94F264-9699-4D69-B633-D7A0DF4B8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18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F82E40-6FC9-40E2-B5F2-1D6E1186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22</xdr:row>
      <xdr:rowOff>178955</xdr:rowOff>
    </xdr:from>
    <xdr:to>
      <xdr:col>24</xdr:col>
      <xdr:colOff>265545</xdr:colOff>
      <xdr:row>37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A6376E-0F52-46A5-90D1-63AA6B93D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44</xdr:row>
      <xdr:rowOff>2062</xdr:rowOff>
    </xdr:from>
    <xdr:to>
      <xdr:col>24</xdr:col>
      <xdr:colOff>288636</xdr:colOff>
      <xdr:row>57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06C27C-5F84-40AE-BD94-4FAABC9E9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74889</xdr:colOff>
      <xdr:row>69</xdr:row>
      <xdr:rowOff>16933</xdr:rowOff>
    </xdr:from>
    <xdr:to>
      <xdr:col>4</xdr:col>
      <xdr:colOff>477115</xdr:colOff>
      <xdr:row>71</xdr:row>
      <xdr:rowOff>150194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B654A-CCB6-4E76-8216-C393A5F2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70214" y="13651018"/>
          <a:ext cx="3564526" cy="510451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83667</xdr:colOff>
      <xdr:row>72</xdr:row>
      <xdr:rowOff>106888</xdr:rowOff>
    </xdr:from>
    <xdr:to>
      <xdr:col>3</xdr:col>
      <xdr:colOff>510540</xdr:colOff>
      <xdr:row>75</xdr:row>
      <xdr:rowOff>96412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D8B4B3-7F9B-4AD2-925B-E4BFF799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0897" y="14306758"/>
          <a:ext cx="2644293" cy="562929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18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EBD3062-798F-4FC5-A5AC-F6976C4A3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22</xdr:row>
      <xdr:rowOff>187036</xdr:rowOff>
    </xdr:from>
    <xdr:to>
      <xdr:col>14</xdr:col>
      <xdr:colOff>369454</xdr:colOff>
      <xdr:row>37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CEE7E9A9-4B9D-47A6-A996-451240BAF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43</xdr:row>
      <xdr:rowOff>173182</xdr:rowOff>
    </xdr:from>
    <xdr:to>
      <xdr:col>14</xdr:col>
      <xdr:colOff>369454</xdr:colOff>
      <xdr:row>57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F94501C7-627F-4D37-AFCE-A57D8FAB0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18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D1DC66-FEF6-412B-80DE-B9FAD363B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22</xdr:row>
      <xdr:rowOff>178955</xdr:rowOff>
    </xdr:from>
    <xdr:to>
      <xdr:col>24</xdr:col>
      <xdr:colOff>265545</xdr:colOff>
      <xdr:row>37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791C90-D43B-4E2D-A7C9-11858B982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44</xdr:row>
      <xdr:rowOff>2062</xdr:rowOff>
    </xdr:from>
    <xdr:to>
      <xdr:col>24</xdr:col>
      <xdr:colOff>288636</xdr:colOff>
      <xdr:row>57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2E1EA1-0B4E-4C98-A88C-E9216345D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74889</xdr:colOff>
      <xdr:row>69</xdr:row>
      <xdr:rowOff>16933</xdr:rowOff>
    </xdr:from>
    <xdr:to>
      <xdr:col>4</xdr:col>
      <xdr:colOff>473305</xdr:colOff>
      <xdr:row>71</xdr:row>
      <xdr:rowOff>150194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6AFA7A-C8D3-4D0B-8558-26F40F2D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68309" y="13626253"/>
          <a:ext cx="3564526" cy="514261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83667</xdr:colOff>
      <xdr:row>72</xdr:row>
      <xdr:rowOff>106888</xdr:rowOff>
    </xdr:from>
    <xdr:to>
      <xdr:col>3</xdr:col>
      <xdr:colOff>514350</xdr:colOff>
      <xdr:row>75</xdr:row>
      <xdr:rowOff>92602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20EC50-C5BC-4C9B-8472-D5DA95E73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77087" y="14287708"/>
          <a:ext cx="2644293" cy="561024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484826</xdr:colOff>
      <xdr:row>4</xdr:row>
      <xdr:rowOff>192346</xdr:rowOff>
    </xdr:from>
    <xdr:to>
      <xdr:col>14</xdr:col>
      <xdr:colOff>300182</xdr:colOff>
      <xdr:row>18</xdr:row>
      <xdr:rowOff>103909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93DD74F-FE0E-4B9A-BF45-2618F1523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462539</xdr:colOff>
      <xdr:row>22</xdr:row>
      <xdr:rowOff>187036</xdr:rowOff>
    </xdr:from>
    <xdr:to>
      <xdr:col>14</xdr:col>
      <xdr:colOff>369454</xdr:colOff>
      <xdr:row>38</xdr:row>
      <xdr:rowOff>23090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B2A9D835-D948-44D5-B41F-BE832CB59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44</xdr:row>
      <xdr:rowOff>173182</xdr:rowOff>
    </xdr:from>
    <xdr:to>
      <xdr:col>14</xdr:col>
      <xdr:colOff>369454</xdr:colOff>
      <xdr:row>58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45D7438D-2BB3-4784-AA7D-FB7422863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586136</xdr:colOff>
      <xdr:row>4</xdr:row>
      <xdr:rowOff>175903</xdr:rowOff>
    </xdr:from>
    <xdr:to>
      <xdr:col>24</xdr:col>
      <xdr:colOff>288636</xdr:colOff>
      <xdr:row>18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26F07A-B8C5-4285-806A-C2A670012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89476</xdr:colOff>
      <xdr:row>22</xdr:row>
      <xdr:rowOff>178955</xdr:rowOff>
    </xdr:from>
    <xdr:to>
      <xdr:col>24</xdr:col>
      <xdr:colOff>265545</xdr:colOff>
      <xdr:row>38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A2D5A6-C292-468B-B819-061075B3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45</xdr:row>
      <xdr:rowOff>2062</xdr:rowOff>
    </xdr:from>
    <xdr:to>
      <xdr:col>24</xdr:col>
      <xdr:colOff>288636</xdr:colOff>
      <xdr:row>58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74C881-CDEA-4779-95BC-748C7083A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106680</xdr:colOff>
      <xdr:row>71</xdr:row>
      <xdr:rowOff>152400</xdr:rowOff>
    </xdr:from>
    <xdr:to>
      <xdr:col>4</xdr:col>
      <xdr:colOff>1313763</xdr:colOff>
      <xdr:row>74</xdr:row>
      <xdr:rowOff>88753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7C2E13-BD5E-46B4-A308-CC7BA1222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" y="13952220"/>
          <a:ext cx="4369383" cy="507853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74</xdr:row>
      <xdr:rowOff>117662</xdr:rowOff>
    </xdr:from>
    <xdr:to>
      <xdr:col>3</xdr:col>
      <xdr:colOff>457646</xdr:colOff>
      <xdr:row>77</xdr:row>
      <xdr:rowOff>43926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7C9633-6117-4EFF-9155-893137D12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4488982"/>
          <a:ext cx="2542986" cy="497764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56</xdr:row>
      <xdr:rowOff>60960</xdr:rowOff>
    </xdr:from>
    <xdr:to>
      <xdr:col>14</xdr:col>
      <xdr:colOff>182880</xdr:colOff>
      <xdr:row>70</xdr:row>
      <xdr:rowOff>137160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9A3DEF-3187-553E-4AFB-42A190558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6060" y="11140440"/>
          <a:ext cx="4655820" cy="2796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141926</xdr:colOff>
      <xdr:row>5</xdr:row>
      <xdr:rowOff>47566</xdr:rowOff>
    </xdr:from>
    <xdr:to>
      <xdr:col>17</xdr:col>
      <xdr:colOff>246842</xdr:colOff>
      <xdr:row>17</xdr:row>
      <xdr:rowOff>149629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C29AA58B-02AB-47FC-815F-A116CDF10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188219</xdr:colOff>
      <xdr:row>21</xdr:row>
      <xdr:rowOff>171796</xdr:rowOff>
    </xdr:from>
    <xdr:to>
      <xdr:col>17</xdr:col>
      <xdr:colOff>384694</xdr:colOff>
      <xdr:row>35</xdr:row>
      <xdr:rowOff>7850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AA621E87-BD49-49BF-BA83-7F1394BA6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455756</xdr:colOff>
      <xdr:row>41</xdr:row>
      <xdr:rowOff>173182</xdr:rowOff>
    </xdr:from>
    <xdr:to>
      <xdr:col>14</xdr:col>
      <xdr:colOff>369454</xdr:colOff>
      <xdr:row>55</xdr:row>
      <xdr:rowOff>127000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79B8030B-3FDF-493F-BE2E-66BAD396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555656</xdr:colOff>
      <xdr:row>5</xdr:row>
      <xdr:rowOff>38743</xdr:rowOff>
    </xdr:from>
    <xdr:to>
      <xdr:col>27</xdr:col>
      <xdr:colOff>258156</xdr:colOff>
      <xdr:row>17</xdr:row>
      <xdr:rowOff>145703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9BB9F8-2343-4B57-82EB-A3673F9FE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36136</xdr:colOff>
      <xdr:row>21</xdr:row>
      <xdr:rowOff>133235</xdr:rowOff>
    </xdr:from>
    <xdr:to>
      <xdr:col>27</xdr:col>
      <xdr:colOff>212205</xdr:colOff>
      <xdr:row>35</xdr:row>
      <xdr:rowOff>23553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57F535-C3D6-4461-82BF-DF750CDD7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42</xdr:row>
      <xdr:rowOff>2062</xdr:rowOff>
    </xdr:from>
    <xdr:to>
      <xdr:col>24</xdr:col>
      <xdr:colOff>288636</xdr:colOff>
      <xdr:row>55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4F11ED-EA02-4453-A138-5673DF32B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106680</xdr:colOff>
      <xdr:row>68</xdr:row>
      <xdr:rowOff>152400</xdr:rowOff>
    </xdr:from>
    <xdr:to>
      <xdr:col>4</xdr:col>
      <xdr:colOff>1313763</xdr:colOff>
      <xdr:row>71</xdr:row>
      <xdr:rowOff>88753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17B3E9-F562-44D2-A374-D4A5BE0AA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" y="14142720"/>
          <a:ext cx="4369383" cy="507853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71</xdr:row>
      <xdr:rowOff>117662</xdr:rowOff>
    </xdr:from>
    <xdr:to>
      <xdr:col>3</xdr:col>
      <xdr:colOff>457646</xdr:colOff>
      <xdr:row>74</xdr:row>
      <xdr:rowOff>43926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7B4811-09D5-4561-9BA4-029FEBE28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4679482"/>
          <a:ext cx="2542986" cy="4977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141926</xdr:colOff>
      <xdr:row>5</xdr:row>
      <xdr:rowOff>47566</xdr:rowOff>
    </xdr:from>
    <xdr:to>
      <xdr:col>17</xdr:col>
      <xdr:colOff>246842</xdr:colOff>
      <xdr:row>18</xdr:row>
      <xdr:rowOff>149629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B194422-B146-8A4F-B805-4A5F1848C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188219</xdr:colOff>
      <xdr:row>22</xdr:row>
      <xdr:rowOff>171796</xdr:rowOff>
    </xdr:from>
    <xdr:to>
      <xdr:col>17</xdr:col>
      <xdr:colOff>384694</xdr:colOff>
      <xdr:row>36</xdr:row>
      <xdr:rowOff>7850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AEBD3F69-B138-7643-9A7F-12D9F6D73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362622</xdr:colOff>
      <xdr:row>43</xdr:row>
      <xdr:rowOff>20782</xdr:rowOff>
    </xdr:from>
    <xdr:to>
      <xdr:col>16</xdr:col>
      <xdr:colOff>589587</xdr:colOff>
      <xdr:row>55</xdr:row>
      <xdr:rowOff>177800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A957B7A2-A010-DA4F-BC2E-3470EFF65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555656</xdr:colOff>
      <xdr:row>5</xdr:row>
      <xdr:rowOff>38743</xdr:rowOff>
    </xdr:from>
    <xdr:to>
      <xdr:col>27</xdr:col>
      <xdr:colOff>258156</xdr:colOff>
      <xdr:row>18</xdr:row>
      <xdr:rowOff>145703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92161C-216C-E84A-8AB9-45A7DFE73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36136</xdr:colOff>
      <xdr:row>22</xdr:row>
      <xdr:rowOff>133235</xdr:rowOff>
    </xdr:from>
    <xdr:to>
      <xdr:col>27</xdr:col>
      <xdr:colOff>212205</xdr:colOff>
      <xdr:row>36</xdr:row>
      <xdr:rowOff>23553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4D222E-AD7B-9644-8640-0AA2988C6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220601</xdr:colOff>
      <xdr:row>43</xdr:row>
      <xdr:rowOff>2062</xdr:rowOff>
    </xdr:from>
    <xdr:to>
      <xdr:col>24</xdr:col>
      <xdr:colOff>288636</xdr:colOff>
      <xdr:row>55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E8A5B2-763D-BD4F-BCD4-8698145EE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106680</xdr:colOff>
      <xdr:row>68</xdr:row>
      <xdr:rowOff>152400</xdr:rowOff>
    </xdr:from>
    <xdr:to>
      <xdr:col>4</xdr:col>
      <xdr:colOff>1313763</xdr:colOff>
      <xdr:row>71</xdr:row>
      <xdr:rowOff>88753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299DFD-DCD6-784C-B0CA-F9536572D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1380" y="14287500"/>
          <a:ext cx="4724983" cy="545953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71</xdr:row>
      <xdr:rowOff>117662</xdr:rowOff>
    </xdr:from>
    <xdr:to>
      <xdr:col>3</xdr:col>
      <xdr:colOff>457646</xdr:colOff>
      <xdr:row>74</xdr:row>
      <xdr:rowOff>43927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43A721-5E88-EA4A-8809-0A05ECD8F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6780" y="14862362"/>
          <a:ext cx="2789366" cy="5358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141926</xdr:colOff>
      <xdr:row>5</xdr:row>
      <xdr:rowOff>47566</xdr:rowOff>
    </xdr:from>
    <xdr:to>
      <xdr:col>17</xdr:col>
      <xdr:colOff>246842</xdr:colOff>
      <xdr:row>18</xdr:row>
      <xdr:rowOff>149629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4EA9EBC-0BEB-0649-B5AB-4AE0641EF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188219</xdr:colOff>
      <xdr:row>22</xdr:row>
      <xdr:rowOff>171796</xdr:rowOff>
    </xdr:from>
    <xdr:to>
      <xdr:col>17</xdr:col>
      <xdr:colOff>384694</xdr:colOff>
      <xdr:row>36</xdr:row>
      <xdr:rowOff>7850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80694C21-DC5B-974A-9D5B-E7ABF27B4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362622</xdr:colOff>
      <xdr:row>43</xdr:row>
      <xdr:rowOff>20782</xdr:rowOff>
    </xdr:from>
    <xdr:to>
      <xdr:col>16</xdr:col>
      <xdr:colOff>589587</xdr:colOff>
      <xdr:row>55</xdr:row>
      <xdr:rowOff>177800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A5291909-62EF-8B47-991D-EDAF58FEC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555656</xdr:colOff>
      <xdr:row>5</xdr:row>
      <xdr:rowOff>38743</xdr:rowOff>
    </xdr:from>
    <xdr:to>
      <xdr:col>27</xdr:col>
      <xdr:colOff>258156</xdr:colOff>
      <xdr:row>18</xdr:row>
      <xdr:rowOff>145703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191AB1-BA1A-104E-AB31-A4B475D95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36136</xdr:colOff>
      <xdr:row>22</xdr:row>
      <xdr:rowOff>133235</xdr:rowOff>
    </xdr:from>
    <xdr:to>
      <xdr:col>27</xdr:col>
      <xdr:colOff>212205</xdr:colOff>
      <xdr:row>36</xdr:row>
      <xdr:rowOff>23553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5CF948-E4BF-9842-9BFB-1571CF300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464441</xdr:colOff>
      <xdr:row>43</xdr:row>
      <xdr:rowOff>2062</xdr:rowOff>
    </xdr:from>
    <xdr:to>
      <xdr:col>26</xdr:col>
      <xdr:colOff>532476</xdr:colOff>
      <xdr:row>55</xdr:row>
      <xdr:rowOff>150092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65CD8-DD66-0F42-AF7E-93B5DBC02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106680</xdr:colOff>
      <xdr:row>68</xdr:row>
      <xdr:rowOff>152400</xdr:rowOff>
    </xdr:from>
    <xdr:to>
      <xdr:col>4</xdr:col>
      <xdr:colOff>1313763</xdr:colOff>
      <xdr:row>71</xdr:row>
      <xdr:rowOff>88753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788A13-85D1-FB42-8F63-308339A12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1380" y="14287500"/>
          <a:ext cx="4724983" cy="545953"/>
        </a:xfrm>
        <a:prstGeom prst="rect">
          <a:avLst/>
        </a:prstGeom>
      </xdr:spPr>
    </xdr:pic>
    <xdr:clientData/>
  </xdr:twoCellAnchor>
  <xdr:twoCellAnchor editAs="oneCell">
    <xdr:from>
      <xdr:col>1</xdr:col>
      <xdr:colOff>132080</xdr:colOff>
      <xdr:row>71</xdr:row>
      <xdr:rowOff>117662</xdr:rowOff>
    </xdr:from>
    <xdr:to>
      <xdr:col>3</xdr:col>
      <xdr:colOff>457646</xdr:colOff>
      <xdr:row>74</xdr:row>
      <xdr:rowOff>43927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B27CB7-3F9D-DD4D-B0E4-4033C92E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6780" y="14862362"/>
          <a:ext cx="2789366" cy="5358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13</xdr:row>
      <xdr:rowOff>95250</xdr:rowOff>
    </xdr:from>
    <xdr:to>
      <xdr:col>4</xdr:col>
      <xdr:colOff>323850</xdr:colOff>
      <xdr:row>21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590800" y="2571750"/>
          <a:ext cx="2000250" cy="1476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504825</xdr:colOff>
      <xdr:row>5</xdr:row>
      <xdr:rowOff>161925</xdr:rowOff>
    </xdr:from>
    <xdr:to>
      <xdr:col>2</xdr:col>
      <xdr:colOff>95250</xdr:colOff>
      <xdr:row>13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943225" y="1114425"/>
          <a:ext cx="200025" cy="15049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463817</xdr:colOff>
      <xdr:row>5</xdr:row>
      <xdr:rowOff>170542</xdr:rowOff>
    </xdr:from>
    <xdr:to>
      <xdr:col>3</xdr:col>
      <xdr:colOff>54242</xdr:colOff>
      <xdr:row>13</xdr:row>
      <xdr:rowOff>151492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665088" y="1111836"/>
          <a:ext cx="191060" cy="1487021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435881</xdr:colOff>
      <xdr:row>12</xdr:row>
      <xdr:rowOff>139700</xdr:rowOff>
    </xdr:from>
    <xdr:to>
      <xdr:col>4</xdr:col>
      <xdr:colOff>28120</xdr:colOff>
      <xdr:row>20</xdr:row>
      <xdr:rowOff>120650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259238" y="2534557"/>
          <a:ext cx="200025" cy="157752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424732</xdr:colOff>
      <xdr:row>13</xdr:row>
      <xdr:rowOff>152400</xdr:rowOff>
    </xdr:from>
    <xdr:to>
      <xdr:col>4</xdr:col>
      <xdr:colOff>7258</xdr:colOff>
      <xdr:row>20</xdr:row>
      <xdr:rowOff>116114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220875" y="2699657"/>
          <a:ext cx="181240" cy="133531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108857</xdr:colOff>
      <xdr:row>13</xdr:row>
      <xdr:rowOff>10886</xdr:rowOff>
    </xdr:from>
    <xdr:to>
      <xdr:col>10</xdr:col>
      <xdr:colOff>280306</xdr:colOff>
      <xdr:row>20</xdr:row>
      <xdr:rowOff>153761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232071" y="2487386"/>
          <a:ext cx="2008414" cy="1476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461282</xdr:colOff>
      <xdr:row>5</xdr:row>
      <xdr:rowOff>77561</xdr:rowOff>
    </xdr:from>
    <xdr:to>
      <xdr:col>8</xdr:col>
      <xdr:colOff>48985</xdr:colOff>
      <xdr:row>13</xdr:row>
      <xdr:rowOff>58511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584496" y="1030061"/>
          <a:ext cx="200025" cy="15049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375557</xdr:colOff>
      <xdr:row>5</xdr:row>
      <xdr:rowOff>68036</xdr:rowOff>
    </xdr:from>
    <xdr:to>
      <xdr:col>8</xdr:col>
      <xdr:colOff>575582</xdr:colOff>
      <xdr:row>13</xdr:row>
      <xdr:rowOff>48986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7111093" y="1020536"/>
          <a:ext cx="200025" cy="15049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283678</xdr:colOff>
      <xdr:row>12</xdr:row>
      <xdr:rowOff>171094</xdr:rowOff>
    </xdr:from>
    <xdr:to>
      <xdr:col>9</xdr:col>
      <xdr:colOff>483703</xdr:colOff>
      <xdr:row>20</xdr:row>
      <xdr:rowOff>152044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799895" y="2457094"/>
          <a:ext cx="200025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855869</xdr:colOff>
      <xdr:row>12</xdr:row>
      <xdr:rowOff>146957</xdr:rowOff>
    </xdr:from>
    <xdr:to>
      <xdr:col>15</xdr:col>
      <xdr:colOff>579664</xdr:colOff>
      <xdr:row>20</xdr:row>
      <xdr:rowOff>99332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459304" y="2333566"/>
          <a:ext cx="2197534" cy="14101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1164318</xdr:colOff>
      <xdr:row>5</xdr:row>
      <xdr:rowOff>3807</xdr:rowOff>
    </xdr:from>
    <xdr:to>
      <xdr:col>13</xdr:col>
      <xdr:colOff>108108</xdr:colOff>
      <xdr:row>12</xdr:row>
      <xdr:rowOff>166974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8767753" y="914894"/>
          <a:ext cx="202746" cy="143868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373783</xdr:colOff>
      <xdr:row>12</xdr:row>
      <xdr:rowOff>160919</xdr:rowOff>
    </xdr:from>
    <xdr:to>
      <xdr:col>13</xdr:col>
      <xdr:colOff>576530</xdr:colOff>
      <xdr:row>20</xdr:row>
      <xdr:rowOff>141869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9203044" y="2446919"/>
          <a:ext cx="202747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545172</xdr:colOff>
      <xdr:row>12</xdr:row>
      <xdr:rowOff>155121</xdr:rowOff>
    </xdr:from>
    <xdr:to>
      <xdr:col>15</xdr:col>
      <xdr:colOff>132284</xdr:colOff>
      <xdr:row>20</xdr:row>
      <xdr:rowOff>136071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9987346" y="2441121"/>
          <a:ext cx="200025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544285</xdr:colOff>
      <xdr:row>12</xdr:row>
      <xdr:rowOff>119743</xdr:rowOff>
    </xdr:from>
    <xdr:to>
      <xdr:col>21</xdr:col>
      <xdr:colOff>103414</xdr:colOff>
      <xdr:row>20</xdr:row>
      <xdr:rowOff>72118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2790714" y="2405743"/>
          <a:ext cx="2008414" cy="1476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379639</xdr:colOff>
      <xdr:row>12</xdr:row>
      <xdr:rowOff>77561</xdr:rowOff>
    </xdr:from>
    <xdr:to>
      <xdr:col>18</xdr:col>
      <xdr:colOff>582385</xdr:colOff>
      <xdr:row>20</xdr:row>
      <xdr:rowOff>58511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3238389" y="2363561"/>
          <a:ext cx="202746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307521</xdr:colOff>
      <xdr:row>12</xdr:row>
      <xdr:rowOff>81643</xdr:rowOff>
    </xdr:from>
    <xdr:to>
      <xdr:col>19</xdr:col>
      <xdr:colOff>510268</xdr:colOff>
      <xdr:row>20</xdr:row>
      <xdr:rowOff>62593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3778592" y="2367643"/>
          <a:ext cx="202747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210910</xdr:colOff>
      <xdr:row>12</xdr:row>
      <xdr:rowOff>100693</xdr:rowOff>
    </xdr:from>
    <xdr:to>
      <xdr:col>20</xdr:col>
      <xdr:colOff>410935</xdr:colOff>
      <xdr:row>20</xdr:row>
      <xdr:rowOff>81643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4294303" y="2386693"/>
          <a:ext cx="200025" cy="1504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102335</xdr:colOff>
      <xdr:row>23</xdr:row>
      <xdr:rowOff>140608</xdr:rowOff>
    </xdr:from>
    <xdr:to>
      <xdr:col>6</xdr:col>
      <xdr:colOff>504652</xdr:colOff>
      <xdr:row>26</xdr:row>
      <xdr:rowOff>61268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0121" y="4730751"/>
          <a:ext cx="3441245" cy="519374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1</xdr:col>
      <xdr:colOff>95250</xdr:colOff>
      <xdr:row>27</xdr:row>
      <xdr:rowOff>66477</xdr:rowOff>
    </xdr:from>
    <xdr:to>
      <xdr:col>5</xdr:col>
      <xdr:colOff>216126</xdr:colOff>
      <xdr:row>30</xdr:row>
      <xdr:rowOff>49468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3036" y="5454906"/>
          <a:ext cx="2552019" cy="581705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0DEE-28E4-429F-AB77-EA37AFA9B724}">
  <dimension ref="A2:G104"/>
  <sheetViews>
    <sheetView zoomScaleNormal="100" workbookViewId="0">
      <selection activeCell="H4" sqref="H4"/>
    </sheetView>
  </sheetViews>
  <sheetFormatPr defaultColWidth="8.85546875" defaultRowHeight="15" x14ac:dyDescent="0.25"/>
  <cols>
    <col min="1" max="1" width="15.140625" customWidth="1"/>
    <col min="2" max="3" width="13.85546875" customWidth="1"/>
    <col min="4" max="4" width="12.85546875" style="7" customWidth="1"/>
    <col min="5" max="5" width="11" customWidth="1"/>
  </cols>
  <sheetData>
    <row r="2" spans="1:5" ht="23.25" x14ac:dyDescent="0.35">
      <c r="A2" s="1" t="s">
        <v>0</v>
      </c>
    </row>
    <row r="3" spans="1:5" ht="18" x14ac:dyDescent="0.25">
      <c r="B3" s="2" t="s">
        <v>29</v>
      </c>
    </row>
    <row r="4" spans="1:5" ht="18" x14ac:dyDescent="0.25">
      <c r="B4" s="2"/>
    </row>
    <row r="5" spans="1:5" x14ac:dyDescent="0.25">
      <c r="A5" t="s">
        <v>1</v>
      </c>
      <c r="E5" s="3" t="s">
        <v>9</v>
      </c>
    </row>
    <row r="7" spans="1:5" x14ac:dyDescent="0.25">
      <c r="B7" s="5" t="s">
        <v>2</v>
      </c>
      <c r="C7" s="5" t="s">
        <v>3</v>
      </c>
      <c r="D7" s="8" t="s">
        <v>4</v>
      </c>
      <c r="E7" s="5" t="s">
        <v>5</v>
      </c>
    </row>
    <row r="8" spans="1:5" x14ac:dyDescent="0.25">
      <c r="B8" s="5" t="s">
        <v>6</v>
      </c>
      <c r="C8" s="5" t="s">
        <v>17</v>
      </c>
      <c r="D8" s="9" t="s">
        <v>19</v>
      </c>
      <c r="E8" s="6" t="s">
        <v>20</v>
      </c>
    </row>
    <row r="9" spans="1:5" x14ac:dyDescent="0.25">
      <c r="B9" s="13">
        <v>0</v>
      </c>
      <c r="C9" s="13">
        <v>0</v>
      </c>
      <c r="D9" s="13">
        <v>0</v>
      </c>
      <c r="E9" s="13">
        <v>0</v>
      </c>
    </row>
    <row r="10" spans="1:5" x14ac:dyDescent="0.25">
      <c r="B10" s="13">
        <v>14</v>
      </c>
      <c r="C10" s="13">
        <v>26.37</v>
      </c>
      <c r="D10" s="13">
        <f t="shared" ref="D10:D25" si="0">C10/(B10-B9)</f>
        <v>1.8835714285714287</v>
      </c>
      <c r="E10" s="13">
        <f t="shared" ref="E10:E25" si="1">E9+C10</f>
        <v>26.37</v>
      </c>
    </row>
    <row r="11" spans="1:5" x14ac:dyDescent="0.25">
      <c r="B11" s="13">
        <v>20</v>
      </c>
      <c r="C11" s="13">
        <v>13.67</v>
      </c>
      <c r="D11" s="13">
        <f t="shared" si="0"/>
        <v>2.2783333333333333</v>
      </c>
      <c r="E11" s="13">
        <f t="shared" si="1"/>
        <v>40.04</v>
      </c>
    </row>
    <row r="12" spans="1:5" x14ac:dyDescent="0.25">
      <c r="B12" s="13">
        <v>25</v>
      </c>
      <c r="C12" s="13">
        <v>13.37</v>
      </c>
      <c r="D12" s="13">
        <f t="shared" si="0"/>
        <v>2.6739999999999999</v>
      </c>
      <c r="E12" s="13">
        <f t="shared" si="1"/>
        <v>53.41</v>
      </c>
    </row>
    <row r="13" spans="1:5" x14ac:dyDescent="0.25">
      <c r="B13" s="13">
        <v>30</v>
      </c>
      <c r="C13" s="13">
        <v>14.07</v>
      </c>
      <c r="D13" s="13">
        <f t="shared" si="0"/>
        <v>2.8140000000000001</v>
      </c>
      <c r="E13" s="13">
        <f t="shared" si="1"/>
        <v>67.47999999999999</v>
      </c>
    </row>
    <row r="14" spans="1:5" x14ac:dyDescent="0.25">
      <c r="B14" s="13">
        <v>35.5</v>
      </c>
      <c r="C14" s="13">
        <v>14.07</v>
      </c>
      <c r="D14" s="13">
        <f t="shared" si="0"/>
        <v>2.5581818181818181</v>
      </c>
      <c r="E14" s="13">
        <f t="shared" si="1"/>
        <v>81.549999999999983</v>
      </c>
    </row>
    <row r="15" spans="1:5" x14ac:dyDescent="0.25">
      <c r="B15" s="13">
        <v>40</v>
      </c>
      <c r="C15" s="13">
        <v>13.67</v>
      </c>
      <c r="D15" s="13">
        <f t="shared" si="0"/>
        <v>3.0377777777777779</v>
      </c>
      <c r="E15" s="13">
        <f t="shared" si="1"/>
        <v>95.219999999999985</v>
      </c>
    </row>
    <row r="16" spans="1:5" x14ac:dyDescent="0.25">
      <c r="B16" s="13">
        <v>45.5</v>
      </c>
      <c r="C16" s="13">
        <v>15.37</v>
      </c>
      <c r="D16" s="13">
        <f t="shared" si="0"/>
        <v>2.7945454545454544</v>
      </c>
      <c r="E16" s="13">
        <f t="shared" si="1"/>
        <v>110.58999999999999</v>
      </c>
    </row>
    <row r="17" spans="2:5" x14ac:dyDescent="0.25">
      <c r="B17" s="13">
        <v>50.2</v>
      </c>
      <c r="C17" s="13">
        <v>13.57</v>
      </c>
      <c r="D17" s="13">
        <f t="shared" si="0"/>
        <v>2.8872340425531897</v>
      </c>
      <c r="E17" s="13">
        <f t="shared" si="1"/>
        <v>124.16</v>
      </c>
    </row>
    <row r="18" spans="2:5" x14ac:dyDescent="0.25">
      <c r="B18" s="13">
        <v>55.2</v>
      </c>
      <c r="C18" s="13">
        <v>12.37</v>
      </c>
      <c r="D18" s="13">
        <f t="shared" si="0"/>
        <v>2.4739999999999998</v>
      </c>
      <c r="E18" s="13">
        <f t="shared" si="1"/>
        <v>136.53</v>
      </c>
    </row>
    <row r="19" spans="2:5" x14ac:dyDescent="0.25">
      <c r="B19" s="15">
        <v>60.4</v>
      </c>
      <c r="C19" s="15">
        <v>12.67</v>
      </c>
      <c r="D19" s="13">
        <f t="shared" si="0"/>
        <v>2.4365384615384635</v>
      </c>
      <c r="E19" s="13">
        <f t="shared" si="1"/>
        <v>149.19999999999999</v>
      </c>
    </row>
    <row r="20" spans="2:5" x14ac:dyDescent="0.25">
      <c r="B20" s="13">
        <v>65</v>
      </c>
      <c r="C20" s="13">
        <v>8.3699999999999992</v>
      </c>
      <c r="D20" s="13">
        <f t="shared" si="0"/>
        <v>1.8195652173913037</v>
      </c>
      <c r="E20" s="13">
        <f t="shared" si="1"/>
        <v>157.57</v>
      </c>
    </row>
    <row r="21" spans="2:5" x14ac:dyDescent="0.25">
      <c r="B21" s="13">
        <v>70</v>
      </c>
      <c r="C21" s="13">
        <v>8.3699999999999992</v>
      </c>
      <c r="D21" s="13">
        <f t="shared" si="0"/>
        <v>1.6739999999999999</v>
      </c>
      <c r="E21" s="13">
        <f t="shared" si="1"/>
        <v>165.94</v>
      </c>
    </row>
    <row r="22" spans="2:5" x14ac:dyDescent="0.25">
      <c r="B22" s="13">
        <v>75.8</v>
      </c>
      <c r="C22" s="13">
        <v>6.37</v>
      </c>
      <c r="D22" s="13">
        <f t="shared" si="0"/>
        <v>1.0982758620689661</v>
      </c>
      <c r="E22" s="13">
        <f t="shared" si="1"/>
        <v>172.31</v>
      </c>
    </row>
    <row r="23" spans="2:5" x14ac:dyDescent="0.25">
      <c r="B23" s="13">
        <v>80.2</v>
      </c>
      <c r="C23" s="13">
        <v>4.87</v>
      </c>
      <c r="D23" s="13">
        <f t="shared" si="0"/>
        <v>1.1068181818181804</v>
      </c>
      <c r="E23" s="13">
        <f t="shared" si="1"/>
        <v>177.18</v>
      </c>
    </row>
    <row r="24" spans="2:5" x14ac:dyDescent="0.25">
      <c r="B24" s="13">
        <v>85.5</v>
      </c>
      <c r="C24" s="13">
        <v>2.67</v>
      </c>
      <c r="D24" s="13">
        <f t="shared" si="0"/>
        <v>0.5037735849056606</v>
      </c>
      <c r="E24" s="13">
        <f t="shared" si="1"/>
        <v>179.85</v>
      </c>
    </row>
    <row r="25" spans="2:5" x14ac:dyDescent="0.25">
      <c r="B25" s="13">
        <v>100</v>
      </c>
      <c r="C25" s="13">
        <v>3.07</v>
      </c>
      <c r="D25" s="13">
        <f t="shared" si="0"/>
        <v>0.21172413793103448</v>
      </c>
      <c r="E25" s="13">
        <f t="shared" si="1"/>
        <v>182.92</v>
      </c>
    </row>
    <row r="26" spans="2:5" x14ac:dyDescent="0.25">
      <c r="C26" s="4">
        <f>SUM(C9:C25)</f>
        <v>182.92</v>
      </c>
      <c r="D26" s="7" t="s">
        <v>17</v>
      </c>
      <c r="E26" s="11">
        <f>C26-C10</f>
        <v>156.54999999999998</v>
      </c>
    </row>
    <row r="27" spans="2:5" x14ac:dyDescent="0.25">
      <c r="C27" s="4">
        <f>C26/100</f>
        <v>1.8291999999999999</v>
      </c>
      <c r="D27" s="7" t="s">
        <v>18</v>
      </c>
    </row>
    <row r="35" spans="1:5" x14ac:dyDescent="0.25">
      <c r="A35" t="s">
        <v>11</v>
      </c>
      <c r="E35" s="3" t="s">
        <v>9</v>
      </c>
    </row>
    <row r="37" spans="1:5" x14ac:dyDescent="0.25">
      <c r="B37" s="5" t="s">
        <v>2</v>
      </c>
      <c r="C37" s="5" t="s">
        <v>3</v>
      </c>
      <c r="D37" s="9" t="s">
        <v>4</v>
      </c>
      <c r="E37" s="6" t="s">
        <v>5</v>
      </c>
    </row>
    <row r="38" spans="1:5" x14ac:dyDescent="0.25">
      <c r="B38" s="5" t="s">
        <v>6</v>
      </c>
      <c r="C38" s="5" t="s">
        <v>17</v>
      </c>
      <c r="D38" s="9" t="s">
        <v>19</v>
      </c>
      <c r="E38" s="6" t="s">
        <v>20</v>
      </c>
    </row>
    <row r="39" spans="1:5" x14ac:dyDescent="0.25">
      <c r="B39" s="13">
        <v>0</v>
      </c>
      <c r="C39" s="13">
        <v>0</v>
      </c>
      <c r="D39" s="13">
        <v>0</v>
      </c>
      <c r="E39" s="13">
        <v>0</v>
      </c>
    </row>
    <row r="40" spans="1:5" x14ac:dyDescent="0.25">
      <c r="B40" s="13">
        <v>42.5</v>
      </c>
      <c r="C40" s="13">
        <v>182</v>
      </c>
      <c r="D40" s="13">
        <f>C40/(B40-B39)</f>
        <v>4.2823529411764705</v>
      </c>
      <c r="E40" s="13">
        <f>E39+C40</f>
        <v>182</v>
      </c>
    </row>
    <row r="41" spans="1:5" x14ac:dyDescent="0.25">
      <c r="B41" s="13">
        <v>47.5</v>
      </c>
      <c r="C41" s="13">
        <v>25.87</v>
      </c>
      <c r="D41" s="13">
        <f>C41/(B41-B40)</f>
        <v>5.1740000000000004</v>
      </c>
      <c r="E41" s="13">
        <f>E40+C41</f>
        <v>207.87</v>
      </c>
    </row>
    <row r="42" spans="1:5" x14ac:dyDescent="0.25">
      <c r="B42" s="13">
        <v>52</v>
      </c>
      <c r="C42" s="13">
        <v>21.07</v>
      </c>
      <c r="D42" s="13">
        <f t="shared" ref="D42:D51" si="2">C42/(B42-B41)</f>
        <v>4.6822222222222223</v>
      </c>
      <c r="E42" s="13">
        <f t="shared" ref="E42:E50" si="3">E41+C42</f>
        <v>228.94</v>
      </c>
    </row>
    <row r="43" spans="1:5" x14ac:dyDescent="0.25">
      <c r="B43" s="13">
        <v>57</v>
      </c>
      <c r="C43" s="13">
        <v>20.57</v>
      </c>
      <c r="D43" s="13">
        <f t="shared" si="2"/>
        <v>4.1139999999999999</v>
      </c>
      <c r="E43" s="13">
        <f t="shared" si="3"/>
        <v>249.51</v>
      </c>
    </row>
    <row r="44" spans="1:5" x14ac:dyDescent="0.25">
      <c r="B44" s="13">
        <v>62.4</v>
      </c>
      <c r="C44" s="13">
        <v>21.07</v>
      </c>
      <c r="D44" s="13">
        <f t="shared" si="2"/>
        <v>3.9018518518518528</v>
      </c>
      <c r="E44" s="13">
        <f t="shared" si="3"/>
        <v>270.58</v>
      </c>
    </row>
    <row r="45" spans="1:5" x14ac:dyDescent="0.25">
      <c r="B45" s="13">
        <v>67.400000000000006</v>
      </c>
      <c r="C45" s="13">
        <v>17.87</v>
      </c>
      <c r="D45" s="13">
        <f t="shared" si="2"/>
        <v>3.573999999999995</v>
      </c>
      <c r="E45" s="13">
        <f t="shared" si="3"/>
        <v>288.45</v>
      </c>
    </row>
    <row r="46" spans="1:5" x14ac:dyDescent="0.25">
      <c r="B46" s="13">
        <v>72</v>
      </c>
      <c r="C46" s="13">
        <v>14.57</v>
      </c>
      <c r="D46" s="13">
        <f t="shared" si="2"/>
        <v>3.1673913043478299</v>
      </c>
      <c r="E46" s="13">
        <f t="shared" si="3"/>
        <v>303.02</v>
      </c>
    </row>
    <row r="47" spans="1:5" x14ac:dyDescent="0.25">
      <c r="B47" s="13">
        <v>77.900000000000006</v>
      </c>
      <c r="C47" s="13">
        <v>11.47</v>
      </c>
      <c r="D47" s="13">
        <f t="shared" si="2"/>
        <v>1.9440677966101678</v>
      </c>
      <c r="E47" s="13">
        <f t="shared" si="3"/>
        <v>314.49</v>
      </c>
    </row>
    <row r="48" spans="1:5" x14ac:dyDescent="0.25">
      <c r="B48" s="13">
        <v>81.7</v>
      </c>
      <c r="C48" s="13">
        <v>6.37</v>
      </c>
      <c r="D48" s="13">
        <f t="shared" si="2"/>
        <v>1.6763157894736855</v>
      </c>
      <c r="E48" s="13">
        <f t="shared" si="3"/>
        <v>320.86</v>
      </c>
    </row>
    <row r="49" spans="1:5" x14ac:dyDescent="0.25">
      <c r="B49" s="13">
        <v>87.6</v>
      </c>
      <c r="C49" s="13">
        <v>6.87</v>
      </c>
      <c r="D49" s="13">
        <f t="shared" si="2"/>
        <v>1.1644067796610187</v>
      </c>
      <c r="E49" s="13">
        <f t="shared" si="3"/>
        <v>327.73</v>
      </c>
    </row>
    <row r="50" spans="1:5" x14ac:dyDescent="0.25">
      <c r="B50" s="13">
        <v>92.8</v>
      </c>
      <c r="C50" s="13">
        <v>3.07</v>
      </c>
      <c r="D50" s="13">
        <f t="shared" si="2"/>
        <v>0.59038461538461506</v>
      </c>
      <c r="E50" s="13">
        <f t="shared" si="3"/>
        <v>330.8</v>
      </c>
    </row>
    <row r="51" spans="1:5" x14ac:dyDescent="0.25">
      <c r="B51" s="13">
        <v>100</v>
      </c>
      <c r="C51" s="13">
        <v>1</v>
      </c>
      <c r="D51" s="13">
        <f t="shared" si="2"/>
        <v>0.13888888888888884</v>
      </c>
      <c r="E51" s="13">
        <f>E50+C51</f>
        <v>331.8</v>
      </c>
    </row>
    <row r="52" spans="1:5" x14ac:dyDescent="0.25">
      <c r="C52" s="11">
        <f>SUM(C40:C51)</f>
        <v>331.8</v>
      </c>
      <c r="D52" s="7" t="s">
        <v>17</v>
      </c>
      <c r="E52" s="16">
        <f>E51-C40</f>
        <v>149.80000000000001</v>
      </c>
    </row>
    <row r="53" spans="1:5" x14ac:dyDescent="0.25">
      <c r="C53">
        <f>C52/100</f>
        <v>3.3180000000000001</v>
      </c>
      <c r="D53" s="7" t="s">
        <v>18</v>
      </c>
    </row>
    <row r="58" spans="1:5" x14ac:dyDescent="0.25">
      <c r="E58" s="3" t="s">
        <v>9</v>
      </c>
    </row>
    <row r="59" spans="1:5" x14ac:dyDescent="0.25">
      <c r="E59" s="3"/>
    </row>
    <row r="60" spans="1:5" x14ac:dyDescent="0.25">
      <c r="A60" t="s">
        <v>10</v>
      </c>
      <c r="E60" s="3"/>
    </row>
    <row r="62" spans="1:5" x14ac:dyDescent="0.25">
      <c r="B62" s="5" t="s">
        <v>2</v>
      </c>
      <c r="C62" s="5" t="s">
        <v>3</v>
      </c>
      <c r="D62" s="9" t="s">
        <v>4</v>
      </c>
      <c r="E62" s="6" t="s">
        <v>5</v>
      </c>
    </row>
    <row r="63" spans="1:5" x14ac:dyDescent="0.25">
      <c r="B63" s="5" t="s">
        <v>6</v>
      </c>
      <c r="C63" s="5" t="s">
        <v>17</v>
      </c>
      <c r="D63" s="9" t="s">
        <v>19</v>
      </c>
      <c r="E63" s="6" t="s">
        <v>20</v>
      </c>
    </row>
    <row r="64" spans="1:5" x14ac:dyDescent="0.25">
      <c r="B64" s="13">
        <v>0</v>
      </c>
      <c r="C64" s="13">
        <v>0</v>
      </c>
      <c r="D64" s="14">
        <v>0</v>
      </c>
      <c r="E64" s="14">
        <v>0</v>
      </c>
    </row>
    <row r="65" spans="1:5" x14ac:dyDescent="0.25">
      <c r="B65" s="13">
        <v>40</v>
      </c>
      <c r="C65" s="17">
        <v>152</v>
      </c>
      <c r="D65" s="14">
        <f>C65/(B65-B64)</f>
        <v>3.8</v>
      </c>
      <c r="E65" s="14">
        <f>E64+C65</f>
        <v>152</v>
      </c>
    </row>
    <row r="66" spans="1:5" x14ac:dyDescent="0.25">
      <c r="B66" s="13">
        <v>44.6</v>
      </c>
      <c r="C66" s="13">
        <v>24.97</v>
      </c>
      <c r="D66" s="14">
        <f t="shared" ref="D66:D75" si="4">C66/(B66-B65)</f>
        <v>5.4282608695652153</v>
      </c>
      <c r="E66" s="14">
        <f t="shared" ref="E66:E74" si="5">E65+C66</f>
        <v>176.97</v>
      </c>
    </row>
    <row r="67" spans="1:5" x14ac:dyDescent="0.25">
      <c r="B67" s="13">
        <v>49</v>
      </c>
      <c r="C67" s="13">
        <v>20.77</v>
      </c>
      <c r="D67" s="14">
        <f t="shared" si="4"/>
        <v>4.7204545454545466</v>
      </c>
      <c r="E67" s="14">
        <f t="shared" si="5"/>
        <v>197.74</v>
      </c>
    </row>
    <row r="68" spans="1:5" x14ac:dyDescent="0.25">
      <c r="B68" s="13">
        <v>54</v>
      </c>
      <c r="C68" s="13">
        <v>20.47</v>
      </c>
      <c r="D68" s="14">
        <f t="shared" si="4"/>
        <v>4.0939999999999994</v>
      </c>
      <c r="E68" s="14">
        <f t="shared" si="5"/>
        <v>218.21</v>
      </c>
    </row>
    <row r="69" spans="1:5" x14ac:dyDescent="0.25">
      <c r="B69" s="13">
        <v>59.3</v>
      </c>
      <c r="C69" s="13">
        <v>18.87</v>
      </c>
      <c r="D69" s="14">
        <f t="shared" si="4"/>
        <v>3.5603773584905682</v>
      </c>
      <c r="E69" s="14">
        <f t="shared" si="5"/>
        <v>237.08</v>
      </c>
    </row>
    <row r="70" spans="1:5" x14ac:dyDescent="0.25">
      <c r="B70" s="13">
        <v>64.8</v>
      </c>
      <c r="C70" s="13">
        <v>18.87</v>
      </c>
      <c r="D70" s="14">
        <f t="shared" si="4"/>
        <v>3.4309090909090911</v>
      </c>
      <c r="E70" s="14">
        <f t="shared" si="5"/>
        <v>255.95000000000002</v>
      </c>
    </row>
    <row r="71" spans="1:5" x14ac:dyDescent="0.25">
      <c r="B71" s="13">
        <v>69.5</v>
      </c>
      <c r="C71" s="13">
        <v>13.27</v>
      </c>
      <c r="D71" s="14">
        <f t="shared" si="4"/>
        <v>2.8234042553191472</v>
      </c>
      <c r="E71" s="14">
        <f t="shared" si="5"/>
        <v>269.22000000000003</v>
      </c>
    </row>
    <row r="72" spans="1:5" x14ac:dyDescent="0.25">
      <c r="B72" s="13">
        <v>74</v>
      </c>
      <c r="C72" s="13">
        <v>10.57</v>
      </c>
      <c r="D72" s="14">
        <f t="shared" si="4"/>
        <v>2.3488888888888888</v>
      </c>
      <c r="E72" s="14">
        <f t="shared" si="5"/>
        <v>279.79000000000002</v>
      </c>
    </row>
    <row r="73" spans="1:5" x14ac:dyDescent="0.25">
      <c r="B73" s="13">
        <v>79.599999999999994</v>
      </c>
      <c r="C73" s="13">
        <v>10.57</v>
      </c>
      <c r="D73" s="14">
        <f t="shared" si="4"/>
        <v>1.887500000000002</v>
      </c>
      <c r="E73" s="14">
        <f t="shared" si="5"/>
        <v>290.36</v>
      </c>
    </row>
    <row r="74" spans="1:5" x14ac:dyDescent="0.25">
      <c r="B74" s="13">
        <v>84.9</v>
      </c>
      <c r="C74" s="13">
        <v>5.47</v>
      </c>
      <c r="D74" s="14">
        <f t="shared" si="4"/>
        <v>1.0320754716981109</v>
      </c>
      <c r="E74" s="14">
        <f t="shared" si="5"/>
        <v>295.83000000000004</v>
      </c>
    </row>
    <row r="75" spans="1:5" x14ac:dyDescent="0.25">
      <c r="B75" s="13">
        <v>100</v>
      </c>
      <c r="C75" s="13">
        <v>4.87</v>
      </c>
      <c r="D75" s="14">
        <f t="shared" si="4"/>
        <v>0.32251655629139087</v>
      </c>
      <c r="E75" s="14">
        <f>E74+C75</f>
        <v>300.70000000000005</v>
      </c>
    </row>
    <row r="76" spans="1:5" x14ac:dyDescent="0.25">
      <c r="C76">
        <f>SUM(C64:C75)</f>
        <v>300.70000000000005</v>
      </c>
      <c r="D76" s="7" t="s">
        <v>17</v>
      </c>
      <c r="E76" s="12">
        <f>E75-C65</f>
        <v>148.70000000000005</v>
      </c>
    </row>
    <row r="77" spans="1:5" x14ac:dyDescent="0.25">
      <c r="C77">
        <f>C76/100</f>
        <v>3.0070000000000006</v>
      </c>
      <c r="D77" s="7" t="s">
        <v>18</v>
      </c>
    </row>
    <row r="78" spans="1:5" x14ac:dyDescent="0.25">
      <c r="C78" s="4"/>
    </row>
    <row r="79" spans="1:5" x14ac:dyDescent="0.25">
      <c r="A79" t="s">
        <v>12</v>
      </c>
      <c r="B79" s="11">
        <f>C76+C52+C26</f>
        <v>815.42</v>
      </c>
      <c r="C79" s="11">
        <f>B79/100</f>
        <v>8.1541999999999994</v>
      </c>
      <c r="D79" s="7" t="s">
        <v>18</v>
      </c>
    </row>
    <row r="80" spans="1:5" x14ac:dyDescent="0.25">
      <c r="A80" t="s">
        <v>13</v>
      </c>
      <c r="B80" s="11">
        <f>C26-C10</f>
        <v>156.54999999999998</v>
      </c>
      <c r="C80" s="11">
        <f>B80/100</f>
        <v>1.5654999999999999</v>
      </c>
      <c r="D80" s="7" t="s">
        <v>24</v>
      </c>
    </row>
    <row r="81" spans="1:4" x14ac:dyDescent="0.25">
      <c r="B81" s="11">
        <f>C76-C65</f>
        <v>148.70000000000005</v>
      </c>
      <c r="C81" s="11">
        <f>B81/100</f>
        <v>1.4870000000000005</v>
      </c>
      <c r="D81" s="7" t="s">
        <v>25</v>
      </c>
    </row>
    <row r="82" spans="1:4" x14ac:dyDescent="0.25">
      <c r="B82" s="11">
        <f>C52-C40</f>
        <v>149.80000000000001</v>
      </c>
      <c r="C82" s="11">
        <f>B82/100</f>
        <v>1.4980000000000002</v>
      </c>
      <c r="D82" s="7" t="s">
        <v>26</v>
      </c>
    </row>
    <row r="83" spans="1:4" x14ac:dyDescent="0.25">
      <c r="A83" t="s">
        <v>23</v>
      </c>
      <c r="B83" s="11">
        <f>B79-B81-C52</f>
        <v>334.9199999999999</v>
      </c>
      <c r="C83" s="11">
        <f>B83/100</f>
        <v>3.3491999999999988</v>
      </c>
    </row>
    <row r="84" spans="1:4" x14ac:dyDescent="0.25">
      <c r="B84" s="11"/>
      <c r="C84" s="11"/>
    </row>
    <row r="85" spans="1:4" x14ac:dyDescent="0.25">
      <c r="A85" t="s">
        <v>28</v>
      </c>
      <c r="B85" s="11">
        <f>B79-E51</f>
        <v>483.61999999999995</v>
      </c>
      <c r="C85" s="11">
        <f>B85/100</f>
        <v>4.8361999999999998</v>
      </c>
    </row>
    <row r="98" spans="3:7" ht="15.75" x14ac:dyDescent="0.25">
      <c r="G98" s="10">
        <f>(307.57+326.7+168.75)-(326.7+168.75+158)</f>
        <v>149.56999999999994</v>
      </c>
    </row>
    <row r="99" spans="3:7" ht="15.75" x14ac:dyDescent="0.25">
      <c r="C99" s="10">
        <f>(307.57+326.7+168.75)-(326.7)-(149.57)</f>
        <v>326.75</v>
      </c>
    </row>
    <row r="101" spans="3:7" ht="15.75" x14ac:dyDescent="0.25">
      <c r="C101" s="10" t="s">
        <v>27</v>
      </c>
    </row>
    <row r="104" spans="3:7" x14ac:dyDescent="0.25">
      <c r="C104">
        <f>307.57+168.75-149.57</f>
        <v>326.75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7"/>
  <sheetViews>
    <sheetView topLeftCell="A55" zoomScaleNormal="100" workbookViewId="0">
      <selection activeCell="E77" sqref="E77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13.85546875" style="20" customWidth="1"/>
    <col min="6" max="6" width="13" style="18" customWidth="1"/>
    <col min="7" max="16384" width="8.85546875" style="18"/>
  </cols>
  <sheetData>
    <row r="2" spans="1:6" ht="18" x14ac:dyDescent="0.25">
      <c r="B2" s="27" t="s">
        <v>0</v>
      </c>
      <c r="C2" s="28"/>
      <c r="D2" s="28"/>
    </row>
    <row r="3" spans="1:6" x14ac:dyDescent="0.2">
      <c r="B3" s="19" t="s">
        <v>30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31</v>
      </c>
      <c r="C6" s="47"/>
      <c r="D6" s="47"/>
      <c r="E6" s="47"/>
    </row>
    <row r="7" spans="1:6" ht="15.75" x14ac:dyDescent="0.2">
      <c r="B7" s="34" t="s">
        <v>2</v>
      </c>
      <c r="C7" s="34" t="s">
        <v>3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16.899999999999999</v>
      </c>
      <c r="C10" s="39">
        <v>27.53</v>
      </c>
      <c r="D10" s="22">
        <f t="shared" ref="D10:D26" si="0">C10/(B10-B9)</f>
        <v>1.6289940828402369</v>
      </c>
      <c r="E10" s="23">
        <f t="shared" ref="E10:E25" si="1">E9+C10</f>
        <v>27.53</v>
      </c>
    </row>
    <row r="11" spans="1:6" x14ac:dyDescent="0.2">
      <c r="B11" s="21">
        <v>22.3</v>
      </c>
      <c r="C11" s="21">
        <v>13.27</v>
      </c>
      <c r="D11" s="22">
        <f t="shared" si="0"/>
        <v>2.4574074074074064</v>
      </c>
      <c r="E11" s="23">
        <f t="shared" si="1"/>
        <v>40.799999999999997</v>
      </c>
    </row>
    <row r="12" spans="1:6" x14ac:dyDescent="0.2">
      <c r="B12" s="21">
        <v>27.3</v>
      </c>
      <c r="C12" s="21">
        <v>12.07</v>
      </c>
      <c r="D12" s="22">
        <f t="shared" si="0"/>
        <v>2.4140000000000001</v>
      </c>
      <c r="E12" s="23">
        <f t="shared" si="1"/>
        <v>52.87</v>
      </c>
    </row>
    <row r="13" spans="1:6" x14ac:dyDescent="0.2">
      <c r="B13" s="21">
        <v>32.299999999999997</v>
      </c>
      <c r="C13" s="21">
        <v>12.97</v>
      </c>
      <c r="D13" s="22">
        <f t="shared" si="0"/>
        <v>2.5940000000000021</v>
      </c>
      <c r="E13" s="23">
        <f t="shared" si="1"/>
        <v>65.84</v>
      </c>
    </row>
    <row r="14" spans="1:6" x14ac:dyDescent="0.2">
      <c r="B14" s="21">
        <v>37.799999999999997</v>
      </c>
      <c r="C14" s="21">
        <v>15.67</v>
      </c>
      <c r="D14" s="22">
        <f t="shared" si="0"/>
        <v>2.8490909090909091</v>
      </c>
      <c r="E14" s="23">
        <f t="shared" si="1"/>
        <v>81.510000000000005</v>
      </c>
    </row>
    <row r="15" spans="1:6" x14ac:dyDescent="0.2">
      <c r="B15" s="21">
        <v>42.1</v>
      </c>
      <c r="C15" s="21">
        <v>12.67</v>
      </c>
      <c r="D15" s="22">
        <f t="shared" si="0"/>
        <v>2.9465116279069736</v>
      </c>
      <c r="E15" s="23">
        <f t="shared" si="1"/>
        <v>94.18</v>
      </c>
    </row>
    <row r="16" spans="1:6" x14ac:dyDescent="0.2">
      <c r="B16" s="21">
        <v>47.6</v>
      </c>
      <c r="C16" s="21">
        <v>14.77</v>
      </c>
      <c r="D16" s="22">
        <f t="shared" si="0"/>
        <v>2.6854545454545455</v>
      </c>
      <c r="E16" s="23">
        <f t="shared" si="1"/>
        <v>108.95</v>
      </c>
    </row>
    <row r="17" spans="2:6" x14ac:dyDescent="0.2">
      <c r="B17" s="21">
        <v>51.9</v>
      </c>
      <c r="C17" s="21">
        <v>12.07</v>
      </c>
      <c r="D17" s="22">
        <f t="shared" si="0"/>
        <v>2.8069767441860485</v>
      </c>
      <c r="E17" s="23">
        <f t="shared" si="1"/>
        <v>121.02000000000001</v>
      </c>
    </row>
    <row r="18" spans="2:6" x14ac:dyDescent="0.2">
      <c r="B18" s="21">
        <v>57.6</v>
      </c>
      <c r="C18" s="21">
        <v>13.57</v>
      </c>
      <c r="D18" s="22">
        <f t="shared" si="0"/>
        <v>2.3807017543859637</v>
      </c>
      <c r="E18" s="23">
        <f t="shared" si="1"/>
        <v>134.59</v>
      </c>
    </row>
    <row r="19" spans="2:6" x14ac:dyDescent="0.2">
      <c r="B19" s="24">
        <v>62.5</v>
      </c>
      <c r="C19" s="24">
        <v>10.87</v>
      </c>
      <c r="D19" s="22">
        <f t="shared" si="0"/>
        <v>2.2183673469387761</v>
      </c>
      <c r="E19" s="23">
        <f t="shared" si="1"/>
        <v>145.46</v>
      </c>
    </row>
    <row r="20" spans="2:6" x14ac:dyDescent="0.2">
      <c r="B20" s="21">
        <v>67.400000000000006</v>
      </c>
      <c r="C20" s="21">
        <v>9.07</v>
      </c>
      <c r="D20" s="22">
        <f t="shared" si="0"/>
        <v>1.8510204081632633</v>
      </c>
      <c r="E20" s="23">
        <f t="shared" si="1"/>
        <v>154.53</v>
      </c>
    </row>
    <row r="21" spans="2:6" x14ac:dyDescent="0.2">
      <c r="B21" s="21">
        <v>72.7</v>
      </c>
      <c r="C21" s="21">
        <v>6.97</v>
      </c>
      <c r="D21" s="22">
        <f t="shared" si="0"/>
        <v>1.3150943396226422</v>
      </c>
      <c r="E21" s="23">
        <f t="shared" si="1"/>
        <v>161.5</v>
      </c>
    </row>
    <row r="22" spans="2:6" x14ac:dyDescent="0.2">
      <c r="B22" s="21">
        <v>77.3</v>
      </c>
      <c r="C22" s="21">
        <v>6.07</v>
      </c>
      <c r="D22" s="22">
        <f t="shared" si="0"/>
        <v>1.3195652173913059</v>
      </c>
      <c r="E22" s="23">
        <f t="shared" si="1"/>
        <v>167.57</v>
      </c>
    </row>
    <row r="23" spans="2:6" x14ac:dyDescent="0.2">
      <c r="B23" s="21">
        <v>82.3</v>
      </c>
      <c r="C23" s="21">
        <v>3.97</v>
      </c>
      <c r="D23" s="22">
        <f t="shared" si="0"/>
        <v>0.79400000000000004</v>
      </c>
      <c r="E23" s="23">
        <f t="shared" si="1"/>
        <v>171.54</v>
      </c>
    </row>
    <row r="24" spans="2:6" x14ac:dyDescent="0.2">
      <c r="B24" s="21">
        <v>87.2</v>
      </c>
      <c r="C24" s="21">
        <v>3.67</v>
      </c>
      <c r="D24" s="22">
        <f t="shared" si="0"/>
        <v>0.74897959183673379</v>
      </c>
      <c r="E24" s="23">
        <f t="shared" si="1"/>
        <v>175.20999999999998</v>
      </c>
    </row>
    <row r="25" spans="2:6" x14ac:dyDescent="0.2">
      <c r="B25" s="21">
        <v>92.7</v>
      </c>
      <c r="C25" s="21">
        <v>1.57</v>
      </c>
      <c r="D25" s="22">
        <f t="shared" si="0"/>
        <v>0.28545454545454546</v>
      </c>
      <c r="E25" s="23">
        <f t="shared" si="1"/>
        <v>176.77999999999997</v>
      </c>
    </row>
    <row r="26" spans="2:6" x14ac:dyDescent="0.2">
      <c r="B26" s="21">
        <v>100</v>
      </c>
      <c r="C26" s="21">
        <v>1.57</v>
      </c>
      <c r="D26" s="22">
        <f t="shared" si="0"/>
        <v>0.21506849315068502</v>
      </c>
      <c r="E26" s="23">
        <f>E25+C26</f>
        <v>178.34999999999997</v>
      </c>
    </row>
    <row r="27" spans="2:6" ht="15.75" x14ac:dyDescent="0.25">
      <c r="C27" s="31">
        <f>SUM(C9:C26)</f>
        <v>178.34999999999997</v>
      </c>
      <c r="D27" s="36" t="s">
        <v>17</v>
      </c>
      <c r="E27" s="30">
        <f>C27-C10</f>
        <v>150.81999999999996</v>
      </c>
    </row>
    <row r="28" spans="2:6" ht="15.75" x14ac:dyDescent="0.25">
      <c r="C28" s="31">
        <f>C27/100</f>
        <v>1.7834999999999996</v>
      </c>
      <c r="D28" s="36" t="s">
        <v>18</v>
      </c>
      <c r="E28" s="26"/>
    </row>
    <row r="32" spans="2:6" x14ac:dyDescent="0.2">
      <c r="F32" s="19"/>
    </row>
    <row r="33" spans="2:5" ht="23.1" customHeight="1" x14ac:dyDescent="0.2">
      <c r="B33" s="47" t="s">
        <v>11</v>
      </c>
      <c r="C33" s="47"/>
      <c r="D33" s="47"/>
      <c r="E33" s="47"/>
    </row>
    <row r="34" spans="2:5" ht="15.75" x14ac:dyDescent="0.2">
      <c r="B34" s="34" t="s">
        <v>2</v>
      </c>
      <c r="C34" s="34" t="s">
        <v>3</v>
      </c>
      <c r="D34" s="35" t="s">
        <v>4</v>
      </c>
      <c r="E34" s="34" t="s">
        <v>5</v>
      </c>
    </row>
    <row r="35" spans="2:5" x14ac:dyDescent="0.2">
      <c r="B35" s="32" t="s">
        <v>6</v>
      </c>
      <c r="C35" s="32" t="s">
        <v>17</v>
      </c>
      <c r="D35" s="33" t="s">
        <v>19</v>
      </c>
      <c r="E35" s="32" t="s">
        <v>20</v>
      </c>
    </row>
    <row r="36" spans="2:5" x14ac:dyDescent="0.2">
      <c r="B36" s="21">
        <v>0</v>
      </c>
      <c r="C36" s="21"/>
      <c r="D36" s="22">
        <v>0</v>
      </c>
      <c r="E36" s="23">
        <v>0</v>
      </c>
    </row>
    <row r="37" spans="2:5" x14ac:dyDescent="0.2">
      <c r="B37" s="21">
        <v>43.9</v>
      </c>
      <c r="C37" s="21">
        <v>194.3</v>
      </c>
      <c r="D37" s="22">
        <f>C37/(B37-B36)</f>
        <v>4.4259681093394079</v>
      </c>
      <c r="E37" s="23">
        <f>E36+C37</f>
        <v>194.3</v>
      </c>
    </row>
    <row r="38" spans="2:5" x14ac:dyDescent="0.2">
      <c r="B38" s="21">
        <v>48</v>
      </c>
      <c r="C38" s="21">
        <v>22.57</v>
      </c>
      <c r="D38" s="22">
        <f>C38/(B38-B37)</f>
        <v>5.504878048780486</v>
      </c>
      <c r="E38" s="23">
        <f>E37+C38</f>
        <v>216.87</v>
      </c>
    </row>
    <row r="39" spans="2:5" x14ac:dyDescent="0.2">
      <c r="B39" s="21">
        <v>52.3</v>
      </c>
      <c r="C39" s="21">
        <v>20.77</v>
      </c>
      <c r="D39" s="22">
        <f t="shared" ref="D39:D50" si="2">C39/(B39-B38)</f>
        <v>4.8302325581395378</v>
      </c>
      <c r="E39" s="23">
        <f t="shared" ref="E39:E50" si="3">E38+C39</f>
        <v>237.64000000000001</v>
      </c>
    </row>
    <row r="40" spans="2:5" x14ac:dyDescent="0.2">
      <c r="B40" s="21">
        <v>56.3</v>
      </c>
      <c r="C40" s="21">
        <v>17.170000000000002</v>
      </c>
      <c r="D40" s="22">
        <f t="shared" si="2"/>
        <v>4.2925000000000004</v>
      </c>
      <c r="E40" s="23">
        <f t="shared" si="3"/>
        <v>254.81</v>
      </c>
    </row>
    <row r="41" spans="2:5" x14ac:dyDescent="0.2">
      <c r="B41" s="21">
        <v>60.5</v>
      </c>
      <c r="C41" s="21">
        <v>18.07</v>
      </c>
      <c r="D41" s="22">
        <f t="shared" si="2"/>
        <v>4.3023809523809495</v>
      </c>
      <c r="E41" s="23">
        <f t="shared" si="3"/>
        <v>272.88</v>
      </c>
    </row>
    <row r="42" spans="2:5" x14ac:dyDescent="0.2">
      <c r="B42" s="21">
        <v>64.400000000000006</v>
      </c>
      <c r="C42" s="21">
        <v>15.37</v>
      </c>
      <c r="D42" s="22">
        <f t="shared" si="2"/>
        <v>3.941025641025635</v>
      </c>
      <c r="E42" s="23">
        <f t="shared" si="3"/>
        <v>288.25</v>
      </c>
    </row>
    <row r="43" spans="2:5" x14ac:dyDescent="0.2">
      <c r="B43" s="21">
        <v>68.3</v>
      </c>
      <c r="C43" s="21">
        <v>12.67</v>
      </c>
      <c r="D43" s="22">
        <f t="shared" si="2"/>
        <v>3.2487179487179558</v>
      </c>
      <c r="E43" s="23">
        <f t="shared" si="3"/>
        <v>300.92</v>
      </c>
    </row>
    <row r="44" spans="2:5" x14ac:dyDescent="0.2">
      <c r="B44" s="21">
        <v>72.5</v>
      </c>
      <c r="C44" s="21">
        <v>12.67</v>
      </c>
      <c r="D44" s="22">
        <f t="shared" si="2"/>
        <v>3.0166666666666644</v>
      </c>
      <c r="E44" s="23">
        <f t="shared" si="3"/>
        <v>313.59000000000003</v>
      </c>
    </row>
    <row r="45" spans="2:5" x14ac:dyDescent="0.2">
      <c r="B45" s="21">
        <v>76.900000000000006</v>
      </c>
      <c r="C45" s="21">
        <v>10.27</v>
      </c>
      <c r="D45" s="22">
        <f t="shared" si="2"/>
        <v>2.3340909090909059</v>
      </c>
      <c r="E45" s="23">
        <f t="shared" si="3"/>
        <v>323.86</v>
      </c>
    </row>
    <row r="46" spans="2:5" x14ac:dyDescent="0.2">
      <c r="B46" s="21">
        <v>80.7</v>
      </c>
      <c r="C46" s="21">
        <v>8.17</v>
      </c>
      <c r="D46" s="22">
        <f t="shared" si="2"/>
        <v>2.1500000000000017</v>
      </c>
      <c r="E46" s="23">
        <f t="shared" si="3"/>
        <v>332.03000000000003</v>
      </c>
    </row>
    <row r="47" spans="2:5" x14ac:dyDescent="0.2">
      <c r="B47" s="21">
        <v>84.6</v>
      </c>
      <c r="C47" s="21">
        <v>5.47</v>
      </c>
      <c r="D47" s="22">
        <f t="shared" si="2"/>
        <v>1.4025641025641056</v>
      </c>
      <c r="E47" s="23">
        <f t="shared" si="3"/>
        <v>337.50000000000006</v>
      </c>
    </row>
    <row r="48" spans="2:5" x14ac:dyDescent="0.2">
      <c r="B48" s="21">
        <v>88</v>
      </c>
      <c r="C48" s="21">
        <v>3.97</v>
      </c>
      <c r="D48" s="22">
        <f t="shared" si="2"/>
        <v>1.1676470588235275</v>
      </c>
      <c r="E48" s="23">
        <f t="shared" si="3"/>
        <v>341.47000000000008</v>
      </c>
    </row>
    <row r="49" spans="2:6" x14ac:dyDescent="0.2">
      <c r="B49" s="21">
        <v>93.5</v>
      </c>
      <c r="C49" s="21">
        <v>3.07</v>
      </c>
      <c r="D49" s="22">
        <f t="shared" si="2"/>
        <v>0.55818181818181811</v>
      </c>
      <c r="E49" s="23">
        <f t="shared" si="3"/>
        <v>344.54000000000008</v>
      </c>
    </row>
    <row r="50" spans="2:6" x14ac:dyDescent="0.2">
      <c r="B50" s="21">
        <v>100</v>
      </c>
      <c r="C50" s="21">
        <v>3.07</v>
      </c>
      <c r="D50" s="22">
        <f t="shared" si="2"/>
        <v>0.47230769230769226</v>
      </c>
      <c r="E50" s="23">
        <f t="shared" si="3"/>
        <v>347.61000000000007</v>
      </c>
    </row>
    <row r="51" spans="2:6" ht="15.75" x14ac:dyDescent="0.25">
      <c r="C51" s="37">
        <f>SUM(C37:C50)</f>
        <v>347.61000000000007</v>
      </c>
      <c r="D51" s="36" t="s">
        <v>17</v>
      </c>
      <c r="E51" s="37">
        <f>C51-C37</f>
        <v>153.31000000000006</v>
      </c>
    </row>
    <row r="52" spans="2:6" ht="15.75" x14ac:dyDescent="0.25">
      <c r="C52" s="30">
        <f>C51/100</f>
        <v>3.4761000000000006</v>
      </c>
      <c r="D52" s="36" t="s">
        <v>18</v>
      </c>
      <c r="E52" s="26"/>
    </row>
    <row r="53" spans="2:6" x14ac:dyDescent="0.2">
      <c r="D53" s="20"/>
      <c r="E53" s="18"/>
    </row>
    <row r="57" spans="2:6" x14ac:dyDescent="0.2">
      <c r="F57" s="19"/>
    </row>
    <row r="58" spans="2:6" x14ac:dyDescent="0.2">
      <c r="F58" s="19"/>
    </row>
    <row r="59" spans="2:6" x14ac:dyDescent="0.2">
      <c r="F59" s="19"/>
    </row>
    <row r="60" spans="2:6" ht="23.1" customHeight="1" x14ac:dyDescent="0.2">
      <c r="B60" s="47" t="s">
        <v>10</v>
      </c>
      <c r="C60" s="47"/>
      <c r="D60" s="47"/>
      <c r="E60" s="47"/>
    </row>
    <row r="61" spans="2:6" ht="15.75" x14ac:dyDescent="0.2">
      <c r="B61" s="34" t="s">
        <v>2</v>
      </c>
      <c r="C61" s="34" t="s">
        <v>3</v>
      </c>
      <c r="D61" s="35" t="s">
        <v>4</v>
      </c>
      <c r="E61" s="34" t="s">
        <v>5</v>
      </c>
    </row>
    <row r="62" spans="2:6" x14ac:dyDescent="0.2">
      <c r="B62" s="32" t="s">
        <v>6</v>
      </c>
      <c r="C62" s="32" t="s">
        <v>17</v>
      </c>
      <c r="D62" s="33" t="s">
        <v>19</v>
      </c>
      <c r="E62" s="32" t="s">
        <v>20</v>
      </c>
    </row>
    <row r="63" spans="2:6" x14ac:dyDescent="0.2">
      <c r="B63" s="21">
        <v>0</v>
      </c>
      <c r="C63" s="21">
        <v>0</v>
      </c>
      <c r="D63" s="22">
        <v>0</v>
      </c>
      <c r="E63" s="23">
        <v>0</v>
      </c>
    </row>
    <row r="64" spans="2:6" x14ac:dyDescent="0.2">
      <c r="B64" s="21">
        <v>40.5</v>
      </c>
      <c r="C64" s="25">
        <v>155.30000000000001</v>
      </c>
      <c r="D64" s="22">
        <f>C64/(B64-B63)</f>
        <v>3.8345679012345681</v>
      </c>
      <c r="E64" s="23">
        <f>E63+C64</f>
        <v>155.30000000000001</v>
      </c>
    </row>
    <row r="65" spans="2:5" x14ac:dyDescent="0.2">
      <c r="B65" s="21">
        <v>45.1</v>
      </c>
      <c r="C65" s="21">
        <v>21.37</v>
      </c>
      <c r="D65" s="22">
        <f t="shared" ref="D65:D75" si="4">C65/(B65-B64)</f>
        <v>4.6456521739130423</v>
      </c>
      <c r="E65" s="23">
        <f t="shared" ref="E65:E75" si="5">E64+C65</f>
        <v>176.67000000000002</v>
      </c>
    </row>
    <row r="66" spans="2:5" x14ac:dyDescent="0.2">
      <c r="B66" s="21">
        <v>50.1</v>
      </c>
      <c r="C66" s="21">
        <v>21.37</v>
      </c>
      <c r="D66" s="22">
        <f t="shared" si="4"/>
        <v>4.274</v>
      </c>
      <c r="E66" s="23">
        <f t="shared" si="5"/>
        <v>198.04000000000002</v>
      </c>
    </row>
    <row r="67" spans="2:5" x14ac:dyDescent="0.2">
      <c r="B67" s="21">
        <v>55.3</v>
      </c>
      <c r="C67" s="21">
        <v>21.37</v>
      </c>
      <c r="D67" s="22">
        <f t="shared" si="4"/>
        <v>4.1096153846153882</v>
      </c>
      <c r="E67" s="23">
        <f t="shared" si="5"/>
        <v>219.41000000000003</v>
      </c>
    </row>
    <row r="68" spans="2:5" x14ac:dyDescent="0.2">
      <c r="B68" s="21">
        <v>60.7</v>
      </c>
      <c r="C68" s="21">
        <v>21.37</v>
      </c>
      <c r="D68" s="22">
        <f t="shared" si="4"/>
        <v>3.9574074074074033</v>
      </c>
      <c r="E68" s="23">
        <f t="shared" si="5"/>
        <v>240.78000000000003</v>
      </c>
    </row>
    <row r="69" spans="2:5" x14ac:dyDescent="0.2">
      <c r="B69" s="21">
        <v>65.5</v>
      </c>
      <c r="C69" s="21">
        <v>15.67</v>
      </c>
      <c r="D69" s="22">
        <f t="shared" si="4"/>
        <v>3.2645833333333352</v>
      </c>
      <c r="E69" s="23">
        <f t="shared" si="5"/>
        <v>256.45000000000005</v>
      </c>
    </row>
    <row r="70" spans="2:5" x14ac:dyDescent="0.2">
      <c r="B70" s="21">
        <v>70.599999999999994</v>
      </c>
      <c r="C70" s="21">
        <v>14.77</v>
      </c>
      <c r="D70" s="22">
        <f t="shared" si="4"/>
        <v>2.8960784313725521</v>
      </c>
      <c r="E70" s="23">
        <f t="shared" si="5"/>
        <v>271.22000000000003</v>
      </c>
    </row>
    <row r="71" spans="2:5" x14ac:dyDescent="0.2">
      <c r="B71" s="21">
        <v>75.900000000000006</v>
      </c>
      <c r="C71" s="21">
        <v>12.37</v>
      </c>
      <c r="D71" s="22">
        <f t="shared" si="4"/>
        <v>2.3339622641509381</v>
      </c>
      <c r="E71" s="23">
        <f t="shared" si="5"/>
        <v>283.59000000000003</v>
      </c>
    </row>
    <row r="72" spans="2:5" x14ac:dyDescent="0.2">
      <c r="B72" s="21">
        <v>80.5</v>
      </c>
      <c r="C72" s="21">
        <v>7.57</v>
      </c>
      <c r="D72" s="22">
        <f t="shared" si="4"/>
        <v>1.6456521739130456</v>
      </c>
      <c r="E72" s="23">
        <f t="shared" si="5"/>
        <v>291.16000000000003</v>
      </c>
    </row>
    <row r="73" spans="2:5" x14ac:dyDescent="0.2">
      <c r="B73" s="21">
        <v>85.7</v>
      </c>
      <c r="C73" s="21">
        <v>5.47</v>
      </c>
      <c r="D73" s="22">
        <f t="shared" si="4"/>
        <v>1.0519230769230763</v>
      </c>
      <c r="E73" s="23">
        <f t="shared" si="5"/>
        <v>296.63000000000005</v>
      </c>
    </row>
    <row r="74" spans="2:5" x14ac:dyDescent="0.2">
      <c r="B74" s="21">
        <v>90.8</v>
      </c>
      <c r="C74" s="21">
        <v>3.37</v>
      </c>
      <c r="D74" s="22">
        <f t="shared" si="4"/>
        <v>0.66078431372549096</v>
      </c>
      <c r="E74" s="23">
        <f t="shared" si="5"/>
        <v>300.00000000000006</v>
      </c>
    </row>
    <row r="75" spans="2:5" x14ac:dyDescent="0.2">
      <c r="B75" s="21">
        <v>100</v>
      </c>
      <c r="C75" s="21">
        <v>2.17</v>
      </c>
      <c r="D75" s="22">
        <f t="shared" si="4"/>
        <v>0.23586956521739122</v>
      </c>
      <c r="E75" s="23">
        <f t="shared" si="5"/>
        <v>302.17000000000007</v>
      </c>
    </row>
    <row r="76" spans="2:5" ht="15.75" x14ac:dyDescent="0.25">
      <c r="C76" s="30">
        <f>SUM(C63:C75)</f>
        <v>302.17000000000007</v>
      </c>
      <c r="D76" s="36" t="s">
        <v>17</v>
      </c>
      <c r="E76" s="30">
        <f>C76-C64</f>
        <v>146.87000000000006</v>
      </c>
    </row>
    <row r="77" spans="2:5" ht="15.75" x14ac:dyDescent="0.25">
      <c r="C77" s="30">
        <f>C76/100</f>
        <v>3.0217000000000009</v>
      </c>
      <c r="D77" s="36" t="s">
        <v>18</v>
      </c>
      <c r="E77" s="26"/>
    </row>
    <row r="78" spans="2:5" ht="15.75" x14ac:dyDescent="0.25">
      <c r="C78" s="26"/>
      <c r="D78" s="38"/>
      <c r="E78" s="36"/>
    </row>
    <row r="79" spans="2:5" x14ac:dyDescent="0.2">
      <c r="E79" s="18"/>
    </row>
    <row r="80" spans="2:5" x14ac:dyDescent="0.2">
      <c r="E80" s="18"/>
    </row>
    <row r="81" spans="2:5" ht="15.75" x14ac:dyDescent="0.25">
      <c r="C81" s="31" t="s">
        <v>32</v>
      </c>
      <c r="D81" s="31" t="s">
        <v>33</v>
      </c>
      <c r="E81" s="18"/>
    </row>
    <row r="82" spans="2:5" ht="15.75" x14ac:dyDescent="0.25">
      <c r="B82" s="30" t="s">
        <v>12</v>
      </c>
      <c r="C82" s="29">
        <f>C76+C51+C27</f>
        <v>828.13000000000011</v>
      </c>
      <c r="D82" s="23">
        <f t="shared" ref="D82:D87" si="6">C82/100</f>
        <v>8.2813000000000017</v>
      </c>
      <c r="E82" s="18"/>
    </row>
    <row r="83" spans="2:5" x14ac:dyDescent="0.2">
      <c r="B83" s="44" t="s">
        <v>13</v>
      </c>
      <c r="C83" s="23">
        <f>C27-C10</f>
        <v>150.81999999999996</v>
      </c>
      <c r="D83" s="23">
        <f t="shared" si="6"/>
        <v>1.5081999999999995</v>
      </c>
      <c r="E83" s="22" t="s">
        <v>24</v>
      </c>
    </row>
    <row r="84" spans="2:5" x14ac:dyDescent="0.2">
      <c r="B84" s="45"/>
      <c r="C84" s="23">
        <f>C76-C64</f>
        <v>146.87000000000006</v>
      </c>
      <c r="D84" s="23">
        <f t="shared" si="6"/>
        <v>1.4687000000000006</v>
      </c>
      <c r="E84" s="22" t="s">
        <v>25</v>
      </c>
    </row>
    <row r="85" spans="2:5" x14ac:dyDescent="0.2">
      <c r="B85" s="46"/>
      <c r="C85" s="29">
        <f>C51-C37</f>
        <v>153.31000000000006</v>
      </c>
      <c r="D85" s="23">
        <f t="shared" si="6"/>
        <v>1.5331000000000006</v>
      </c>
      <c r="E85" s="22" t="s">
        <v>26</v>
      </c>
    </row>
    <row r="86" spans="2:5" ht="15.75" x14ac:dyDescent="0.25">
      <c r="B86" s="30" t="s">
        <v>23</v>
      </c>
      <c r="C86" s="29">
        <f>C82-C84-C51</f>
        <v>333.64999999999992</v>
      </c>
      <c r="D86" s="23">
        <f t="shared" si="6"/>
        <v>3.3364999999999991</v>
      </c>
    </row>
    <row r="87" spans="2:5" ht="15.75" x14ac:dyDescent="0.25">
      <c r="B87" s="30" t="s">
        <v>28</v>
      </c>
      <c r="C87" s="29">
        <f>C82-E50</f>
        <v>480.52000000000004</v>
      </c>
      <c r="D87" s="23">
        <f t="shared" si="6"/>
        <v>4.8052000000000001</v>
      </c>
    </row>
  </sheetData>
  <mergeCells count="4">
    <mergeCell ref="B83:B85"/>
    <mergeCell ref="B6:E6"/>
    <mergeCell ref="B33:E33"/>
    <mergeCell ref="B60:E6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60"/>
  <sheetViews>
    <sheetView topLeftCell="A34" zoomScale="70" zoomScaleNormal="70" workbookViewId="0">
      <selection activeCell="C3" sqref="C3"/>
    </sheetView>
  </sheetViews>
  <sheetFormatPr defaultColWidth="8.85546875" defaultRowHeight="15" x14ac:dyDescent="0.25"/>
  <cols>
    <col min="1" max="1" width="11.85546875" customWidth="1"/>
    <col min="2" max="3" width="13.85546875" customWidth="1"/>
    <col min="4" max="4" width="11" customWidth="1"/>
  </cols>
  <sheetData>
    <row r="2" spans="1:5" ht="23.25" x14ac:dyDescent="0.35">
      <c r="A2" s="1" t="s">
        <v>0</v>
      </c>
    </row>
    <row r="3" spans="1:5" ht="18" x14ac:dyDescent="0.25">
      <c r="B3" s="2" t="s">
        <v>16</v>
      </c>
    </row>
    <row r="4" spans="1:5" ht="18" x14ac:dyDescent="0.25">
      <c r="B4" s="2"/>
    </row>
    <row r="5" spans="1:5" x14ac:dyDescent="0.25">
      <c r="A5" t="s">
        <v>1</v>
      </c>
      <c r="E5" s="3" t="s">
        <v>9</v>
      </c>
    </row>
    <row r="7" spans="1:5" x14ac:dyDescent="0.25">
      <c r="B7" s="5" t="s">
        <v>2</v>
      </c>
      <c r="C7" s="5" t="s">
        <v>3</v>
      </c>
      <c r="D7" s="5" t="s">
        <v>4</v>
      </c>
      <c r="E7" s="5" t="s">
        <v>5</v>
      </c>
    </row>
    <row r="8" spans="1:5" x14ac:dyDescent="0.25">
      <c r="B8" s="5" t="s">
        <v>6</v>
      </c>
      <c r="C8" s="5" t="s">
        <v>7</v>
      </c>
      <c r="D8" s="5" t="s">
        <v>8</v>
      </c>
      <c r="E8" s="5" t="s">
        <v>7</v>
      </c>
    </row>
    <row r="9" spans="1:5" x14ac:dyDescent="0.25">
      <c r="B9" s="5"/>
      <c r="C9" s="5"/>
      <c r="D9" s="6">
        <v>0</v>
      </c>
      <c r="E9" s="6">
        <v>0</v>
      </c>
    </row>
    <row r="10" spans="1:5" x14ac:dyDescent="0.25">
      <c r="B10" s="5"/>
      <c r="C10" s="5"/>
      <c r="D10" s="6" t="e">
        <f t="shared" ref="D10:D15" si="0">C10/(B10-B9)</f>
        <v>#DIV/0!</v>
      </c>
      <c r="E10" s="6">
        <f t="shared" ref="E10:E15" si="1">E9+C10</f>
        <v>0</v>
      </c>
    </row>
    <row r="11" spans="1:5" x14ac:dyDescent="0.25">
      <c r="B11" s="5"/>
      <c r="C11" s="5"/>
      <c r="D11" s="6" t="e">
        <f t="shared" si="0"/>
        <v>#DIV/0!</v>
      </c>
      <c r="E11" s="6">
        <f t="shared" si="1"/>
        <v>0</v>
      </c>
    </row>
    <row r="12" spans="1:5" x14ac:dyDescent="0.25">
      <c r="B12" s="5"/>
      <c r="C12" s="5"/>
      <c r="D12" s="6" t="e">
        <f t="shared" si="0"/>
        <v>#DIV/0!</v>
      </c>
      <c r="E12" s="6">
        <f t="shared" si="1"/>
        <v>0</v>
      </c>
    </row>
    <row r="13" spans="1:5" x14ac:dyDescent="0.25">
      <c r="B13" s="5"/>
      <c r="C13" s="5"/>
      <c r="D13" s="6" t="e">
        <f t="shared" si="0"/>
        <v>#DIV/0!</v>
      </c>
      <c r="E13" s="6">
        <f t="shared" si="1"/>
        <v>0</v>
      </c>
    </row>
    <row r="14" spans="1:5" x14ac:dyDescent="0.25">
      <c r="B14" s="5"/>
      <c r="C14" s="5"/>
      <c r="D14" s="6" t="e">
        <f t="shared" si="0"/>
        <v>#DIV/0!</v>
      </c>
      <c r="E14" s="6">
        <f t="shared" si="1"/>
        <v>0</v>
      </c>
    </row>
    <row r="15" spans="1:5" x14ac:dyDescent="0.25">
      <c r="B15" s="5"/>
      <c r="C15" s="5"/>
      <c r="D15" s="6" t="e">
        <f t="shared" si="0"/>
        <v>#DIV/0!</v>
      </c>
      <c r="E15" s="6">
        <f t="shared" si="1"/>
        <v>0</v>
      </c>
    </row>
    <row r="16" spans="1:5" x14ac:dyDescent="0.25">
      <c r="B16" s="4"/>
      <c r="C16" s="4"/>
    </row>
    <row r="17" spans="1:5" x14ac:dyDescent="0.25">
      <c r="C17">
        <f>SUM(C9:C15)</f>
        <v>0</v>
      </c>
    </row>
    <row r="26" spans="1:5" x14ac:dyDescent="0.25">
      <c r="A26" t="s">
        <v>11</v>
      </c>
      <c r="E26" s="3" t="s">
        <v>9</v>
      </c>
    </row>
    <row r="28" spans="1:5" x14ac:dyDescent="0.25">
      <c r="B28" s="5" t="s">
        <v>2</v>
      </c>
      <c r="C28" s="5" t="s">
        <v>3</v>
      </c>
      <c r="D28" s="6" t="s">
        <v>4</v>
      </c>
      <c r="E28" s="6" t="s">
        <v>5</v>
      </c>
    </row>
    <row r="29" spans="1:5" x14ac:dyDescent="0.25">
      <c r="B29" s="5" t="s">
        <v>6</v>
      </c>
      <c r="C29" s="5" t="s">
        <v>7</v>
      </c>
      <c r="D29" s="6" t="s">
        <v>8</v>
      </c>
      <c r="E29" s="6" t="s">
        <v>7</v>
      </c>
    </row>
    <row r="30" spans="1:5" x14ac:dyDescent="0.25">
      <c r="B30" s="5"/>
      <c r="C30" s="5"/>
      <c r="D30" s="6">
        <v>0</v>
      </c>
      <c r="E30" s="6">
        <v>0</v>
      </c>
    </row>
    <row r="31" spans="1:5" x14ac:dyDescent="0.25">
      <c r="B31" s="5"/>
      <c r="C31" s="5"/>
      <c r="D31" s="6" t="e">
        <f>C31/(B31-B30)</f>
        <v>#DIV/0!</v>
      </c>
      <c r="E31" s="6">
        <f>E30+C31</f>
        <v>0</v>
      </c>
    </row>
    <row r="32" spans="1:5" x14ac:dyDescent="0.25">
      <c r="B32" s="5"/>
      <c r="C32" s="5"/>
      <c r="D32" s="6" t="e">
        <f>C32/(B32-B31)</f>
        <v>#DIV/0!</v>
      </c>
      <c r="E32" s="6">
        <f>E31+C32</f>
        <v>0</v>
      </c>
    </row>
    <row r="33" spans="1:5" x14ac:dyDescent="0.25">
      <c r="B33" s="5"/>
      <c r="C33" s="5"/>
      <c r="D33" s="6" t="e">
        <f>C33/(B33-B32)</f>
        <v>#DIV/0!</v>
      </c>
      <c r="E33" s="6">
        <f>E32+C33</f>
        <v>0</v>
      </c>
    </row>
    <row r="34" spans="1:5" x14ac:dyDescent="0.25">
      <c r="B34" s="5"/>
      <c r="C34" s="5"/>
      <c r="D34" s="6" t="e">
        <f>C34/(B34-B33)</f>
        <v>#DIV/0!</v>
      </c>
      <c r="E34" s="6">
        <f>E33+C34</f>
        <v>0</v>
      </c>
    </row>
    <row r="35" spans="1:5" x14ac:dyDescent="0.25">
      <c r="B35" s="5"/>
      <c r="C35" s="5"/>
      <c r="D35" s="6" t="e">
        <f>C35/(B35-B34)</f>
        <v>#DIV/0!</v>
      </c>
      <c r="E35" s="6">
        <f>E34+C35</f>
        <v>0</v>
      </c>
    </row>
    <row r="36" spans="1:5" x14ac:dyDescent="0.25">
      <c r="B36" s="6"/>
      <c r="C36" s="5"/>
      <c r="D36" s="6"/>
      <c r="E36" s="6"/>
    </row>
    <row r="37" spans="1:5" x14ac:dyDescent="0.25">
      <c r="C37">
        <f>SUM(C31:C35)</f>
        <v>0</v>
      </c>
    </row>
    <row r="43" spans="1:5" x14ac:dyDescent="0.25">
      <c r="E43" s="3" t="s">
        <v>9</v>
      </c>
    </row>
    <row r="44" spans="1:5" x14ac:dyDescent="0.25">
      <c r="E44" s="3"/>
    </row>
    <row r="45" spans="1:5" x14ac:dyDescent="0.25">
      <c r="A45" t="s">
        <v>10</v>
      </c>
      <c r="E45" s="3"/>
    </row>
    <row r="47" spans="1:5" x14ac:dyDescent="0.25">
      <c r="B47" s="5" t="s">
        <v>2</v>
      </c>
      <c r="C47" s="5" t="s">
        <v>3</v>
      </c>
      <c r="D47" s="6" t="s">
        <v>4</v>
      </c>
      <c r="E47" s="6" t="s">
        <v>5</v>
      </c>
    </row>
    <row r="48" spans="1:5" x14ac:dyDescent="0.25">
      <c r="B48" s="5" t="s">
        <v>6</v>
      </c>
      <c r="C48" s="5" t="s">
        <v>7</v>
      </c>
      <c r="D48" s="6" t="s">
        <v>8</v>
      </c>
      <c r="E48" s="6" t="s">
        <v>7</v>
      </c>
    </row>
    <row r="49" spans="1:5" x14ac:dyDescent="0.25">
      <c r="B49" s="5"/>
      <c r="C49" s="5"/>
      <c r="D49" s="6">
        <v>0</v>
      </c>
      <c r="E49" s="6">
        <v>0</v>
      </c>
    </row>
    <row r="50" spans="1:5" x14ac:dyDescent="0.25">
      <c r="B50" s="5"/>
      <c r="C50" s="5"/>
      <c r="D50" s="6" t="e">
        <f t="shared" ref="D50:D55" si="2">C50/(B50-B49)</f>
        <v>#DIV/0!</v>
      </c>
      <c r="E50" s="6">
        <f t="shared" ref="E50:E55" si="3">E49+C50</f>
        <v>0</v>
      </c>
    </row>
    <row r="51" spans="1:5" x14ac:dyDescent="0.25">
      <c r="B51" s="5"/>
      <c r="C51" s="5"/>
      <c r="D51" s="6" t="e">
        <f t="shared" si="2"/>
        <v>#DIV/0!</v>
      </c>
      <c r="E51" s="6">
        <f t="shared" si="3"/>
        <v>0</v>
      </c>
    </row>
    <row r="52" spans="1:5" x14ac:dyDescent="0.25">
      <c r="B52" s="5"/>
      <c r="C52" s="5"/>
      <c r="D52" s="6" t="e">
        <f t="shared" si="2"/>
        <v>#DIV/0!</v>
      </c>
      <c r="E52" s="6">
        <f t="shared" si="3"/>
        <v>0</v>
      </c>
    </row>
    <row r="53" spans="1:5" x14ac:dyDescent="0.25">
      <c r="B53" s="5"/>
      <c r="C53" s="5"/>
      <c r="D53" s="6" t="e">
        <f t="shared" si="2"/>
        <v>#DIV/0!</v>
      </c>
      <c r="E53" s="6">
        <f t="shared" si="3"/>
        <v>0</v>
      </c>
    </row>
    <row r="54" spans="1:5" x14ac:dyDescent="0.25">
      <c r="B54" s="5"/>
      <c r="C54" s="5"/>
      <c r="D54" s="6" t="e">
        <f t="shared" si="2"/>
        <v>#DIV/0!</v>
      </c>
      <c r="E54" s="6">
        <f t="shared" si="3"/>
        <v>0</v>
      </c>
    </row>
    <row r="55" spans="1:5" x14ac:dyDescent="0.25">
      <c r="B55" s="5"/>
      <c r="C55" s="5"/>
      <c r="D55" s="6" t="e">
        <f t="shared" si="2"/>
        <v>#DIV/0!</v>
      </c>
      <c r="E55" s="6">
        <f t="shared" si="3"/>
        <v>0</v>
      </c>
    </row>
    <row r="56" spans="1:5" x14ac:dyDescent="0.25">
      <c r="B56" s="5"/>
      <c r="C56" s="5"/>
      <c r="D56" s="6"/>
      <c r="E56" s="6"/>
    </row>
    <row r="57" spans="1:5" x14ac:dyDescent="0.25">
      <c r="C57">
        <f>SUM(C49:C55)</f>
        <v>0</v>
      </c>
    </row>
    <row r="58" spans="1:5" x14ac:dyDescent="0.25">
      <c r="C58" s="4"/>
    </row>
    <row r="59" spans="1:5" x14ac:dyDescent="0.25">
      <c r="A59" t="s">
        <v>12</v>
      </c>
      <c r="B59">
        <f>C57+C37+C17</f>
        <v>0</v>
      </c>
      <c r="C59">
        <f>B59/100</f>
        <v>0</v>
      </c>
    </row>
    <row r="60" spans="1:5" x14ac:dyDescent="0.25">
      <c r="A60" t="s">
        <v>13</v>
      </c>
      <c r="B60">
        <f>C17-C10</f>
        <v>0</v>
      </c>
      <c r="C60">
        <f>B60/100</f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50"/>
  <sheetViews>
    <sheetView workbookViewId="0">
      <selection activeCell="B35" sqref="B35:E44"/>
    </sheetView>
  </sheetViews>
  <sheetFormatPr defaultColWidth="8.85546875" defaultRowHeight="15" x14ac:dyDescent="0.25"/>
  <cols>
    <col min="1" max="1" width="12" customWidth="1"/>
  </cols>
  <sheetData>
    <row r="2" spans="1:5" ht="23.25" x14ac:dyDescent="0.35">
      <c r="A2" s="1" t="s">
        <v>0</v>
      </c>
    </row>
    <row r="3" spans="1:5" ht="18" x14ac:dyDescent="0.25">
      <c r="B3" s="2" t="s">
        <v>15</v>
      </c>
    </row>
    <row r="4" spans="1:5" ht="18" x14ac:dyDescent="0.25">
      <c r="B4" s="2"/>
    </row>
    <row r="5" spans="1:5" x14ac:dyDescent="0.25">
      <c r="A5" t="s">
        <v>1</v>
      </c>
      <c r="E5" s="3" t="s">
        <v>9</v>
      </c>
    </row>
    <row r="7" spans="1:5" x14ac:dyDescent="0.25">
      <c r="B7" s="5" t="s">
        <v>2</v>
      </c>
      <c r="C7" s="5" t="s">
        <v>3</v>
      </c>
      <c r="D7" s="5" t="s">
        <v>4</v>
      </c>
      <c r="E7" s="5" t="s">
        <v>5</v>
      </c>
    </row>
    <row r="8" spans="1:5" x14ac:dyDescent="0.25">
      <c r="B8" s="5" t="s">
        <v>6</v>
      </c>
      <c r="C8" s="5" t="s">
        <v>7</v>
      </c>
      <c r="D8" s="5" t="s">
        <v>8</v>
      </c>
      <c r="E8" s="5" t="s">
        <v>7</v>
      </c>
    </row>
    <row r="9" spans="1:5" x14ac:dyDescent="0.25">
      <c r="B9" s="5">
        <v>0</v>
      </c>
      <c r="C9" s="5">
        <v>0</v>
      </c>
      <c r="D9" s="6">
        <v>0</v>
      </c>
      <c r="E9" s="6">
        <v>0</v>
      </c>
    </row>
    <row r="10" spans="1:5" x14ac:dyDescent="0.25">
      <c r="B10" s="5">
        <v>26.2</v>
      </c>
      <c r="C10" s="5">
        <v>13</v>
      </c>
      <c r="D10" s="6">
        <f t="shared" ref="D10:D15" si="0">C10/(B10-B9)</f>
        <v>0.49618320610687022</v>
      </c>
      <c r="E10" s="6">
        <f t="shared" ref="E10:E15" si="1">E9+C10</f>
        <v>13</v>
      </c>
    </row>
    <row r="11" spans="1:5" x14ac:dyDescent="0.25">
      <c r="B11" s="5">
        <v>34.700000000000003</v>
      </c>
      <c r="C11" s="5">
        <v>20.6</v>
      </c>
      <c r="D11" s="6">
        <f t="shared" si="0"/>
        <v>2.4235294117647048</v>
      </c>
      <c r="E11" s="6">
        <f t="shared" si="1"/>
        <v>33.6</v>
      </c>
    </row>
    <row r="12" spans="1:5" x14ac:dyDescent="0.25">
      <c r="B12" s="5">
        <v>42.1</v>
      </c>
      <c r="C12" s="5">
        <v>18.3</v>
      </c>
      <c r="D12" s="6">
        <f t="shared" si="0"/>
        <v>2.4729729729729737</v>
      </c>
      <c r="E12" s="6">
        <f t="shared" si="1"/>
        <v>51.900000000000006</v>
      </c>
    </row>
    <row r="13" spans="1:5" x14ac:dyDescent="0.25">
      <c r="B13" s="5">
        <v>52.4</v>
      </c>
      <c r="C13" s="5">
        <v>25.7</v>
      </c>
      <c r="D13" s="6">
        <f t="shared" si="0"/>
        <v>2.4951456310679618</v>
      </c>
      <c r="E13" s="6">
        <f t="shared" si="1"/>
        <v>77.600000000000009</v>
      </c>
    </row>
    <row r="14" spans="1:5" x14ac:dyDescent="0.25">
      <c r="B14" s="5">
        <v>62.2</v>
      </c>
      <c r="C14" s="5">
        <v>21.3</v>
      </c>
      <c r="D14" s="6">
        <f t="shared" si="0"/>
        <v>2.1734693877551012</v>
      </c>
      <c r="E14" s="6">
        <f t="shared" si="1"/>
        <v>98.9</v>
      </c>
    </row>
    <row r="15" spans="1:5" x14ac:dyDescent="0.25">
      <c r="B15" s="5">
        <v>100</v>
      </c>
      <c r="C15" s="5">
        <v>29.7</v>
      </c>
      <c r="D15" s="6">
        <f t="shared" si="0"/>
        <v>0.78571428571428581</v>
      </c>
      <c r="E15" s="6">
        <f t="shared" si="1"/>
        <v>128.6</v>
      </c>
    </row>
    <row r="16" spans="1:5" x14ac:dyDescent="0.25">
      <c r="B16" s="4"/>
      <c r="C16" s="4"/>
    </row>
    <row r="17" spans="1:5" x14ac:dyDescent="0.25">
      <c r="C17">
        <f>SUM(C9:C15)</f>
        <v>128.6</v>
      </c>
    </row>
    <row r="20" spans="1:5" x14ac:dyDescent="0.25">
      <c r="A20" t="s">
        <v>11</v>
      </c>
      <c r="E20" s="3" t="s">
        <v>9</v>
      </c>
    </row>
    <row r="22" spans="1:5" x14ac:dyDescent="0.25">
      <c r="B22" s="5" t="s">
        <v>2</v>
      </c>
      <c r="C22" s="5" t="s">
        <v>3</v>
      </c>
      <c r="D22" s="6" t="s">
        <v>4</v>
      </c>
      <c r="E22" s="6" t="s">
        <v>5</v>
      </c>
    </row>
    <row r="23" spans="1:5" x14ac:dyDescent="0.25">
      <c r="B23" s="5" t="s">
        <v>6</v>
      </c>
      <c r="C23" s="5" t="s">
        <v>7</v>
      </c>
      <c r="D23" s="6" t="s">
        <v>8</v>
      </c>
      <c r="E23" s="6" t="s">
        <v>7</v>
      </c>
    </row>
    <row r="24" spans="1:5" x14ac:dyDescent="0.25">
      <c r="B24" s="5">
        <v>0</v>
      </c>
      <c r="C24" s="5">
        <v>0</v>
      </c>
      <c r="D24" s="6">
        <v>0</v>
      </c>
      <c r="E24" s="6">
        <v>0</v>
      </c>
    </row>
    <row r="25" spans="1:5" x14ac:dyDescent="0.25">
      <c r="B25" s="5">
        <v>50</v>
      </c>
      <c r="C25" s="5">
        <v>120</v>
      </c>
      <c r="D25" s="6">
        <f>C25/(B25-B24)</f>
        <v>2.4</v>
      </c>
      <c r="E25" s="6">
        <f t="shared" ref="E25:E30" si="2">E24+C25</f>
        <v>120</v>
      </c>
    </row>
    <row r="26" spans="1:5" x14ac:dyDescent="0.25">
      <c r="B26" s="5">
        <v>55</v>
      </c>
      <c r="C26" s="5">
        <v>22.5</v>
      </c>
      <c r="D26" s="6">
        <f t="shared" ref="D26:D30" si="3">C26/(B26-B25)</f>
        <v>4.5</v>
      </c>
      <c r="E26" s="6">
        <f t="shared" si="2"/>
        <v>142.5</v>
      </c>
    </row>
    <row r="27" spans="1:5" x14ac:dyDescent="0.25">
      <c r="B27" s="5">
        <v>59.6</v>
      </c>
      <c r="C27" s="5">
        <v>20.3</v>
      </c>
      <c r="D27" s="6">
        <f t="shared" si="3"/>
        <v>4.4130434782608683</v>
      </c>
      <c r="E27" s="6">
        <f t="shared" si="2"/>
        <v>162.80000000000001</v>
      </c>
    </row>
    <row r="28" spans="1:5" x14ac:dyDescent="0.25">
      <c r="B28" s="5">
        <v>65</v>
      </c>
      <c r="C28" s="5">
        <v>20.2</v>
      </c>
      <c r="D28" s="6">
        <f t="shared" si="3"/>
        <v>3.7407407407407418</v>
      </c>
      <c r="E28" s="6">
        <f t="shared" si="2"/>
        <v>183</v>
      </c>
    </row>
    <row r="29" spans="1:5" x14ac:dyDescent="0.25">
      <c r="B29" s="5">
        <v>72.099999999999994</v>
      </c>
      <c r="C29" s="5">
        <v>21.8</v>
      </c>
      <c r="D29" s="6">
        <f t="shared" si="3"/>
        <v>3.0704225352112702</v>
      </c>
      <c r="E29" s="6">
        <f t="shared" si="2"/>
        <v>204.8</v>
      </c>
    </row>
    <row r="30" spans="1:5" x14ac:dyDescent="0.25">
      <c r="B30" s="5">
        <v>100</v>
      </c>
      <c r="C30" s="5">
        <v>30.8</v>
      </c>
      <c r="D30" s="6">
        <f t="shared" si="3"/>
        <v>1.1039426523297489</v>
      </c>
      <c r="E30" s="6">
        <f t="shared" si="2"/>
        <v>235.60000000000002</v>
      </c>
    </row>
    <row r="31" spans="1:5" x14ac:dyDescent="0.25">
      <c r="C31">
        <f>SUM(C25:C30)</f>
        <v>235.60000000000002</v>
      </c>
    </row>
    <row r="33" spans="1:5" x14ac:dyDescent="0.25">
      <c r="A33" t="s">
        <v>10</v>
      </c>
      <c r="E33" s="3" t="s">
        <v>9</v>
      </c>
    </row>
    <row r="35" spans="1:5" x14ac:dyDescent="0.25">
      <c r="B35" s="5" t="s">
        <v>2</v>
      </c>
      <c r="C35" s="5" t="s">
        <v>3</v>
      </c>
      <c r="D35" s="6" t="s">
        <v>4</v>
      </c>
      <c r="E35" s="6" t="s">
        <v>5</v>
      </c>
    </row>
    <row r="36" spans="1:5" x14ac:dyDescent="0.25">
      <c r="B36" s="5" t="s">
        <v>6</v>
      </c>
      <c r="C36" s="5" t="s">
        <v>7</v>
      </c>
      <c r="D36" s="6" t="s">
        <v>8</v>
      </c>
      <c r="E36" s="6" t="s">
        <v>7</v>
      </c>
    </row>
    <row r="37" spans="1:5" x14ac:dyDescent="0.25">
      <c r="B37" s="5">
        <v>0</v>
      </c>
      <c r="C37" s="5">
        <v>0</v>
      </c>
      <c r="D37" s="6">
        <v>0</v>
      </c>
      <c r="E37" s="6">
        <v>0</v>
      </c>
    </row>
    <row r="38" spans="1:5" x14ac:dyDescent="0.25">
      <c r="B38" s="5">
        <v>48.6</v>
      </c>
      <c r="C38" s="5">
        <v>130</v>
      </c>
      <c r="D38" s="6">
        <f t="shared" ref="D38:D43" si="4">C38/(B38-B37)</f>
        <v>2.6748971193415638</v>
      </c>
      <c r="E38" s="6">
        <f t="shared" ref="E38:E43" si="5">E37+C38</f>
        <v>130</v>
      </c>
    </row>
    <row r="39" spans="1:5" x14ac:dyDescent="0.25">
      <c r="B39" s="5">
        <v>52.8</v>
      </c>
      <c r="C39" s="5">
        <v>19.399999999999999</v>
      </c>
      <c r="D39" s="6">
        <f t="shared" si="4"/>
        <v>4.6190476190476231</v>
      </c>
      <c r="E39" s="6">
        <f t="shared" si="5"/>
        <v>149.4</v>
      </c>
    </row>
    <row r="40" spans="1:5" x14ac:dyDescent="0.25">
      <c r="B40" s="5">
        <v>57.6</v>
      </c>
      <c r="C40" s="5">
        <v>21.8</v>
      </c>
      <c r="D40" s="6">
        <f t="shared" si="4"/>
        <v>4.5416666666666625</v>
      </c>
      <c r="E40" s="6">
        <f t="shared" si="5"/>
        <v>171.20000000000002</v>
      </c>
    </row>
    <row r="41" spans="1:5" x14ac:dyDescent="0.25">
      <c r="B41" s="5">
        <v>64</v>
      </c>
      <c r="C41" s="5">
        <v>22.6</v>
      </c>
      <c r="D41" s="6">
        <f t="shared" si="4"/>
        <v>3.5312500000000009</v>
      </c>
      <c r="E41" s="6">
        <f t="shared" si="5"/>
        <v>193.8</v>
      </c>
    </row>
    <row r="42" spans="1:5" x14ac:dyDescent="0.25">
      <c r="B42" s="5">
        <v>70.900000000000006</v>
      </c>
      <c r="C42" s="5">
        <v>20.6</v>
      </c>
      <c r="D42" s="6">
        <f t="shared" si="4"/>
        <v>2.9855072463768093</v>
      </c>
      <c r="E42" s="6">
        <f t="shared" si="5"/>
        <v>214.4</v>
      </c>
    </row>
    <row r="43" spans="1:5" x14ac:dyDescent="0.25">
      <c r="B43" s="5">
        <v>100</v>
      </c>
      <c r="C43" s="5">
        <v>29.8</v>
      </c>
      <c r="D43" s="6">
        <f t="shared" si="4"/>
        <v>1.0240549828178696</v>
      </c>
      <c r="E43" s="6">
        <f t="shared" si="5"/>
        <v>244.20000000000002</v>
      </c>
    </row>
    <row r="44" spans="1:5" x14ac:dyDescent="0.25">
      <c r="B44" s="5"/>
      <c r="C44" s="5"/>
      <c r="D44" s="6"/>
      <c r="E44" s="6"/>
    </row>
    <row r="45" spans="1:5" x14ac:dyDescent="0.25">
      <c r="C45">
        <f>SUM(C37:C43)</f>
        <v>244.20000000000002</v>
      </c>
    </row>
    <row r="46" spans="1:5" x14ac:dyDescent="0.25">
      <c r="C46" s="4"/>
    </row>
    <row r="47" spans="1:5" x14ac:dyDescent="0.25">
      <c r="A47" t="s">
        <v>12</v>
      </c>
      <c r="B47">
        <f>C45+C31+C17</f>
        <v>608.40000000000009</v>
      </c>
      <c r="C47">
        <f>B47/100</f>
        <v>6.0840000000000005</v>
      </c>
    </row>
    <row r="48" spans="1:5" x14ac:dyDescent="0.25">
      <c r="A48" t="s">
        <v>13</v>
      </c>
      <c r="B48">
        <f>C17-C10</f>
        <v>115.6</v>
      </c>
      <c r="C48">
        <f>B48/100</f>
        <v>1.1559999999999999</v>
      </c>
    </row>
    <row r="50" spans="1:3" x14ac:dyDescent="0.25">
      <c r="A50" t="s">
        <v>14</v>
      </c>
      <c r="B50">
        <f>B47-C45-B48</f>
        <v>248.60000000000005</v>
      </c>
      <c r="C50">
        <f>B50/100</f>
        <v>2.4860000000000007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5C8C-A7A8-4BC4-BCB1-7A9BD14123D1}">
  <dimension ref="A2:F82"/>
  <sheetViews>
    <sheetView zoomScaleNormal="100" workbookViewId="0">
      <selection activeCell="G73" sqref="G73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13.85546875" style="20" customWidth="1"/>
    <col min="6" max="6" width="13" style="18" customWidth="1"/>
    <col min="7" max="16384" width="8.85546875" style="18"/>
  </cols>
  <sheetData>
    <row r="2" spans="1:6" ht="18" x14ac:dyDescent="0.25">
      <c r="B2" s="27" t="s">
        <v>36</v>
      </c>
      <c r="C2" s="28"/>
      <c r="D2" s="28"/>
    </row>
    <row r="3" spans="1:6" x14ac:dyDescent="0.2">
      <c r="B3" s="19" t="s">
        <v>35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31</v>
      </c>
      <c r="C6" s="47"/>
      <c r="D6" s="47"/>
      <c r="E6" s="47"/>
    </row>
    <row r="7" spans="1:6" ht="15.75" x14ac:dyDescent="0.2">
      <c r="B7" s="34" t="s">
        <v>2</v>
      </c>
      <c r="C7" s="34" t="s">
        <v>3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15.4</v>
      </c>
      <c r="C10" s="39">
        <v>24.8</v>
      </c>
      <c r="D10" s="22">
        <f t="shared" ref="D10:D18" si="0">C10/(B10-B9)</f>
        <v>1.6103896103896105</v>
      </c>
      <c r="E10" s="23">
        <f t="shared" ref="E10:E18" si="1">E9+C10</f>
        <v>24.8</v>
      </c>
    </row>
    <row r="11" spans="1:6" x14ac:dyDescent="0.2">
      <c r="B11" s="21">
        <v>23.3</v>
      </c>
      <c r="C11" s="21">
        <v>18.7</v>
      </c>
      <c r="D11" s="22">
        <f t="shared" si="0"/>
        <v>2.3670886075949364</v>
      </c>
      <c r="E11" s="23">
        <f t="shared" si="1"/>
        <v>43.5</v>
      </c>
    </row>
    <row r="12" spans="1:6" x14ac:dyDescent="0.2">
      <c r="B12" s="21">
        <v>31.7</v>
      </c>
      <c r="C12" s="21">
        <v>21.7</v>
      </c>
      <c r="D12" s="22">
        <f t="shared" si="0"/>
        <v>2.5833333333333335</v>
      </c>
      <c r="E12" s="23">
        <f t="shared" si="1"/>
        <v>65.2</v>
      </c>
    </row>
    <row r="13" spans="1:6" x14ac:dyDescent="0.2">
      <c r="B13" s="21">
        <v>38.4</v>
      </c>
      <c r="C13" s="21">
        <v>18.07</v>
      </c>
      <c r="D13" s="22">
        <f t="shared" si="0"/>
        <v>2.6970149253731348</v>
      </c>
      <c r="E13" s="23">
        <f t="shared" si="1"/>
        <v>83.27000000000001</v>
      </c>
    </row>
    <row r="14" spans="1:6" x14ac:dyDescent="0.2">
      <c r="B14" s="21">
        <v>45.1</v>
      </c>
      <c r="C14" s="21">
        <v>17.37</v>
      </c>
      <c r="D14" s="22">
        <f t="shared" si="0"/>
        <v>2.5925373134328349</v>
      </c>
      <c r="E14" s="23">
        <f t="shared" si="1"/>
        <v>100.64000000000001</v>
      </c>
    </row>
    <row r="15" spans="1:6" x14ac:dyDescent="0.2">
      <c r="B15" s="21">
        <v>52.2</v>
      </c>
      <c r="C15" s="21">
        <v>18.670000000000002</v>
      </c>
      <c r="D15" s="22">
        <f t="shared" si="0"/>
        <v>2.6295774647887322</v>
      </c>
      <c r="E15" s="23">
        <f t="shared" si="1"/>
        <v>119.31000000000002</v>
      </c>
    </row>
    <row r="16" spans="1:6" x14ac:dyDescent="0.2">
      <c r="B16" s="21">
        <v>60.4</v>
      </c>
      <c r="C16" s="21">
        <v>20.77</v>
      </c>
      <c r="D16" s="22">
        <f t="shared" si="0"/>
        <v>2.5329268292682938</v>
      </c>
      <c r="E16" s="23">
        <f t="shared" si="1"/>
        <v>140.08000000000001</v>
      </c>
    </row>
    <row r="17" spans="1:6" x14ac:dyDescent="0.2">
      <c r="B17" s="21">
        <v>71.8</v>
      </c>
      <c r="C17" s="21">
        <v>20.47</v>
      </c>
      <c r="D17" s="22">
        <f t="shared" si="0"/>
        <v>1.7956140350877194</v>
      </c>
      <c r="E17" s="23">
        <f t="shared" si="1"/>
        <v>160.55000000000001</v>
      </c>
    </row>
    <row r="18" spans="1:6" x14ac:dyDescent="0.2">
      <c r="B18" s="21">
        <v>100</v>
      </c>
      <c r="C18" s="21">
        <v>15.97</v>
      </c>
      <c r="D18" s="22">
        <f t="shared" si="0"/>
        <v>0.56631205673758866</v>
      </c>
      <c r="E18" s="23">
        <f t="shared" si="1"/>
        <v>176.52</v>
      </c>
    </row>
    <row r="19" spans="1:6" ht="15.75" x14ac:dyDescent="0.25">
      <c r="C19" s="31">
        <f>SUM(C9:C18)</f>
        <v>176.52</v>
      </c>
      <c r="D19" s="36" t="s">
        <v>17</v>
      </c>
      <c r="E19" s="30">
        <f>C19-C10</f>
        <v>151.72</v>
      </c>
    </row>
    <row r="20" spans="1:6" ht="15.75" x14ac:dyDescent="0.25">
      <c r="C20" s="31">
        <f>C19/100</f>
        <v>1.7652000000000001</v>
      </c>
      <c r="D20" s="36" t="s">
        <v>18</v>
      </c>
      <c r="E20" s="26"/>
    </row>
    <row r="24" spans="1:6" x14ac:dyDescent="0.2">
      <c r="F24" s="19"/>
    </row>
    <row r="25" spans="1:6" ht="23.1" customHeight="1" x14ac:dyDescent="0.2">
      <c r="B25" s="47" t="s">
        <v>11</v>
      </c>
      <c r="C25" s="47"/>
      <c r="D25" s="47"/>
      <c r="E25" s="47"/>
    </row>
    <row r="26" spans="1:6" ht="15.75" x14ac:dyDescent="0.2">
      <c r="B26" s="34" t="s">
        <v>2</v>
      </c>
      <c r="C26" s="34" t="s">
        <v>3</v>
      </c>
      <c r="D26" s="35" t="s">
        <v>4</v>
      </c>
      <c r="E26" s="34" t="s">
        <v>5</v>
      </c>
    </row>
    <row r="27" spans="1:6" x14ac:dyDescent="0.2">
      <c r="B27" s="32" t="s">
        <v>6</v>
      </c>
      <c r="C27" s="32" t="s">
        <v>17</v>
      </c>
      <c r="D27" s="33" t="s">
        <v>19</v>
      </c>
      <c r="E27" s="32" t="s">
        <v>20</v>
      </c>
    </row>
    <row r="28" spans="1:6" x14ac:dyDescent="0.2">
      <c r="B28" s="21">
        <v>0</v>
      </c>
      <c r="C28" s="21"/>
      <c r="D28" s="22">
        <v>0</v>
      </c>
      <c r="E28" s="23">
        <v>0</v>
      </c>
    </row>
    <row r="29" spans="1:6" x14ac:dyDescent="0.2">
      <c r="A29" s="18" t="s">
        <v>34</v>
      </c>
      <c r="B29" s="21">
        <v>42.4</v>
      </c>
      <c r="C29" s="39">
        <f>1.853*100</f>
        <v>185.3</v>
      </c>
      <c r="D29" s="22">
        <f>C29/(B29-B28)</f>
        <v>4.3702830188679247</v>
      </c>
      <c r="E29" s="23">
        <f>E28+C29</f>
        <v>185.3</v>
      </c>
    </row>
    <row r="30" spans="1:6" x14ac:dyDescent="0.2">
      <c r="B30" s="21">
        <v>46.7</v>
      </c>
      <c r="C30" s="21">
        <v>21.77</v>
      </c>
      <c r="D30" s="22">
        <f>C30/(B30-B29)</f>
        <v>5.0627906976744139</v>
      </c>
      <c r="E30" s="23">
        <f>E29+C30</f>
        <v>207.07000000000002</v>
      </c>
    </row>
    <row r="31" spans="1:6" x14ac:dyDescent="0.2">
      <c r="B31" s="21">
        <v>51.4</v>
      </c>
      <c r="C31" s="21">
        <v>21.37</v>
      </c>
      <c r="D31" s="22">
        <f t="shared" ref="D31:D36" si="2">C31/(B31-B30)</f>
        <v>4.5468085106383018</v>
      </c>
      <c r="E31" s="23">
        <f t="shared" ref="E31:E36" si="3">E30+C31</f>
        <v>228.44000000000003</v>
      </c>
    </row>
    <row r="32" spans="1:6" x14ac:dyDescent="0.2">
      <c r="B32" s="21">
        <v>56.2</v>
      </c>
      <c r="C32" s="21">
        <v>20.77</v>
      </c>
      <c r="D32" s="22">
        <f t="shared" si="2"/>
        <v>4.3270833333333298</v>
      </c>
      <c r="E32" s="23">
        <f t="shared" si="3"/>
        <v>249.21000000000004</v>
      </c>
    </row>
    <row r="33" spans="2:6" x14ac:dyDescent="0.2">
      <c r="B33" s="21">
        <v>61.4</v>
      </c>
      <c r="C33" s="21">
        <v>20.47</v>
      </c>
      <c r="D33" s="22">
        <f t="shared" si="2"/>
        <v>3.9365384615384644</v>
      </c>
      <c r="E33" s="23">
        <f t="shared" si="3"/>
        <v>269.68000000000006</v>
      </c>
    </row>
    <row r="34" spans="2:6" x14ac:dyDescent="0.2">
      <c r="B34" s="21">
        <v>67.2</v>
      </c>
      <c r="C34" s="21">
        <v>21.07</v>
      </c>
      <c r="D34" s="22">
        <f t="shared" si="2"/>
        <v>3.6327586206896525</v>
      </c>
      <c r="E34" s="23">
        <f t="shared" si="3"/>
        <v>290.75000000000006</v>
      </c>
    </row>
    <row r="35" spans="2:6" x14ac:dyDescent="0.2">
      <c r="B35" s="21">
        <v>76.2</v>
      </c>
      <c r="C35" s="21">
        <v>22.87</v>
      </c>
      <c r="D35" s="22">
        <f t="shared" si="2"/>
        <v>2.5411111111111113</v>
      </c>
      <c r="E35" s="23">
        <f t="shared" si="3"/>
        <v>313.62000000000006</v>
      </c>
    </row>
    <row r="36" spans="2:6" x14ac:dyDescent="0.2">
      <c r="B36" s="21">
        <v>100</v>
      </c>
      <c r="C36" s="21">
        <v>21.97</v>
      </c>
      <c r="D36" s="22">
        <f t="shared" si="2"/>
        <v>0.92310924369747904</v>
      </c>
      <c r="E36" s="23">
        <f t="shared" si="3"/>
        <v>335.59000000000003</v>
      </c>
    </row>
    <row r="37" spans="2:6" ht="15.75" x14ac:dyDescent="0.25">
      <c r="C37" s="37">
        <f>SUM(C29:C36)</f>
        <v>335.59000000000003</v>
      </c>
      <c r="D37" s="36" t="s">
        <v>17</v>
      </c>
      <c r="E37" s="37">
        <f>C37-C29</f>
        <v>150.29000000000002</v>
      </c>
    </row>
    <row r="38" spans="2:6" ht="15.75" x14ac:dyDescent="0.25">
      <c r="C38" s="30">
        <f>C37/100</f>
        <v>3.3559000000000001</v>
      </c>
      <c r="D38" s="36" t="s">
        <v>18</v>
      </c>
      <c r="E38" s="26"/>
    </row>
    <row r="39" spans="2:6" x14ac:dyDescent="0.2">
      <c r="D39" s="20"/>
      <c r="E39" s="18"/>
    </row>
    <row r="43" spans="2:6" x14ac:dyDescent="0.2">
      <c r="F43" s="19"/>
    </row>
    <row r="44" spans="2:6" x14ac:dyDescent="0.2">
      <c r="F44" s="19"/>
    </row>
    <row r="45" spans="2:6" x14ac:dyDescent="0.2">
      <c r="F45" s="19"/>
    </row>
    <row r="46" spans="2:6" ht="23.1" customHeight="1" x14ac:dyDescent="0.2">
      <c r="B46" s="47" t="s">
        <v>10</v>
      </c>
      <c r="C46" s="47"/>
      <c r="D46" s="47"/>
      <c r="E46" s="47"/>
    </row>
    <row r="47" spans="2:6" ht="15.75" x14ac:dyDescent="0.2">
      <c r="B47" s="34" t="s">
        <v>2</v>
      </c>
      <c r="C47" s="34" t="s">
        <v>3</v>
      </c>
      <c r="D47" s="35" t="s">
        <v>4</v>
      </c>
      <c r="E47" s="34" t="s">
        <v>5</v>
      </c>
    </row>
    <row r="48" spans="2:6" x14ac:dyDescent="0.2">
      <c r="B48" s="32" t="s">
        <v>6</v>
      </c>
      <c r="C48" s="32" t="s">
        <v>17</v>
      </c>
      <c r="D48" s="33" t="s">
        <v>19</v>
      </c>
      <c r="E48" s="32" t="s">
        <v>20</v>
      </c>
    </row>
    <row r="49" spans="1:5" x14ac:dyDescent="0.2">
      <c r="B49" s="21">
        <v>0</v>
      </c>
      <c r="C49" s="21">
        <v>0</v>
      </c>
      <c r="D49" s="22">
        <v>0</v>
      </c>
      <c r="E49" s="23">
        <v>0</v>
      </c>
    </row>
    <row r="50" spans="1:5" x14ac:dyDescent="0.2">
      <c r="A50" s="18" t="s">
        <v>34</v>
      </c>
      <c r="B50" s="21">
        <v>39.700000000000003</v>
      </c>
      <c r="C50" s="39">
        <f>1.463*100</f>
        <v>146.30000000000001</v>
      </c>
      <c r="D50" s="22">
        <f>C50/(B50-B49)</f>
        <v>3.6851385390428213</v>
      </c>
      <c r="E50" s="23">
        <f>E49+C50</f>
        <v>146.30000000000001</v>
      </c>
    </row>
    <row r="51" spans="1:5" x14ac:dyDescent="0.2">
      <c r="B51" s="21">
        <v>44.1</v>
      </c>
      <c r="C51" s="21">
        <v>19.57</v>
      </c>
      <c r="D51" s="22">
        <f t="shared" ref="D51:D57" si="4">C51/(B51-B50)</f>
        <v>4.4477272727272741</v>
      </c>
      <c r="E51" s="23">
        <f t="shared" ref="E51:E57" si="5">E50+C51</f>
        <v>165.87</v>
      </c>
    </row>
    <row r="52" spans="1:5" x14ac:dyDescent="0.2">
      <c r="B52" s="21">
        <v>49.2</v>
      </c>
      <c r="C52" s="21">
        <v>24.95</v>
      </c>
      <c r="D52" s="22">
        <f t="shared" si="4"/>
        <v>4.8921568627450966</v>
      </c>
      <c r="E52" s="23">
        <f t="shared" si="5"/>
        <v>190.82</v>
      </c>
    </row>
    <row r="53" spans="1:5" x14ac:dyDescent="0.2">
      <c r="B53" s="21">
        <v>54.2</v>
      </c>
      <c r="C53" s="21">
        <v>19.87</v>
      </c>
      <c r="D53" s="22">
        <f t="shared" si="4"/>
        <v>3.9740000000000002</v>
      </c>
      <c r="E53" s="23">
        <f t="shared" si="5"/>
        <v>210.69</v>
      </c>
    </row>
    <row r="54" spans="1:5" x14ac:dyDescent="0.2">
      <c r="B54" s="21">
        <v>59.3</v>
      </c>
      <c r="C54" s="21">
        <v>20.47</v>
      </c>
      <c r="D54" s="22">
        <f t="shared" si="4"/>
        <v>4.0137254901960828</v>
      </c>
      <c r="E54" s="23">
        <f t="shared" si="5"/>
        <v>231.16</v>
      </c>
    </row>
    <row r="55" spans="1:5" x14ac:dyDescent="0.2">
      <c r="B55" s="21">
        <v>65.400000000000006</v>
      </c>
      <c r="C55" s="21">
        <v>20.57</v>
      </c>
      <c r="D55" s="22">
        <f t="shared" si="4"/>
        <v>3.372131147540979</v>
      </c>
      <c r="E55" s="23">
        <f t="shared" si="5"/>
        <v>251.73</v>
      </c>
    </row>
    <row r="56" spans="1:5" x14ac:dyDescent="0.2">
      <c r="B56" s="21">
        <v>73.2</v>
      </c>
      <c r="C56" s="21">
        <v>18.97</v>
      </c>
      <c r="D56" s="22">
        <f t="shared" si="4"/>
        <v>2.4320512820512827</v>
      </c>
      <c r="E56" s="23">
        <f t="shared" si="5"/>
        <v>270.7</v>
      </c>
    </row>
    <row r="57" spans="1:5" x14ac:dyDescent="0.2">
      <c r="B57" s="21">
        <v>100</v>
      </c>
      <c r="C57" s="21">
        <v>22.57</v>
      </c>
      <c r="D57" s="22">
        <f t="shared" si="4"/>
        <v>0.84216417910447772</v>
      </c>
      <c r="E57" s="23">
        <f t="shared" si="5"/>
        <v>293.27</v>
      </c>
    </row>
    <row r="58" spans="1:5" ht="15.75" x14ac:dyDescent="0.25">
      <c r="C58" s="30">
        <f>SUM(C49:C57)</f>
        <v>293.27</v>
      </c>
      <c r="D58" s="36" t="s">
        <v>17</v>
      </c>
      <c r="E58" s="30">
        <f>C58-C50</f>
        <v>146.96999999999997</v>
      </c>
    </row>
    <row r="59" spans="1:5" ht="15.75" x14ac:dyDescent="0.25">
      <c r="C59" s="30">
        <f>C58/100</f>
        <v>2.9326999999999996</v>
      </c>
      <c r="D59" s="36" t="s">
        <v>18</v>
      </c>
      <c r="E59" s="26"/>
    </row>
    <row r="60" spans="1:5" ht="15.75" x14ac:dyDescent="0.25">
      <c r="C60" s="26"/>
      <c r="D60" s="38"/>
      <c r="E60" s="36"/>
    </row>
    <row r="61" spans="1:5" x14ac:dyDescent="0.2">
      <c r="E61" s="18"/>
    </row>
    <row r="62" spans="1:5" x14ac:dyDescent="0.2">
      <c r="E62" s="18"/>
    </row>
    <row r="63" spans="1:5" ht="15.75" x14ac:dyDescent="0.25">
      <c r="C63" s="31" t="s">
        <v>32</v>
      </c>
      <c r="D63" s="31" t="s">
        <v>33</v>
      </c>
      <c r="E63" s="18"/>
    </row>
    <row r="64" spans="1:5" ht="15.75" x14ac:dyDescent="0.25">
      <c r="B64" s="30" t="s">
        <v>12</v>
      </c>
      <c r="C64" s="29">
        <f>C58+C37+C19</f>
        <v>805.38</v>
      </c>
      <c r="D64" s="23">
        <f t="shared" ref="D64:D69" si="6">C64/100</f>
        <v>8.0538000000000007</v>
      </c>
      <c r="E64" s="18"/>
    </row>
    <row r="65" spans="2:6" x14ac:dyDescent="0.2">
      <c r="B65" s="44" t="s">
        <v>13</v>
      </c>
      <c r="C65" s="23">
        <f>C19-C10</f>
        <v>151.72</v>
      </c>
      <c r="D65" s="23">
        <f t="shared" si="6"/>
        <v>1.5171999999999999</v>
      </c>
      <c r="E65" s="22" t="s">
        <v>24</v>
      </c>
      <c r="F65" s="48">
        <f>AVERAGE(C65:C67)</f>
        <v>149.66</v>
      </c>
    </row>
    <row r="66" spans="2:6" x14ac:dyDescent="0.2">
      <c r="B66" s="45"/>
      <c r="C66" s="23">
        <f>C58-C50</f>
        <v>146.96999999999997</v>
      </c>
      <c r="D66" s="23">
        <f t="shared" si="6"/>
        <v>1.4696999999999998</v>
      </c>
      <c r="E66" s="22" t="s">
        <v>25</v>
      </c>
      <c r="F66" s="48"/>
    </row>
    <row r="67" spans="2:6" x14ac:dyDescent="0.2">
      <c r="B67" s="46"/>
      <c r="C67" s="29">
        <f>C37-C29</f>
        <v>150.29000000000002</v>
      </c>
      <c r="D67" s="23">
        <f t="shared" si="6"/>
        <v>1.5029000000000001</v>
      </c>
      <c r="E67" s="22" t="s">
        <v>26</v>
      </c>
      <c r="F67" s="48"/>
    </row>
    <row r="68" spans="2:6" ht="15.75" x14ac:dyDescent="0.25">
      <c r="B68" s="30" t="s">
        <v>23</v>
      </c>
      <c r="C68" s="29">
        <f>C64-C66-C37</f>
        <v>322.82000000000005</v>
      </c>
      <c r="D68" s="23">
        <f t="shared" si="6"/>
        <v>3.2282000000000006</v>
      </c>
      <c r="F68" s="18" t="s">
        <v>37</v>
      </c>
    </row>
    <row r="69" spans="2:6" ht="15.75" x14ac:dyDescent="0.25">
      <c r="B69" s="30" t="s">
        <v>28</v>
      </c>
      <c r="C69" s="29">
        <f>C37</f>
        <v>335.59000000000003</v>
      </c>
      <c r="D69" s="23">
        <f t="shared" si="6"/>
        <v>3.3559000000000001</v>
      </c>
    </row>
    <row r="80" spans="2:6" x14ac:dyDescent="0.2">
      <c r="B80" s="18" t="s">
        <v>49</v>
      </c>
      <c r="C80" s="40">
        <f>C58+C37+C10</f>
        <v>653.66</v>
      </c>
      <c r="D80" s="18" t="s">
        <v>21</v>
      </c>
      <c r="E80" s="20" t="s">
        <v>22</v>
      </c>
      <c r="F80" s="40">
        <f>$C$64-C80</f>
        <v>151.72000000000003</v>
      </c>
    </row>
    <row r="81" spans="3:6" x14ac:dyDescent="0.2">
      <c r="C81" s="40">
        <f>C58+C29+C19</f>
        <v>655.09</v>
      </c>
      <c r="D81" s="18" t="s">
        <v>50</v>
      </c>
      <c r="F81" s="40">
        <f t="shared" ref="F81:F82" si="7">$C$64-C81</f>
        <v>150.28999999999996</v>
      </c>
    </row>
    <row r="82" spans="3:6" x14ac:dyDescent="0.2">
      <c r="C82" s="40">
        <f>C50+C37+C19</f>
        <v>658.41000000000008</v>
      </c>
      <c r="D82" s="18" t="s">
        <v>51</v>
      </c>
      <c r="F82" s="40">
        <f t="shared" si="7"/>
        <v>146.96999999999991</v>
      </c>
    </row>
  </sheetData>
  <mergeCells count="5">
    <mergeCell ref="B6:E6"/>
    <mergeCell ref="B25:E25"/>
    <mergeCell ref="B46:E46"/>
    <mergeCell ref="B65:B67"/>
    <mergeCell ref="F65:F6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C576-AA93-4283-B9B3-19E634EAE984}">
  <dimension ref="A2:H68"/>
  <sheetViews>
    <sheetView topLeftCell="A46" zoomScale="165" zoomScaleNormal="165" workbookViewId="0">
      <selection activeCell="E19" sqref="E19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18" customWidth="1"/>
    <col min="7" max="16384" width="8.85546875" style="18"/>
  </cols>
  <sheetData>
    <row r="2" spans="1:6" ht="18" x14ac:dyDescent="0.25">
      <c r="B2" s="27" t="s">
        <v>38</v>
      </c>
      <c r="C2" s="28"/>
      <c r="D2" s="28"/>
    </row>
    <row r="3" spans="1:6" x14ac:dyDescent="0.2">
      <c r="B3" s="19" t="s">
        <v>39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40</v>
      </c>
      <c r="C6" s="47"/>
      <c r="D6" s="47"/>
      <c r="E6" s="47"/>
    </row>
    <row r="7" spans="1:6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14.7</v>
      </c>
      <c r="C10" s="39">
        <v>22</v>
      </c>
      <c r="D10" s="22">
        <f t="shared" ref="D10:D17" si="0">C10/(B10-B9)</f>
        <v>1.4965986394557824</v>
      </c>
      <c r="E10" s="23">
        <f t="shared" ref="E10:E17" si="1">E9+C10</f>
        <v>22</v>
      </c>
    </row>
    <row r="11" spans="1:6" x14ac:dyDescent="0.2">
      <c r="B11" s="21">
        <v>24.5</v>
      </c>
      <c r="C11" s="21">
        <v>20.77</v>
      </c>
      <c r="D11" s="22">
        <f t="shared" si="0"/>
        <v>2.1193877551020406</v>
      </c>
      <c r="E11" s="23">
        <f t="shared" si="1"/>
        <v>42.769999999999996</v>
      </c>
    </row>
    <row r="12" spans="1:6" x14ac:dyDescent="0.2">
      <c r="B12" s="21">
        <v>33.4</v>
      </c>
      <c r="C12" s="21">
        <v>20.5</v>
      </c>
      <c r="D12" s="22">
        <f t="shared" si="0"/>
        <v>2.3033707865168545</v>
      </c>
      <c r="E12" s="23">
        <f t="shared" si="1"/>
        <v>63.269999999999996</v>
      </c>
    </row>
    <row r="13" spans="1:6" x14ac:dyDescent="0.2">
      <c r="B13" s="21">
        <v>42.5</v>
      </c>
      <c r="C13" s="41">
        <v>20.5</v>
      </c>
      <c r="D13" s="22">
        <f t="shared" si="0"/>
        <v>2.2527472527472523</v>
      </c>
      <c r="E13" s="23">
        <f t="shared" si="1"/>
        <v>83.77</v>
      </c>
    </row>
    <row r="14" spans="1:6" x14ac:dyDescent="0.2">
      <c r="B14" s="21">
        <v>51.3</v>
      </c>
      <c r="C14" s="21">
        <v>23</v>
      </c>
      <c r="D14" s="22">
        <f t="shared" si="0"/>
        <v>2.6136363636363646</v>
      </c>
      <c r="E14" s="23">
        <f t="shared" si="1"/>
        <v>106.77</v>
      </c>
    </row>
    <row r="15" spans="1:6" x14ac:dyDescent="0.2">
      <c r="B15" s="21">
        <v>62</v>
      </c>
      <c r="C15" s="21">
        <v>23.3</v>
      </c>
      <c r="D15" s="22">
        <f t="shared" si="0"/>
        <v>2.1775700934579434</v>
      </c>
      <c r="E15" s="23">
        <f t="shared" si="1"/>
        <v>130.07</v>
      </c>
    </row>
    <row r="16" spans="1:6" x14ac:dyDescent="0.2">
      <c r="B16" s="21">
        <v>76</v>
      </c>
      <c r="C16" s="21">
        <v>17.7</v>
      </c>
      <c r="D16" s="22">
        <f t="shared" si="0"/>
        <v>1.2642857142857142</v>
      </c>
      <c r="E16" s="23">
        <f t="shared" si="1"/>
        <v>147.76999999999998</v>
      </c>
    </row>
    <row r="17" spans="1:8" x14ac:dyDescent="0.2">
      <c r="B17" s="21">
        <v>100</v>
      </c>
      <c r="C17" s="21">
        <v>4.2699999999999996</v>
      </c>
      <c r="D17" s="22">
        <f t="shared" si="0"/>
        <v>0.17791666666666664</v>
      </c>
      <c r="E17" s="23">
        <f t="shared" si="1"/>
        <v>152.04</v>
      </c>
    </row>
    <row r="18" spans="1:8" ht="15.75" x14ac:dyDescent="0.25">
      <c r="C18" s="31">
        <f>SUM(C9:C17)</f>
        <v>152.04</v>
      </c>
      <c r="D18" s="36" t="s">
        <v>17</v>
      </c>
      <c r="E18" s="30">
        <f>C18-C10</f>
        <v>130.04</v>
      </c>
    </row>
    <row r="19" spans="1:8" ht="15.75" x14ac:dyDescent="0.25">
      <c r="C19" s="31">
        <f>C18/100</f>
        <v>1.5204</v>
      </c>
      <c r="D19" s="36" t="s">
        <v>18</v>
      </c>
      <c r="E19" s="26"/>
    </row>
    <row r="22" spans="1:8" x14ac:dyDescent="0.2">
      <c r="H22" s="18" t="s">
        <v>53</v>
      </c>
    </row>
    <row r="23" spans="1:8" x14ac:dyDescent="0.2">
      <c r="F23" s="19"/>
    </row>
    <row r="24" spans="1:8" ht="23.1" customHeight="1" x14ac:dyDescent="0.2">
      <c r="B24" s="47" t="s">
        <v>43</v>
      </c>
      <c r="C24" s="47"/>
      <c r="D24" s="47"/>
      <c r="E24" s="47"/>
    </row>
    <row r="25" spans="1:8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8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8" x14ac:dyDescent="0.2">
      <c r="B27" s="21">
        <v>0</v>
      </c>
      <c r="C27" s="21">
        <v>0</v>
      </c>
      <c r="D27" s="22">
        <v>0</v>
      </c>
      <c r="E27" s="23">
        <v>0</v>
      </c>
    </row>
    <row r="28" spans="1:8" x14ac:dyDescent="0.2">
      <c r="A28" s="18" t="s">
        <v>34</v>
      </c>
      <c r="B28" s="21">
        <v>43.1</v>
      </c>
      <c r="C28" s="39">
        <f>1.837*100</f>
        <v>183.7</v>
      </c>
      <c r="D28" s="22">
        <f>C28/(B28-B27)</f>
        <v>4.2621809744779577</v>
      </c>
      <c r="E28" s="23">
        <f>E27+C28</f>
        <v>183.7</v>
      </c>
    </row>
    <row r="29" spans="1:8" x14ac:dyDescent="0.2">
      <c r="B29" s="21">
        <v>46.7</v>
      </c>
      <c r="C29" s="21">
        <v>19.87</v>
      </c>
      <c r="D29" s="22">
        <f>C29/(B29-B28)</f>
        <v>5.5194444444444422</v>
      </c>
      <c r="E29" s="23">
        <f>E28+C29</f>
        <v>203.57</v>
      </c>
    </row>
    <row r="30" spans="1:8" x14ac:dyDescent="0.2">
      <c r="B30" s="21">
        <v>50.6</v>
      </c>
      <c r="C30" s="21">
        <v>19.2</v>
      </c>
      <c r="D30" s="22">
        <f t="shared" ref="D30:D35" si="2">C30/(B30-B29)</f>
        <v>4.9230769230769251</v>
      </c>
      <c r="E30" s="23">
        <f t="shared" ref="E30:E35" si="3">E29+C30</f>
        <v>222.76999999999998</v>
      </c>
    </row>
    <row r="31" spans="1:8" x14ac:dyDescent="0.2">
      <c r="B31" s="21">
        <v>56.3</v>
      </c>
      <c r="C31" s="21">
        <v>23.37</v>
      </c>
      <c r="D31" s="22">
        <f t="shared" si="2"/>
        <v>4.1000000000000032</v>
      </c>
      <c r="E31" s="23">
        <f t="shared" si="3"/>
        <v>246.14</v>
      </c>
    </row>
    <row r="32" spans="1:8" x14ac:dyDescent="0.2">
      <c r="B32" s="21">
        <v>61.7</v>
      </c>
      <c r="C32" s="21">
        <v>21.37</v>
      </c>
      <c r="D32" s="22">
        <f t="shared" si="2"/>
        <v>3.9574074074074033</v>
      </c>
      <c r="E32" s="23">
        <f t="shared" si="3"/>
        <v>267.51</v>
      </c>
    </row>
    <row r="33" spans="2:6" x14ac:dyDescent="0.2">
      <c r="B33" s="21">
        <v>67.900000000000006</v>
      </c>
      <c r="C33" s="21">
        <v>21.47</v>
      </c>
      <c r="D33" s="22">
        <f t="shared" si="2"/>
        <v>3.4629032258064498</v>
      </c>
      <c r="E33" s="23">
        <f t="shared" si="3"/>
        <v>288.98</v>
      </c>
    </row>
    <row r="34" spans="2:6" x14ac:dyDescent="0.2">
      <c r="B34" s="21">
        <v>76.3</v>
      </c>
      <c r="C34" s="21">
        <v>22.87</v>
      </c>
      <c r="D34" s="22">
        <f t="shared" si="2"/>
        <v>2.7226190476190504</v>
      </c>
      <c r="E34" s="23">
        <f t="shared" si="3"/>
        <v>311.85000000000002</v>
      </c>
    </row>
    <row r="35" spans="2:6" x14ac:dyDescent="0.2">
      <c r="B35" s="21">
        <v>100</v>
      </c>
      <c r="C35" s="21">
        <v>21.07</v>
      </c>
      <c r="D35" s="22">
        <f t="shared" si="2"/>
        <v>0.88902953586497879</v>
      </c>
      <c r="E35" s="23">
        <f t="shared" si="3"/>
        <v>332.92</v>
      </c>
    </row>
    <row r="36" spans="2:6" ht="15.75" x14ac:dyDescent="0.25">
      <c r="C36" s="37">
        <f>SUM(C28:C35)</f>
        <v>332.92</v>
      </c>
      <c r="D36" s="36" t="s">
        <v>17</v>
      </c>
      <c r="E36" s="37">
        <f>C36-C28</f>
        <v>149.22000000000003</v>
      </c>
    </row>
    <row r="37" spans="2:6" ht="15.75" x14ac:dyDescent="0.25">
      <c r="C37" s="30">
        <f>C36/100</f>
        <v>3.3292000000000002</v>
      </c>
      <c r="D37" s="36" t="s">
        <v>18</v>
      </c>
      <c r="E37" s="26"/>
    </row>
    <row r="38" spans="2:6" x14ac:dyDescent="0.2">
      <c r="D38" s="20"/>
      <c r="E38" s="18"/>
    </row>
    <row r="42" spans="2:6" x14ac:dyDescent="0.2">
      <c r="F42" s="19"/>
    </row>
    <row r="43" spans="2:6" x14ac:dyDescent="0.2">
      <c r="F43" s="19"/>
    </row>
    <row r="44" spans="2:6" x14ac:dyDescent="0.2">
      <c r="F44" s="19"/>
    </row>
    <row r="45" spans="2:6" ht="23.1" customHeight="1" x14ac:dyDescent="0.2">
      <c r="B45" s="47" t="s">
        <v>44</v>
      </c>
      <c r="C45" s="47"/>
      <c r="D45" s="47"/>
      <c r="E45" s="47"/>
    </row>
    <row r="46" spans="2:6" ht="15.75" x14ac:dyDescent="0.2">
      <c r="B46" s="34" t="s">
        <v>41</v>
      </c>
      <c r="C46" s="34" t="s">
        <v>42</v>
      </c>
      <c r="D46" s="35" t="s">
        <v>4</v>
      </c>
      <c r="E46" s="34" t="s">
        <v>5</v>
      </c>
    </row>
    <row r="47" spans="2:6" x14ac:dyDescent="0.2">
      <c r="B47" s="32" t="s">
        <v>6</v>
      </c>
      <c r="C47" s="32" t="s">
        <v>17</v>
      </c>
      <c r="D47" s="33" t="s">
        <v>19</v>
      </c>
      <c r="E47" s="32" t="s">
        <v>20</v>
      </c>
    </row>
    <row r="48" spans="2:6" x14ac:dyDescent="0.2">
      <c r="B48" s="21">
        <v>0</v>
      </c>
      <c r="C48" s="21">
        <v>0</v>
      </c>
      <c r="D48" s="22">
        <v>0</v>
      </c>
      <c r="E48" s="23">
        <v>0</v>
      </c>
    </row>
    <row r="49" spans="1:5" x14ac:dyDescent="0.2">
      <c r="A49" s="18" t="s">
        <v>34</v>
      </c>
      <c r="B49" s="21">
        <v>40.1</v>
      </c>
      <c r="C49" s="39">
        <f>1.613*100</f>
        <v>161.30000000000001</v>
      </c>
      <c r="D49" s="22">
        <f>C49/(B49-B48)</f>
        <v>4.0224438902743147</v>
      </c>
      <c r="E49" s="23">
        <f>E48+C49</f>
        <v>161.30000000000001</v>
      </c>
    </row>
    <row r="50" spans="1:5" x14ac:dyDescent="0.2">
      <c r="B50" s="21">
        <v>43.5</v>
      </c>
      <c r="C50" s="21">
        <v>17.47</v>
      </c>
      <c r="D50" s="22">
        <f t="shared" ref="D50:D56" si="4">C50/(B50-B49)</f>
        <v>5.1382352941176492</v>
      </c>
      <c r="E50" s="23">
        <f t="shared" ref="E50:E56" si="5">E49+C50</f>
        <v>178.77</v>
      </c>
    </row>
    <row r="51" spans="1:5" x14ac:dyDescent="0.2">
      <c r="B51" s="21">
        <v>48.7</v>
      </c>
      <c r="C51" s="21">
        <v>20.9</v>
      </c>
      <c r="D51" s="22">
        <f t="shared" si="4"/>
        <v>4.0192307692307665</v>
      </c>
      <c r="E51" s="23">
        <f t="shared" si="5"/>
        <v>199.67000000000002</v>
      </c>
    </row>
    <row r="52" spans="1:5" x14ac:dyDescent="0.2">
      <c r="B52" s="21">
        <v>53.9</v>
      </c>
      <c r="C52" s="21">
        <v>22.77</v>
      </c>
      <c r="D52" s="22">
        <f t="shared" si="4"/>
        <v>4.3788461538461574</v>
      </c>
      <c r="E52" s="23">
        <f t="shared" si="5"/>
        <v>222.44000000000003</v>
      </c>
    </row>
    <row r="53" spans="1:5" x14ac:dyDescent="0.2">
      <c r="B53" s="21">
        <v>60.1</v>
      </c>
      <c r="C53" s="21">
        <v>18.670000000000002</v>
      </c>
      <c r="D53" s="22">
        <f t="shared" si="4"/>
        <v>3.0112903225806442</v>
      </c>
      <c r="E53" s="23">
        <f t="shared" si="5"/>
        <v>241.11</v>
      </c>
    </row>
    <row r="54" spans="1:5" x14ac:dyDescent="0.2">
      <c r="B54" s="21">
        <v>67</v>
      </c>
      <c r="C54" s="21">
        <v>20.77</v>
      </c>
      <c r="D54" s="22">
        <f t="shared" si="4"/>
        <v>3.0101449275362326</v>
      </c>
      <c r="E54" s="23">
        <f t="shared" si="5"/>
        <v>261.88</v>
      </c>
    </row>
    <row r="55" spans="1:5" x14ac:dyDescent="0.2">
      <c r="B55" s="21">
        <v>77.2</v>
      </c>
      <c r="C55" s="21">
        <v>20.87</v>
      </c>
      <c r="D55" s="22">
        <f t="shared" si="4"/>
        <v>2.0460784313725484</v>
      </c>
      <c r="E55" s="23">
        <f t="shared" si="5"/>
        <v>282.75</v>
      </c>
    </row>
    <row r="56" spans="1:5" x14ac:dyDescent="0.2">
      <c r="B56" s="21">
        <v>100</v>
      </c>
      <c r="C56" s="21">
        <v>12.37</v>
      </c>
      <c r="D56" s="22">
        <f t="shared" si="4"/>
        <v>0.54254385964912288</v>
      </c>
      <c r="E56" s="23">
        <f t="shared" si="5"/>
        <v>295.12</v>
      </c>
    </row>
    <row r="57" spans="1:5" ht="15.75" x14ac:dyDescent="0.25">
      <c r="C57" s="30">
        <f>SUM(C48:C56)</f>
        <v>295.12</v>
      </c>
      <c r="D57" s="36" t="s">
        <v>17</v>
      </c>
      <c r="E57" s="30">
        <f>C57-C49</f>
        <v>133.82</v>
      </c>
    </row>
    <row r="58" spans="1:5" ht="15.75" x14ac:dyDescent="0.25">
      <c r="C58" s="30">
        <f>C57/100</f>
        <v>2.9512</v>
      </c>
      <c r="D58" s="36" t="s">
        <v>18</v>
      </c>
      <c r="E58" s="26"/>
    </row>
    <row r="59" spans="1:5" ht="15.75" x14ac:dyDescent="0.25">
      <c r="C59" s="26"/>
      <c r="D59" s="38"/>
      <c r="E59" s="36"/>
    </row>
    <row r="60" spans="1:5" x14ac:dyDescent="0.2">
      <c r="E60" s="18"/>
    </row>
    <row r="61" spans="1:5" x14ac:dyDescent="0.2">
      <c r="E61" s="18"/>
    </row>
    <row r="62" spans="1:5" ht="15.75" x14ac:dyDescent="0.25">
      <c r="C62" s="31" t="s">
        <v>32</v>
      </c>
      <c r="D62" s="31" t="s">
        <v>33</v>
      </c>
      <c r="E62" s="18"/>
    </row>
    <row r="63" spans="1:5" ht="15.75" x14ac:dyDescent="0.25">
      <c r="B63" s="30" t="s">
        <v>12</v>
      </c>
      <c r="C63" s="29">
        <f>C57+C36+C18</f>
        <v>780.07999999999993</v>
      </c>
      <c r="D63" s="23">
        <f t="shared" ref="D63:D68" si="6">C63/100</f>
        <v>7.8007999999999988</v>
      </c>
      <c r="E63" s="18"/>
    </row>
    <row r="64" spans="1:5" x14ac:dyDescent="0.2">
      <c r="B64" s="44" t="s">
        <v>13</v>
      </c>
      <c r="C64" s="29">
        <f>C18-C10</f>
        <v>130.04</v>
      </c>
      <c r="D64" s="23">
        <f t="shared" si="6"/>
        <v>1.3004</v>
      </c>
      <c r="E64" s="22" t="s">
        <v>45</v>
      </c>
    </row>
    <row r="65" spans="2:6" x14ac:dyDescent="0.2">
      <c r="B65" s="45"/>
      <c r="C65" s="29">
        <f>C36-C28</f>
        <v>149.22000000000003</v>
      </c>
      <c r="D65" s="23">
        <f>C65/100</f>
        <v>1.4922000000000002</v>
      </c>
      <c r="E65" s="22" t="s">
        <v>47</v>
      </c>
    </row>
    <row r="66" spans="2:6" x14ac:dyDescent="0.2">
      <c r="B66" s="46"/>
      <c r="C66" s="29">
        <f>C57-C49</f>
        <v>133.82</v>
      </c>
      <c r="D66" s="23">
        <f>C66/100</f>
        <v>1.3381999999999998</v>
      </c>
      <c r="E66" s="22" t="s">
        <v>46</v>
      </c>
    </row>
    <row r="67" spans="2:6" ht="15.75" x14ac:dyDescent="0.25">
      <c r="B67" s="30" t="s">
        <v>23</v>
      </c>
      <c r="C67" s="29">
        <f>C63-C68-AVERAGE(C64:C66)</f>
        <v>309.46666666666658</v>
      </c>
      <c r="D67" s="23">
        <f t="shared" si="6"/>
        <v>3.094666666666666</v>
      </c>
      <c r="F67" s="18" t="s">
        <v>48</v>
      </c>
    </row>
    <row r="68" spans="2:6" ht="15.75" x14ac:dyDescent="0.25">
      <c r="B68" s="30" t="s">
        <v>28</v>
      </c>
      <c r="C68" s="29">
        <f>C36</f>
        <v>332.92</v>
      </c>
      <c r="D68" s="23">
        <f t="shared" si="6"/>
        <v>3.3292000000000002</v>
      </c>
    </row>
  </sheetData>
  <mergeCells count="4">
    <mergeCell ref="B6:E6"/>
    <mergeCell ref="B24:E24"/>
    <mergeCell ref="B45:E45"/>
    <mergeCell ref="B64:B6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8904-813F-4F24-83F1-E62078800B23}">
  <dimension ref="A2:F68"/>
  <sheetViews>
    <sheetView topLeftCell="A44" zoomScale="170" zoomScaleNormal="170" workbookViewId="0">
      <selection activeCell="D22" sqref="D22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18" customWidth="1"/>
    <col min="7" max="16384" width="8.85546875" style="18"/>
  </cols>
  <sheetData>
    <row r="2" spans="1:6" ht="18" x14ac:dyDescent="0.25">
      <c r="B2" s="27" t="s">
        <v>38</v>
      </c>
      <c r="C2" s="28"/>
      <c r="D2" s="28"/>
    </row>
    <row r="3" spans="1:6" x14ac:dyDescent="0.2">
      <c r="B3" s="19" t="s">
        <v>52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40</v>
      </c>
      <c r="C6" s="47"/>
      <c r="D6" s="47"/>
      <c r="E6" s="47"/>
    </row>
    <row r="7" spans="1:6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16</v>
      </c>
      <c r="C10" s="39">
        <v>22</v>
      </c>
      <c r="D10" s="22">
        <f t="shared" ref="D10:D17" si="0">C10/(B10-B9)</f>
        <v>1.375</v>
      </c>
      <c r="E10" s="23">
        <f t="shared" ref="E10:E17" si="1">E9+C10</f>
        <v>22</v>
      </c>
    </row>
    <row r="11" spans="1:6" x14ac:dyDescent="0.2">
      <c r="B11" s="21">
        <v>25.9</v>
      </c>
      <c r="C11" s="21">
        <v>23.5</v>
      </c>
      <c r="D11" s="22">
        <f t="shared" si="0"/>
        <v>2.3737373737373741</v>
      </c>
      <c r="E11" s="23">
        <f t="shared" si="1"/>
        <v>45.5</v>
      </c>
    </row>
    <row r="12" spans="1:6" x14ac:dyDescent="0.2">
      <c r="B12" s="21">
        <v>34.700000000000003</v>
      </c>
      <c r="C12" s="21">
        <v>22.87</v>
      </c>
      <c r="D12" s="22">
        <f t="shared" si="0"/>
        <v>2.5988636363636353</v>
      </c>
      <c r="E12" s="23">
        <f t="shared" si="1"/>
        <v>68.37</v>
      </c>
    </row>
    <row r="13" spans="1:6" x14ac:dyDescent="0.2">
      <c r="B13" s="21">
        <v>43.8</v>
      </c>
      <c r="C13" s="21">
        <v>24.07</v>
      </c>
      <c r="D13" s="22">
        <f t="shared" si="0"/>
        <v>2.6450549450549468</v>
      </c>
      <c r="E13" s="23">
        <f t="shared" si="1"/>
        <v>92.44</v>
      </c>
    </row>
    <row r="14" spans="1:6" x14ac:dyDescent="0.2">
      <c r="B14" s="21">
        <v>53.2</v>
      </c>
      <c r="C14" s="21">
        <v>23.77</v>
      </c>
      <c r="D14" s="22">
        <f t="shared" si="0"/>
        <v>2.5287234042553175</v>
      </c>
      <c r="E14" s="23">
        <f t="shared" si="1"/>
        <v>116.21</v>
      </c>
    </row>
    <row r="15" spans="1:6" x14ac:dyDescent="0.2">
      <c r="B15" s="21">
        <v>66</v>
      </c>
      <c r="C15" s="21">
        <v>26.17</v>
      </c>
      <c r="D15" s="22">
        <f t="shared" si="0"/>
        <v>2.0445312500000008</v>
      </c>
      <c r="E15" s="23">
        <f t="shared" si="1"/>
        <v>142.38</v>
      </c>
    </row>
    <row r="16" spans="1:6" x14ac:dyDescent="0.2">
      <c r="B16" s="21">
        <v>86.7</v>
      </c>
      <c r="C16" s="21">
        <v>21.67</v>
      </c>
      <c r="D16" s="22">
        <f t="shared" si="0"/>
        <v>1.0468599033816424</v>
      </c>
      <c r="E16" s="23">
        <f t="shared" si="1"/>
        <v>164.05</v>
      </c>
    </row>
    <row r="17" spans="1:6" x14ac:dyDescent="0.2">
      <c r="B17" s="21">
        <v>100</v>
      </c>
      <c r="C17" s="21">
        <v>4.57</v>
      </c>
      <c r="D17" s="22">
        <f t="shared" si="0"/>
        <v>0.34360902255639109</v>
      </c>
      <c r="E17" s="23">
        <f t="shared" si="1"/>
        <v>168.62</v>
      </c>
    </row>
    <row r="18" spans="1:6" ht="15.75" x14ac:dyDescent="0.25">
      <c r="C18" s="31">
        <f>SUM(C9:C17)</f>
        <v>168.62</v>
      </c>
      <c r="D18" s="36" t="s">
        <v>17</v>
      </c>
      <c r="E18" s="30">
        <f>C18-C10</f>
        <v>146.62</v>
      </c>
    </row>
    <row r="19" spans="1:6" ht="15.75" x14ac:dyDescent="0.25">
      <c r="C19" s="31">
        <f>C18/100</f>
        <v>1.6862000000000001</v>
      </c>
      <c r="D19" s="36" t="s">
        <v>18</v>
      </c>
      <c r="E19" s="26"/>
    </row>
    <row r="23" spans="1:6" x14ac:dyDescent="0.2">
      <c r="F23" s="19"/>
    </row>
    <row r="24" spans="1:6" ht="23.1" customHeight="1" x14ac:dyDescent="0.2">
      <c r="B24" s="47" t="s">
        <v>43</v>
      </c>
      <c r="C24" s="47"/>
      <c r="D24" s="47"/>
      <c r="E24" s="47"/>
    </row>
    <row r="25" spans="1:6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6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6" x14ac:dyDescent="0.2">
      <c r="B27" s="21">
        <v>0</v>
      </c>
      <c r="C27" s="21">
        <v>0</v>
      </c>
      <c r="D27" s="22">
        <v>0</v>
      </c>
      <c r="E27" s="23">
        <v>0</v>
      </c>
    </row>
    <row r="28" spans="1:6" x14ac:dyDescent="0.2">
      <c r="A28" s="18" t="s">
        <v>34</v>
      </c>
      <c r="B28" s="21">
        <v>43</v>
      </c>
      <c r="C28" s="39">
        <v>184</v>
      </c>
      <c r="D28" s="22">
        <f>C28/(B28-B27)</f>
        <v>4.2790697674418601</v>
      </c>
      <c r="E28" s="23">
        <f>E27+C28</f>
        <v>184</v>
      </c>
    </row>
    <row r="29" spans="1:6" x14ac:dyDescent="0.2">
      <c r="B29" s="21">
        <v>47.2</v>
      </c>
      <c r="C29" s="21">
        <v>21.37</v>
      </c>
      <c r="D29" s="22">
        <f>C29/(B29-B28)</f>
        <v>5.0880952380952351</v>
      </c>
      <c r="E29" s="23">
        <f>E28+C29</f>
        <v>205.37</v>
      </c>
    </row>
    <row r="30" spans="1:6" x14ac:dyDescent="0.2">
      <c r="B30" s="21">
        <v>51.7</v>
      </c>
      <c r="C30" s="21">
        <v>20.97</v>
      </c>
      <c r="D30" s="22">
        <f t="shared" ref="D30:D33" si="2">C30/(B30-B29)</f>
        <v>4.66</v>
      </c>
      <c r="E30" s="23">
        <f t="shared" ref="E30:E33" si="3">E29+C30</f>
        <v>226.34</v>
      </c>
    </row>
    <row r="31" spans="1:6" x14ac:dyDescent="0.2">
      <c r="B31" s="21">
        <v>56.7</v>
      </c>
      <c r="C31" s="21">
        <v>21.37</v>
      </c>
      <c r="D31" s="22">
        <f t="shared" si="2"/>
        <v>4.274</v>
      </c>
      <c r="E31" s="23">
        <f t="shared" si="3"/>
        <v>247.71</v>
      </c>
    </row>
    <row r="32" spans="1:6" x14ac:dyDescent="0.2">
      <c r="B32" s="21">
        <v>61.9</v>
      </c>
      <c r="C32" s="21">
        <v>20.77</v>
      </c>
      <c r="D32" s="22">
        <f t="shared" si="2"/>
        <v>3.9942307692307724</v>
      </c>
      <c r="E32" s="23">
        <f t="shared" si="3"/>
        <v>268.48</v>
      </c>
    </row>
    <row r="33" spans="2:6" x14ac:dyDescent="0.2">
      <c r="B33" s="21">
        <v>68.900000000000006</v>
      </c>
      <c r="C33" s="21">
        <v>21.97</v>
      </c>
      <c r="D33" s="22">
        <f t="shared" si="2"/>
        <v>3.1385714285714252</v>
      </c>
      <c r="E33" s="23">
        <f t="shared" si="3"/>
        <v>290.45000000000005</v>
      </c>
    </row>
    <row r="34" spans="2:6" x14ac:dyDescent="0.2">
      <c r="B34" s="21">
        <v>78.3</v>
      </c>
      <c r="C34" s="21">
        <v>21.07</v>
      </c>
      <c r="D34" s="22">
        <f t="shared" ref="D34" si="4">C34/(B34-B33)</f>
        <v>2.2414893617021296</v>
      </c>
      <c r="E34" s="23">
        <f t="shared" ref="E34" si="5">E33+C34</f>
        <v>311.52000000000004</v>
      </c>
    </row>
    <row r="35" spans="2:6" x14ac:dyDescent="0.2">
      <c r="B35" s="21">
        <v>100</v>
      </c>
      <c r="C35" s="21">
        <v>17.77</v>
      </c>
      <c r="D35" s="22">
        <f t="shared" ref="D35" si="6">C35/(B35-B34)</f>
        <v>0.81889400921658972</v>
      </c>
      <c r="E35" s="23">
        <f t="shared" ref="E35" si="7">E34+C35</f>
        <v>329.29</v>
      </c>
    </row>
    <row r="36" spans="2:6" ht="15.75" x14ac:dyDescent="0.25">
      <c r="C36" s="37">
        <f>SUM(C28:C35)</f>
        <v>329.29</v>
      </c>
      <c r="D36" s="36" t="s">
        <v>17</v>
      </c>
      <c r="E36" s="37">
        <f>C36-C28</f>
        <v>145.29000000000002</v>
      </c>
    </row>
    <row r="37" spans="2:6" ht="15.75" x14ac:dyDescent="0.25">
      <c r="C37" s="30">
        <f>C36/100</f>
        <v>3.2929000000000004</v>
      </c>
      <c r="D37" s="36" t="s">
        <v>18</v>
      </c>
      <c r="E37" s="26"/>
    </row>
    <row r="38" spans="2:6" x14ac:dyDescent="0.2">
      <c r="D38" s="20"/>
      <c r="E38" s="18"/>
    </row>
    <row r="42" spans="2:6" x14ac:dyDescent="0.2">
      <c r="F42" s="19"/>
    </row>
    <row r="43" spans="2:6" x14ac:dyDescent="0.2">
      <c r="F43" s="19"/>
    </row>
    <row r="44" spans="2:6" x14ac:dyDescent="0.2">
      <c r="F44" s="19"/>
    </row>
    <row r="45" spans="2:6" ht="23.1" customHeight="1" x14ac:dyDescent="0.2">
      <c r="B45" s="47" t="s">
        <v>44</v>
      </c>
      <c r="C45" s="47"/>
      <c r="D45" s="47"/>
      <c r="E45" s="47"/>
    </row>
    <row r="46" spans="2:6" ht="15.75" x14ac:dyDescent="0.2">
      <c r="B46" s="34" t="s">
        <v>41</v>
      </c>
      <c r="C46" s="34" t="s">
        <v>42</v>
      </c>
      <c r="D46" s="35" t="s">
        <v>4</v>
      </c>
      <c r="E46" s="34" t="s">
        <v>5</v>
      </c>
    </row>
    <row r="47" spans="2:6" x14ac:dyDescent="0.2">
      <c r="B47" s="32" t="s">
        <v>6</v>
      </c>
      <c r="C47" s="32" t="s">
        <v>17</v>
      </c>
      <c r="D47" s="33" t="s">
        <v>19</v>
      </c>
      <c r="E47" s="32" t="s">
        <v>20</v>
      </c>
    </row>
    <row r="48" spans="2:6" x14ac:dyDescent="0.2">
      <c r="B48" s="21">
        <v>0</v>
      </c>
      <c r="C48" s="21">
        <v>0</v>
      </c>
      <c r="D48" s="22">
        <v>0</v>
      </c>
      <c r="E48" s="23">
        <v>0</v>
      </c>
    </row>
    <row r="49" spans="1:5" x14ac:dyDescent="0.2">
      <c r="A49" s="18" t="s">
        <v>34</v>
      </c>
      <c r="B49" s="21">
        <v>40.4</v>
      </c>
      <c r="C49" s="39">
        <f>1.613*100</f>
        <v>161.30000000000001</v>
      </c>
      <c r="D49" s="22">
        <f>C49/(B49-B48)</f>
        <v>3.9925742574257428</v>
      </c>
      <c r="E49" s="23">
        <f>E48+C49</f>
        <v>161.30000000000001</v>
      </c>
    </row>
    <row r="50" spans="1:5" x14ac:dyDescent="0.2">
      <c r="B50" s="21">
        <v>44.4</v>
      </c>
      <c r="C50" s="21">
        <v>18.97</v>
      </c>
      <c r="D50" s="22">
        <f t="shared" ref="D50:D56" si="8">C50/(B50-B49)</f>
        <v>4.7424999999999997</v>
      </c>
      <c r="E50" s="23">
        <f t="shared" ref="E50:E56" si="9">E49+C50</f>
        <v>180.27</v>
      </c>
    </row>
    <row r="51" spans="1:5" x14ac:dyDescent="0.2">
      <c r="B51" s="21">
        <v>49</v>
      </c>
      <c r="C51" s="21">
        <v>20.07</v>
      </c>
      <c r="D51" s="22">
        <f t="shared" si="8"/>
        <v>4.3630434782608685</v>
      </c>
      <c r="E51" s="23">
        <f t="shared" si="9"/>
        <v>200.34</v>
      </c>
    </row>
    <row r="52" spans="1:5" x14ac:dyDescent="0.2">
      <c r="B52" s="21">
        <v>54.5</v>
      </c>
      <c r="C52" s="21">
        <v>23.77</v>
      </c>
      <c r="D52" s="22">
        <f t="shared" si="8"/>
        <v>4.3218181818181813</v>
      </c>
      <c r="E52" s="23">
        <f t="shared" si="9"/>
        <v>224.11</v>
      </c>
    </row>
    <row r="53" spans="1:5" x14ac:dyDescent="0.2">
      <c r="B53" s="21">
        <v>60.1</v>
      </c>
      <c r="C53" s="21">
        <v>21.67</v>
      </c>
      <c r="D53" s="22">
        <f t="shared" si="8"/>
        <v>3.8696428571428565</v>
      </c>
      <c r="E53" s="23">
        <f t="shared" si="9"/>
        <v>245.78000000000003</v>
      </c>
    </row>
    <row r="54" spans="1:5" x14ac:dyDescent="0.2">
      <c r="B54" s="21">
        <v>66</v>
      </c>
      <c r="C54" s="21">
        <v>19.27</v>
      </c>
      <c r="D54" s="22">
        <f t="shared" si="8"/>
        <v>3.266101694915255</v>
      </c>
      <c r="E54" s="23">
        <f t="shared" si="9"/>
        <v>265.05</v>
      </c>
    </row>
    <row r="55" spans="1:5" x14ac:dyDescent="0.2">
      <c r="B55" s="21">
        <v>75</v>
      </c>
      <c r="C55" s="21">
        <v>21.07</v>
      </c>
      <c r="D55" s="22">
        <f t="shared" si="8"/>
        <v>2.3411111111111111</v>
      </c>
      <c r="E55" s="23">
        <f t="shared" si="9"/>
        <v>286.12</v>
      </c>
    </row>
    <row r="56" spans="1:5" x14ac:dyDescent="0.2">
      <c r="B56" s="21">
        <v>100</v>
      </c>
      <c r="C56" s="21">
        <v>18.97</v>
      </c>
      <c r="D56" s="22">
        <f t="shared" si="8"/>
        <v>0.75879999999999992</v>
      </c>
      <c r="E56" s="23">
        <f t="shared" si="9"/>
        <v>305.09000000000003</v>
      </c>
    </row>
    <row r="57" spans="1:5" ht="15.75" x14ac:dyDescent="0.25">
      <c r="C57" s="30">
        <f>SUM(C48:C56)</f>
        <v>305.09000000000003</v>
      </c>
      <c r="D57" s="36" t="s">
        <v>17</v>
      </c>
      <c r="E57" s="30">
        <f>C57-C49</f>
        <v>143.79000000000002</v>
      </c>
    </row>
    <row r="58" spans="1:5" ht="15.75" x14ac:dyDescent="0.25">
      <c r="C58" s="30">
        <f>C57/100</f>
        <v>3.0509000000000004</v>
      </c>
      <c r="D58" s="36" t="s">
        <v>18</v>
      </c>
      <c r="E58" s="26"/>
    </row>
    <row r="59" spans="1:5" ht="15.75" x14ac:dyDescent="0.25">
      <c r="C59" s="26"/>
      <c r="D59" s="38"/>
      <c r="E59" s="36"/>
    </row>
    <row r="60" spans="1:5" x14ac:dyDescent="0.2">
      <c r="E60" s="18"/>
    </row>
    <row r="61" spans="1:5" x14ac:dyDescent="0.2">
      <c r="E61" s="18"/>
    </row>
    <row r="62" spans="1:5" ht="15.75" x14ac:dyDescent="0.25">
      <c r="C62" s="31" t="s">
        <v>32</v>
      </c>
      <c r="D62" s="31" t="s">
        <v>33</v>
      </c>
      <c r="E62" s="18"/>
    </row>
    <row r="63" spans="1:5" ht="15.75" x14ac:dyDescent="0.25">
      <c r="B63" s="30" t="s">
        <v>12</v>
      </c>
      <c r="C63" s="29">
        <f>C57+C36+C18</f>
        <v>803.00000000000011</v>
      </c>
      <c r="D63" s="23">
        <f t="shared" ref="D63:D68" si="10">C63/100</f>
        <v>8.0300000000000011</v>
      </c>
      <c r="E63" s="18"/>
    </row>
    <row r="64" spans="1:5" x14ac:dyDescent="0.2">
      <c r="B64" s="44" t="s">
        <v>13</v>
      </c>
      <c r="C64" s="29">
        <f>C18-C10</f>
        <v>146.62</v>
      </c>
      <c r="D64" s="23">
        <f t="shared" si="10"/>
        <v>1.4661999999999999</v>
      </c>
      <c r="E64" s="22" t="s">
        <v>45</v>
      </c>
    </row>
    <row r="65" spans="2:6" x14ac:dyDescent="0.2">
      <c r="B65" s="45"/>
      <c r="C65" s="29">
        <f>C36-C28</f>
        <v>145.29000000000002</v>
      </c>
      <c r="D65" s="23">
        <f>C65/100</f>
        <v>1.4529000000000003</v>
      </c>
      <c r="E65" s="22" t="s">
        <v>47</v>
      </c>
    </row>
    <row r="66" spans="2:6" x14ac:dyDescent="0.2">
      <c r="B66" s="46"/>
      <c r="C66" s="29">
        <f>C57-C49</f>
        <v>143.79000000000002</v>
      </c>
      <c r="D66" s="23">
        <f>C66/100</f>
        <v>1.4379000000000002</v>
      </c>
      <c r="E66" s="22" t="s">
        <v>46</v>
      </c>
    </row>
    <row r="67" spans="2:6" ht="15.75" x14ac:dyDescent="0.25">
      <c r="B67" s="30" t="s">
        <v>23</v>
      </c>
      <c r="C67" s="29">
        <f>C63-C68-AVERAGE(C64:C66)</f>
        <v>328.47666666666674</v>
      </c>
      <c r="D67" s="23">
        <f t="shared" si="10"/>
        <v>3.2847666666666675</v>
      </c>
      <c r="F67" s="18" t="s">
        <v>48</v>
      </c>
    </row>
    <row r="68" spans="2:6" ht="15.75" x14ac:dyDescent="0.25">
      <c r="B68" s="30" t="s">
        <v>28</v>
      </c>
      <c r="C68" s="29">
        <f>C36</f>
        <v>329.29</v>
      </c>
      <c r="D68" s="23">
        <f t="shared" si="10"/>
        <v>3.2929000000000004</v>
      </c>
    </row>
  </sheetData>
  <mergeCells count="4">
    <mergeCell ref="B6:E6"/>
    <mergeCell ref="B24:E24"/>
    <mergeCell ref="B45:E45"/>
    <mergeCell ref="B64:B6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46DF-383E-49B7-83AE-3D09CCEF115D}">
  <dimension ref="A2:F68"/>
  <sheetViews>
    <sheetView zoomScaleNormal="100" workbookViewId="0">
      <selection activeCell="E69" sqref="E69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18" customWidth="1"/>
    <col min="7" max="16384" width="8.85546875" style="18"/>
  </cols>
  <sheetData>
    <row r="2" spans="1:6" ht="18" x14ac:dyDescent="0.25">
      <c r="B2" s="27" t="s">
        <v>38</v>
      </c>
      <c r="C2" s="28"/>
      <c r="D2" s="28"/>
    </row>
    <row r="3" spans="1:6" x14ac:dyDescent="0.2">
      <c r="B3" s="19" t="s">
        <v>54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40</v>
      </c>
      <c r="C6" s="47"/>
      <c r="D6" s="47"/>
      <c r="E6" s="47"/>
    </row>
    <row r="7" spans="1:6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16</v>
      </c>
      <c r="C10" s="39">
        <v>30</v>
      </c>
      <c r="D10" s="22">
        <f t="shared" ref="D10:D17" si="0">C10/(B10-B9)</f>
        <v>1.875</v>
      </c>
      <c r="E10" s="23">
        <f t="shared" ref="E10:E17" si="1">E9+C10</f>
        <v>30</v>
      </c>
    </row>
    <row r="11" spans="1:6" x14ac:dyDescent="0.2">
      <c r="B11" s="21">
        <v>26.6</v>
      </c>
      <c r="C11" s="21">
        <v>28.81</v>
      </c>
      <c r="D11" s="22">
        <f t="shared" si="0"/>
        <v>2.7179245283018862</v>
      </c>
      <c r="E11" s="23">
        <f t="shared" si="1"/>
        <v>58.81</v>
      </c>
    </row>
    <row r="12" spans="1:6" x14ac:dyDescent="0.2">
      <c r="B12" s="21">
        <v>35.4</v>
      </c>
      <c r="C12" s="21">
        <v>25.66</v>
      </c>
      <c r="D12" s="22">
        <f t="shared" si="0"/>
        <v>2.9159090909090919</v>
      </c>
      <c r="E12" s="23">
        <f t="shared" si="1"/>
        <v>84.47</v>
      </c>
    </row>
    <row r="13" spans="1:6" x14ac:dyDescent="0.2">
      <c r="B13" s="21">
        <v>44.6</v>
      </c>
      <c r="C13" s="21">
        <v>23.11</v>
      </c>
      <c r="D13" s="22">
        <f t="shared" si="0"/>
        <v>2.5119565217391298</v>
      </c>
      <c r="E13" s="23">
        <f t="shared" si="1"/>
        <v>107.58</v>
      </c>
    </row>
    <row r="14" spans="1:6" x14ac:dyDescent="0.2">
      <c r="B14" s="21">
        <v>51.8</v>
      </c>
      <c r="C14" s="21">
        <v>22.64</v>
      </c>
      <c r="D14" s="22">
        <f t="shared" si="0"/>
        <v>3.1444444444444466</v>
      </c>
      <c r="E14" s="23">
        <f t="shared" si="1"/>
        <v>130.22</v>
      </c>
    </row>
    <row r="15" spans="1:6" x14ac:dyDescent="0.2">
      <c r="B15" s="21">
        <v>63.2</v>
      </c>
      <c r="C15" s="21">
        <v>26.18</v>
      </c>
      <c r="D15" s="22">
        <f t="shared" si="0"/>
        <v>2.2964912280701744</v>
      </c>
      <c r="E15" s="23">
        <f t="shared" si="1"/>
        <v>156.4</v>
      </c>
    </row>
    <row r="16" spans="1:6" x14ac:dyDescent="0.2">
      <c r="B16" s="21">
        <v>84.7</v>
      </c>
      <c r="C16" s="21">
        <v>24.77</v>
      </c>
      <c r="D16" s="22">
        <f t="shared" si="0"/>
        <v>1.152093023255814</v>
      </c>
      <c r="E16" s="23">
        <f t="shared" si="1"/>
        <v>181.17000000000002</v>
      </c>
    </row>
    <row r="17" spans="1:6" x14ac:dyDescent="0.2">
      <c r="B17" s="21">
        <v>100</v>
      </c>
      <c r="C17" s="21">
        <v>3.66</v>
      </c>
      <c r="D17" s="22">
        <f t="shared" si="0"/>
        <v>0.23921568627450987</v>
      </c>
      <c r="E17" s="23">
        <f t="shared" si="1"/>
        <v>184.83</v>
      </c>
    </row>
    <row r="18" spans="1:6" ht="15.75" x14ac:dyDescent="0.25">
      <c r="C18" s="31">
        <f>SUM(C9:C17)</f>
        <v>184.83</v>
      </c>
      <c r="D18" s="36" t="s">
        <v>17</v>
      </c>
      <c r="E18" s="30">
        <f>C18-C10</f>
        <v>154.83000000000001</v>
      </c>
    </row>
    <row r="19" spans="1:6" ht="15.75" x14ac:dyDescent="0.25">
      <c r="C19" s="31">
        <f>C18/100</f>
        <v>1.8483000000000001</v>
      </c>
      <c r="D19" s="36" t="s">
        <v>18</v>
      </c>
      <c r="E19" s="26"/>
    </row>
    <row r="23" spans="1:6" x14ac:dyDescent="0.2">
      <c r="F23" s="19"/>
    </row>
    <row r="24" spans="1:6" ht="23.1" customHeight="1" x14ac:dyDescent="0.2">
      <c r="B24" s="47" t="s">
        <v>43</v>
      </c>
      <c r="C24" s="47"/>
      <c r="D24" s="47"/>
      <c r="E24" s="47"/>
    </row>
    <row r="25" spans="1:6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6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6" x14ac:dyDescent="0.2">
      <c r="B27" s="21">
        <v>0</v>
      </c>
      <c r="C27" s="21">
        <v>0</v>
      </c>
      <c r="D27" s="22">
        <v>0</v>
      </c>
      <c r="E27" s="23">
        <v>0</v>
      </c>
    </row>
    <row r="28" spans="1:6" x14ac:dyDescent="0.2">
      <c r="A28" s="18" t="s">
        <v>34</v>
      </c>
      <c r="B28" s="21">
        <v>43</v>
      </c>
      <c r="C28" s="39">
        <v>206</v>
      </c>
      <c r="D28" s="22">
        <f>C28/(B28-B27)</f>
        <v>4.7906976744186043</v>
      </c>
      <c r="E28" s="23">
        <f>E27+C28</f>
        <v>206</v>
      </c>
    </row>
    <row r="29" spans="1:6" x14ac:dyDescent="0.2">
      <c r="B29" s="21">
        <v>47.5</v>
      </c>
      <c r="C29" s="21">
        <v>25.47</v>
      </c>
      <c r="D29" s="22">
        <f>C29/(B29-B28)</f>
        <v>5.66</v>
      </c>
      <c r="E29" s="23">
        <f>E28+C29</f>
        <v>231.47</v>
      </c>
    </row>
    <row r="30" spans="1:6" x14ac:dyDescent="0.2">
      <c r="B30" s="21">
        <v>52.5</v>
      </c>
      <c r="C30" s="21">
        <v>25.05</v>
      </c>
      <c r="D30" s="22">
        <f t="shared" ref="D30:D35" si="2">C30/(B30-B29)</f>
        <v>5.01</v>
      </c>
      <c r="E30" s="23">
        <f t="shared" ref="E30:E35" si="3">E29+C30</f>
        <v>256.52</v>
      </c>
    </row>
    <row r="31" spans="1:6" x14ac:dyDescent="0.2">
      <c r="B31" s="21">
        <v>57.5</v>
      </c>
      <c r="C31" s="21">
        <v>25</v>
      </c>
      <c r="D31" s="22">
        <f t="shared" si="2"/>
        <v>5</v>
      </c>
      <c r="E31" s="23">
        <f t="shared" si="3"/>
        <v>281.52</v>
      </c>
    </row>
    <row r="32" spans="1:6" x14ac:dyDescent="0.2">
      <c r="B32" s="21">
        <v>62.6</v>
      </c>
      <c r="C32" s="21">
        <v>22.59</v>
      </c>
      <c r="D32" s="22">
        <f t="shared" si="2"/>
        <v>4.4294117647058808</v>
      </c>
      <c r="E32" s="23">
        <f t="shared" si="3"/>
        <v>304.10999999999996</v>
      </c>
    </row>
    <row r="33" spans="2:6" x14ac:dyDescent="0.2">
      <c r="B33" s="21">
        <v>68</v>
      </c>
      <c r="C33" s="21">
        <v>22.44</v>
      </c>
      <c r="D33" s="22">
        <f t="shared" si="2"/>
        <v>4.1555555555555568</v>
      </c>
      <c r="E33" s="23">
        <f t="shared" si="3"/>
        <v>326.54999999999995</v>
      </c>
    </row>
    <row r="34" spans="2:6" x14ac:dyDescent="0.2">
      <c r="B34" s="21">
        <v>75.2</v>
      </c>
      <c r="C34" s="21">
        <v>21.26</v>
      </c>
      <c r="D34" s="22">
        <f t="shared" si="2"/>
        <v>2.9527777777777766</v>
      </c>
      <c r="E34" s="23">
        <f t="shared" si="3"/>
        <v>347.80999999999995</v>
      </c>
    </row>
    <row r="35" spans="2:6" x14ac:dyDescent="0.2">
      <c r="B35" s="21">
        <v>100</v>
      </c>
      <c r="C35" s="21">
        <v>24.88</v>
      </c>
      <c r="D35" s="22">
        <f t="shared" si="2"/>
        <v>1.0032258064516131</v>
      </c>
      <c r="E35" s="23">
        <f t="shared" si="3"/>
        <v>372.68999999999994</v>
      </c>
    </row>
    <row r="36" spans="2:6" ht="15.75" x14ac:dyDescent="0.25">
      <c r="C36" s="37">
        <f>SUM(C28:C35)</f>
        <v>372.68999999999994</v>
      </c>
      <c r="D36" s="36" t="s">
        <v>17</v>
      </c>
      <c r="E36" s="37">
        <f>C36-C28</f>
        <v>166.68999999999994</v>
      </c>
    </row>
    <row r="37" spans="2:6" ht="15.75" x14ac:dyDescent="0.25">
      <c r="C37" s="30">
        <f>C36/100</f>
        <v>3.7268999999999992</v>
      </c>
      <c r="D37" s="36" t="s">
        <v>18</v>
      </c>
      <c r="E37" s="26"/>
    </row>
    <row r="38" spans="2:6" x14ac:dyDescent="0.2">
      <c r="D38" s="20"/>
      <c r="E38" s="18"/>
    </row>
    <row r="42" spans="2:6" x14ac:dyDescent="0.2">
      <c r="F42" s="19"/>
    </row>
    <row r="43" spans="2:6" x14ac:dyDescent="0.2">
      <c r="F43" s="19"/>
    </row>
    <row r="44" spans="2:6" x14ac:dyDescent="0.2">
      <c r="F44" s="19"/>
    </row>
    <row r="45" spans="2:6" ht="23.1" customHeight="1" x14ac:dyDescent="0.2">
      <c r="B45" s="47" t="s">
        <v>44</v>
      </c>
      <c r="C45" s="47"/>
      <c r="D45" s="47"/>
      <c r="E45" s="47"/>
    </row>
    <row r="46" spans="2:6" ht="15.75" x14ac:dyDescent="0.2">
      <c r="B46" s="34" t="s">
        <v>41</v>
      </c>
      <c r="C46" s="34" t="s">
        <v>42</v>
      </c>
      <c r="D46" s="35" t="s">
        <v>4</v>
      </c>
      <c r="E46" s="34" t="s">
        <v>5</v>
      </c>
    </row>
    <row r="47" spans="2:6" x14ac:dyDescent="0.2">
      <c r="B47" s="32" t="s">
        <v>6</v>
      </c>
      <c r="C47" s="32" t="s">
        <v>17</v>
      </c>
      <c r="D47" s="33" t="s">
        <v>19</v>
      </c>
      <c r="E47" s="32" t="s">
        <v>20</v>
      </c>
    </row>
    <row r="48" spans="2:6" x14ac:dyDescent="0.2">
      <c r="B48" s="21">
        <v>0</v>
      </c>
      <c r="C48" s="21">
        <v>0</v>
      </c>
      <c r="D48" s="22">
        <v>0</v>
      </c>
      <c r="E48" s="23">
        <v>0</v>
      </c>
    </row>
    <row r="49" spans="1:5" x14ac:dyDescent="0.2">
      <c r="A49" s="18" t="s">
        <v>34</v>
      </c>
      <c r="B49" s="21">
        <v>40.5</v>
      </c>
      <c r="C49" s="39">
        <v>202.65</v>
      </c>
      <c r="D49" s="22">
        <f>C49/(B49-B48)</f>
        <v>5.003703703703704</v>
      </c>
      <c r="E49" s="23">
        <f>E48+C49</f>
        <v>202.65</v>
      </c>
    </row>
    <row r="50" spans="1:5" x14ac:dyDescent="0.2">
      <c r="B50" s="21">
        <v>44.8</v>
      </c>
      <c r="C50" s="21">
        <v>23.65</v>
      </c>
      <c r="D50" s="22">
        <f t="shared" ref="D50:D56" si="4">C50/(B50-B49)</f>
        <v>5.5000000000000036</v>
      </c>
      <c r="E50" s="23">
        <f t="shared" ref="E50:E56" si="5">E49+C50</f>
        <v>226.3</v>
      </c>
    </row>
    <row r="51" spans="1:5" x14ac:dyDescent="0.2">
      <c r="B51" s="21">
        <v>49.4</v>
      </c>
      <c r="C51" s="21">
        <v>25.5</v>
      </c>
      <c r="D51" s="22">
        <f t="shared" si="4"/>
        <v>5.5434782608695636</v>
      </c>
      <c r="E51" s="23">
        <f t="shared" si="5"/>
        <v>251.8</v>
      </c>
    </row>
    <row r="52" spans="1:5" x14ac:dyDescent="0.2">
      <c r="B52" s="21">
        <v>54.1</v>
      </c>
      <c r="C52" s="21">
        <v>22.4</v>
      </c>
      <c r="D52" s="22">
        <f t="shared" si="4"/>
        <v>4.7659574468085077</v>
      </c>
      <c r="E52" s="23">
        <f t="shared" si="5"/>
        <v>274.2</v>
      </c>
    </row>
    <row r="53" spans="1:5" x14ac:dyDescent="0.2">
      <c r="B53" s="21">
        <v>59.1</v>
      </c>
      <c r="C53" s="21">
        <v>23.58</v>
      </c>
      <c r="D53" s="22">
        <f t="shared" si="4"/>
        <v>4.7159999999999993</v>
      </c>
      <c r="E53" s="23">
        <f t="shared" si="5"/>
        <v>297.77999999999997</v>
      </c>
    </row>
    <row r="54" spans="1:5" x14ac:dyDescent="0.2">
      <c r="B54" s="21">
        <v>64.400000000000006</v>
      </c>
      <c r="C54" s="21">
        <v>21.77</v>
      </c>
      <c r="D54" s="22">
        <f t="shared" si="4"/>
        <v>4.1075471698113173</v>
      </c>
      <c r="E54" s="23">
        <f t="shared" si="5"/>
        <v>319.54999999999995</v>
      </c>
    </row>
    <row r="55" spans="1:5" x14ac:dyDescent="0.2">
      <c r="B55" s="21">
        <v>70.900000000000006</v>
      </c>
      <c r="C55" s="21">
        <v>19.78</v>
      </c>
      <c r="D55" s="22">
        <f t="shared" si="4"/>
        <v>3.0430769230769235</v>
      </c>
      <c r="E55" s="23">
        <f t="shared" si="5"/>
        <v>339.32999999999993</v>
      </c>
    </row>
    <row r="56" spans="1:5" x14ac:dyDescent="0.2">
      <c r="B56" s="21">
        <v>100</v>
      </c>
      <c r="C56" s="21">
        <v>29.1</v>
      </c>
      <c r="D56" s="22">
        <f t="shared" si="4"/>
        <v>1.0000000000000002</v>
      </c>
      <c r="E56" s="23">
        <f t="shared" si="5"/>
        <v>368.42999999999995</v>
      </c>
    </row>
    <row r="57" spans="1:5" ht="15.75" x14ac:dyDescent="0.25">
      <c r="C57" s="30">
        <f>SUM(C48:C56)</f>
        <v>368.42999999999995</v>
      </c>
      <c r="D57" s="36" t="s">
        <v>17</v>
      </c>
      <c r="E57" s="30">
        <f>C57-C49</f>
        <v>165.77999999999994</v>
      </c>
    </row>
    <row r="58" spans="1:5" ht="15.75" x14ac:dyDescent="0.25">
      <c r="C58" s="30">
        <f>C57/100</f>
        <v>3.6842999999999995</v>
      </c>
      <c r="D58" s="36" t="s">
        <v>18</v>
      </c>
      <c r="E58" s="26"/>
    </row>
    <row r="59" spans="1:5" ht="15.75" x14ac:dyDescent="0.25">
      <c r="C59" s="26"/>
      <c r="D59" s="38"/>
      <c r="E59" s="36"/>
    </row>
    <row r="60" spans="1:5" x14ac:dyDescent="0.2">
      <c r="E60" s="18"/>
    </row>
    <row r="61" spans="1:5" x14ac:dyDescent="0.2">
      <c r="E61" s="18"/>
    </row>
    <row r="62" spans="1:5" ht="15.75" x14ac:dyDescent="0.25">
      <c r="C62" s="31" t="s">
        <v>32</v>
      </c>
      <c r="D62" s="31" t="s">
        <v>33</v>
      </c>
      <c r="E62" s="18"/>
    </row>
    <row r="63" spans="1:5" ht="15.75" x14ac:dyDescent="0.25">
      <c r="B63" s="30" t="s">
        <v>12</v>
      </c>
      <c r="C63" s="29">
        <f>C57+C36+C18</f>
        <v>925.94999999999993</v>
      </c>
      <c r="D63" s="23">
        <f t="shared" ref="D63:D68" si="6">C63/100</f>
        <v>9.2594999999999992</v>
      </c>
      <c r="E63" s="18"/>
    </row>
    <row r="64" spans="1:5" x14ac:dyDescent="0.2">
      <c r="B64" s="44" t="s">
        <v>13</v>
      </c>
      <c r="C64" s="29">
        <f>C18-C10</f>
        <v>154.83000000000001</v>
      </c>
      <c r="D64" s="23">
        <f t="shared" si="6"/>
        <v>1.5483000000000002</v>
      </c>
      <c r="E64" s="22" t="s">
        <v>45</v>
      </c>
    </row>
    <row r="65" spans="2:6" x14ac:dyDescent="0.2">
      <c r="B65" s="45"/>
      <c r="C65" s="29">
        <f>C36-C28</f>
        <v>166.68999999999994</v>
      </c>
      <c r="D65" s="23">
        <f>C65/100</f>
        <v>1.6668999999999994</v>
      </c>
      <c r="E65" s="22" t="s">
        <v>47</v>
      </c>
    </row>
    <row r="66" spans="2:6" x14ac:dyDescent="0.2">
      <c r="B66" s="46"/>
      <c r="C66" s="29">
        <f>C57-C49</f>
        <v>165.77999999999994</v>
      </c>
      <c r="D66" s="23">
        <f>C66/100</f>
        <v>1.6577999999999995</v>
      </c>
      <c r="E66" s="22" t="s">
        <v>46</v>
      </c>
    </row>
    <row r="67" spans="2:6" ht="15.75" x14ac:dyDescent="0.25">
      <c r="B67" s="30" t="s">
        <v>23</v>
      </c>
      <c r="C67" s="29">
        <f>C63-C68-AVERAGE(C64:C66)</f>
        <v>390.82666666666671</v>
      </c>
      <c r="D67" s="23">
        <f t="shared" si="6"/>
        <v>3.908266666666667</v>
      </c>
      <c r="F67" s="18" t="s">
        <v>48</v>
      </c>
    </row>
    <row r="68" spans="2:6" ht="15.75" x14ac:dyDescent="0.25">
      <c r="B68" s="30" t="s">
        <v>28</v>
      </c>
      <c r="C68" s="29">
        <f>C36</f>
        <v>372.68999999999994</v>
      </c>
      <c r="D68" s="23">
        <f t="shared" si="6"/>
        <v>3.7268999999999992</v>
      </c>
    </row>
  </sheetData>
  <mergeCells count="4">
    <mergeCell ref="B6:E6"/>
    <mergeCell ref="B24:E24"/>
    <mergeCell ref="B45:E45"/>
    <mergeCell ref="B64:B6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21E3-FE3A-4498-9620-835641C361D6}">
  <dimension ref="A2:F69"/>
  <sheetViews>
    <sheetView topLeftCell="A41" zoomScaleNormal="100" workbookViewId="0">
      <selection activeCell="G73" sqref="G73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18" customWidth="1"/>
    <col min="7" max="16384" width="8.85546875" style="18"/>
  </cols>
  <sheetData>
    <row r="2" spans="1:6" ht="18" x14ac:dyDescent="0.25">
      <c r="B2" s="27" t="s">
        <v>38</v>
      </c>
      <c r="C2" s="28"/>
      <c r="D2" s="28"/>
    </row>
    <row r="3" spans="1:6" x14ac:dyDescent="0.2">
      <c r="B3" s="19" t="s">
        <v>55</v>
      </c>
    </row>
    <row r="4" spans="1:6" x14ac:dyDescent="0.2">
      <c r="C4" s="19"/>
    </row>
    <row r="5" spans="1:6" x14ac:dyDescent="0.2">
      <c r="F5" s="19"/>
    </row>
    <row r="6" spans="1:6" ht="25.5" customHeight="1" x14ac:dyDescent="0.2">
      <c r="B6" s="47" t="s">
        <v>40</v>
      </c>
      <c r="C6" s="47"/>
      <c r="D6" s="47"/>
      <c r="E6" s="47"/>
    </row>
    <row r="7" spans="1:6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15.5</v>
      </c>
      <c r="C10" s="39">
        <v>28.5</v>
      </c>
      <c r="D10" s="22">
        <f t="shared" ref="D10:D17" si="0">C10/(B10-B9)</f>
        <v>1.8387096774193548</v>
      </c>
      <c r="E10" s="23">
        <f t="shared" ref="E10:E17" si="1">E9+C10</f>
        <v>28.5</v>
      </c>
    </row>
    <row r="11" spans="1:6" x14ac:dyDescent="0.2">
      <c r="B11" s="21">
        <v>24.2</v>
      </c>
      <c r="C11" s="21">
        <v>22.04</v>
      </c>
      <c r="D11" s="22">
        <f t="shared" si="0"/>
        <v>2.5333333333333337</v>
      </c>
      <c r="E11" s="23">
        <f t="shared" si="1"/>
        <v>50.54</v>
      </c>
    </row>
    <row r="12" spans="1:6" x14ac:dyDescent="0.2">
      <c r="B12" s="21">
        <v>32.200000000000003</v>
      </c>
      <c r="C12" s="21">
        <v>22.04</v>
      </c>
      <c r="D12" s="22">
        <f t="shared" si="0"/>
        <v>2.7549999999999986</v>
      </c>
      <c r="E12" s="23">
        <f t="shared" si="1"/>
        <v>72.58</v>
      </c>
    </row>
    <row r="13" spans="1:6" x14ac:dyDescent="0.2">
      <c r="B13" s="21">
        <v>40.700000000000003</v>
      </c>
      <c r="C13" s="21">
        <v>23.5</v>
      </c>
      <c r="D13" s="22">
        <f t="shared" si="0"/>
        <v>2.7647058823529411</v>
      </c>
      <c r="E13" s="23">
        <f t="shared" si="1"/>
        <v>96.08</v>
      </c>
    </row>
    <row r="14" spans="1:6" x14ac:dyDescent="0.2">
      <c r="B14" s="21">
        <v>49</v>
      </c>
      <c r="C14" s="21">
        <v>23.3</v>
      </c>
      <c r="D14" s="22">
        <f t="shared" si="0"/>
        <v>2.8072289156626518</v>
      </c>
      <c r="E14" s="23">
        <f t="shared" si="1"/>
        <v>119.38</v>
      </c>
    </row>
    <row r="15" spans="1:6" x14ac:dyDescent="0.2">
      <c r="B15" s="21">
        <v>58.1</v>
      </c>
      <c r="C15" s="21">
        <v>24.23</v>
      </c>
      <c r="D15" s="22">
        <f t="shared" si="0"/>
        <v>2.6626373626373621</v>
      </c>
      <c r="E15" s="23">
        <f t="shared" si="1"/>
        <v>143.60999999999999</v>
      </c>
    </row>
    <row r="16" spans="1:6" x14ac:dyDescent="0.2">
      <c r="B16" s="21">
        <v>70.599999999999994</v>
      </c>
      <c r="C16" s="21">
        <v>24.35</v>
      </c>
      <c r="D16" s="22">
        <f t="shared" si="0"/>
        <v>1.9480000000000013</v>
      </c>
      <c r="E16" s="23">
        <f t="shared" si="1"/>
        <v>167.95999999999998</v>
      </c>
    </row>
    <row r="17" spans="1:6" x14ac:dyDescent="0.2">
      <c r="B17" s="21">
        <v>100</v>
      </c>
      <c r="C17" s="21">
        <v>19.2</v>
      </c>
      <c r="D17" s="22">
        <f t="shared" si="0"/>
        <v>0.65306122448979576</v>
      </c>
      <c r="E17" s="23">
        <f t="shared" si="1"/>
        <v>187.15999999999997</v>
      </c>
    </row>
    <row r="18" spans="1:6" ht="15.75" x14ac:dyDescent="0.25">
      <c r="C18" s="31">
        <f>SUM(C9:C17)</f>
        <v>187.15999999999997</v>
      </c>
      <c r="D18" s="36" t="s">
        <v>17</v>
      </c>
      <c r="E18" s="30">
        <f>C18-C10</f>
        <v>158.65999999999997</v>
      </c>
    </row>
    <row r="19" spans="1:6" ht="15.75" x14ac:dyDescent="0.25">
      <c r="C19" s="31">
        <f>C18/100</f>
        <v>1.8715999999999997</v>
      </c>
      <c r="D19" s="36" t="s">
        <v>18</v>
      </c>
      <c r="E19" s="26"/>
    </row>
    <row r="23" spans="1:6" x14ac:dyDescent="0.2">
      <c r="F23" s="19"/>
    </row>
    <row r="24" spans="1:6" ht="23.1" customHeight="1" x14ac:dyDescent="0.2">
      <c r="B24" s="47" t="s">
        <v>43</v>
      </c>
      <c r="C24" s="47"/>
      <c r="D24" s="47"/>
      <c r="E24" s="47"/>
    </row>
    <row r="25" spans="1:6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6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6" x14ac:dyDescent="0.2">
      <c r="B27" s="21">
        <v>0</v>
      </c>
      <c r="C27" s="21">
        <v>0</v>
      </c>
      <c r="D27" s="22">
        <v>0</v>
      </c>
      <c r="E27" s="23">
        <v>0</v>
      </c>
    </row>
    <row r="28" spans="1:6" x14ac:dyDescent="0.2">
      <c r="A28" s="18" t="s">
        <v>34</v>
      </c>
      <c r="B28" s="21">
        <v>43.2</v>
      </c>
      <c r="C28" s="39">
        <v>203.6</v>
      </c>
      <c r="D28" s="22">
        <f>C28/(B28-B27)</f>
        <v>4.7129629629629628</v>
      </c>
      <c r="E28" s="23">
        <f>E27+C28</f>
        <v>203.6</v>
      </c>
    </row>
    <row r="29" spans="1:6" x14ac:dyDescent="0.2">
      <c r="B29" s="21">
        <v>46.4</v>
      </c>
      <c r="C29" s="21">
        <v>20.13</v>
      </c>
      <c r="D29" s="22">
        <f>C29/(B29-B28)</f>
        <v>6.2906250000000083</v>
      </c>
      <c r="E29" s="23">
        <f>E28+C29</f>
        <v>223.73</v>
      </c>
    </row>
    <row r="30" spans="1:6" x14ac:dyDescent="0.2">
      <c r="B30" s="21">
        <v>51.1</v>
      </c>
      <c r="C30" s="21">
        <v>24.55</v>
      </c>
      <c r="D30" s="22">
        <f t="shared" ref="D30:D35" si="2">C30/(B30-B29)</f>
        <v>5.2234042553191458</v>
      </c>
      <c r="E30" s="23">
        <f t="shared" ref="E30:E35" si="3">E29+C30</f>
        <v>248.28</v>
      </c>
    </row>
    <row r="31" spans="1:6" x14ac:dyDescent="0.2">
      <c r="B31" s="21">
        <v>55.1</v>
      </c>
      <c r="C31" s="21">
        <v>20.239999999999998</v>
      </c>
      <c r="D31" s="22">
        <f t="shared" si="2"/>
        <v>5.0599999999999996</v>
      </c>
      <c r="E31" s="23">
        <f t="shared" si="3"/>
        <v>268.52</v>
      </c>
    </row>
    <row r="32" spans="1:6" x14ac:dyDescent="0.2">
      <c r="B32" s="21">
        <v>60.2</v>
      </c>
      <c r="C32" s="21">
        <v>23.5</v>
      </c>
      <c r="D32" s="22">
        <f t="shared" si="2"/>
        <v>4.6078431372549007</v>
      </c>
      <c r="E32" s="23">
        <f t="shared" si="3"/>
        <v>292.02</v>
      </c>
    </row>
    <row r="33" spans="2:6" x14ac:dyDescent="0.2">
      <c r="B33" s="21">
        <v>65.400000000000006</v>
      </c>
      <c r="C33" s="21">
        <v>20.59</v>
      </c>
      <c r="D33" s="22">
        <f t="shared" si="2"/>
        <v>3.9596153846153825</v>
      </c>
      <c r="E33" s="23">
        <f t="shared" si="3"/>
        <v>312.60999999999996</v>
      </c>
    </row>
    <row r="34" spans="2:6" x14ac:dyDescent="0.2">
      <c r="B34" s="21">
        <v>72.400000000000006</v>
      </c>
      <c r="C34" s="21">
        <v>23.8</v>
      </c>
      <c r="D34" s="22">
        <f t="shared" si="2"/>
        <v>3.4</v>
      </c>
      <c r="E34" s="23">
        <f t="shared" si="3"/>
        <v>336.40999999999997</v>
      </c>
    </row>
    <row r="35" spans="2:6" x14ac:dyDescent="0.2">
      <c r="B35" s="21">
        <v>81.599999999999994</v>
      </c>
      <c r="C35" s="21">
        <v>20.95</v>
      </c>
      <c r="D35" s="22">
        <f t="shared" si="2"/>
        <v>2.2771739130434812</v>
      </c>
      <c r="E35" s="23">
        <f t="shared" si="3"/>
        <v>357.35999999999996</v>
      </c>
    </row>
    <row r="36" spans="2:6" x14ac:dyDescent="0.2">
      <c r="B36" s="21">
        <v>100</v>
      </c>
      <c r="C36" s="21">
        <v>14.4</v>
      </c>
      <c r="D36" s="22">
        <f t="shared" ref="D36" si="4">C36/(B36-B35)</f>
        <v>0.78260869565217372</v>
      </c>
      <c r="E36" s="23">
        <f t="shared" ref="E36" si="5">E35+C36</f>
        <v>371.75999999999993</v>
      </c>
    </row>
    <row r="37" spans="2:6" ht="15.75" x14ac:dyDescent="0.25">
      <c r="C37" s="37">
        <f>SUM(C28:C35)</f>
        <v>357.35999999999996</v>
      </c>
      <c r="D37" s="36" t="s">
        <v>17</v>
      </c>
      <c r="E37" s="37">
        <f>C37-C28</f>
        <v>153.75999999999996</v>
      </c>
    </row>
    <row r="38" spans="2:6" ht="15.75" x14ac:dyDescent="0.25">
      <c r="C38" s="30">
        <f>C37/100</f>
        <v>3.5735999999999994</v>
      </c>
      <c r="D38" s="36" t="s">
        <v>18</v>
      </c>
      <c r="E38" s="26"/>
    </row>
    <row r="39" spans="2:6" x14ac:dyDescent="0.2">
      <c r="D39" s="20"/>
      <c r="E39" s="18"/>
    </row>
    <row r="43" spans="2:6" x14ac:dyDescent="0.2">
      <c r="F43" s="19"/>
    </row>
    <row r="44" spans="2:6" x14ac:dyDescent="0.2">
      <c r="F44" s="19"/>
    </row>
    <row r="45" spans="2:6" x14ac:dyDescent="0.2">
      <c r="F45" s="19"/>
    </row>
    <row r="46" spans="2:6" ht="23.1" customHeight="1" x14ac:dyDescent="0.2">
      <c r="B46" s="47" t="s">
        <v>44</v>
      </c>
      <c r="C46" s="47"/>
      <c r="D46" s="47"/>
      <c r="E46" s="47"/>
    </row>
    <row r="47" spans="2:6" ht="15.75" x14ac:dyDescent="0.2">
      <c r="B47" s="34" t="s">
        <v>41</v>
      </c>
      <c r="C47" s="34" t="s">
        <v>42</v>
      </c>
      <c r="D47" s="35" t="s">
        <v>4</v>
      </c>
      <c r="E47" s="34" t="s">
        <v>5</v>
      </c>
    </row>
    <row r="48" spans="2:6" x14ac:dyDescent="0.2">
      <c r="B48" s="32" t="s">
        <v>6</v>
      </c>
      <c r="C48" s="32" t="s">
        <v>17</v>
      </c>
      <c r="D48" s="33" t="s">
        <v>19</v>
      </c>
      <c r="E48" s="32" t="s">
        <v>20</v>
      </c>
    </row>
    <row r="49" spans="1:5" x14ac:dyDescent="0.2">
      <c r="B49" s="21">
        <v>0</v>
      </c>
      <c r="C49" s="21">
        <v>0</v>
      </c>
      <c r="D49" s="22">
        <v>0</v>
      </c>
      <c r="E49" s="23">
        <v>0</v>
      </c>
    </row>
    <row r="50" spans="1:5" x14ac:dyDescent="0.2">
      <c r="A50" s="18" t="s">
        <v>34</v>
      </c>
      <c r="B50" s="21">
        <v>40.700000000000003</v>
      </c>
      <c r="C50" s="39">
        <v>202.57</v>
      </c>
      <c r="D50" s="22">
        <f>C50/(B50-B49)</f>
        <v>4.977149877149877</v>
      </c>
      <c r="E50" s="23">
        <f>E49+C50</f>
        <v>202.57</v>
      </c>
    </row>
    <row r="51" spans="1:5" x14ac:dyDescent="0.2">
      <c r="B51" s="21">
        <v>44.3</v>
      </c>
      <c r="C51" s="21">
        <v>20.8</v>
      </c>
      <c r="D51" s="22">
        <f t="shared" ref="D51:D57" si="6">C51/(B51-B50)</f>
        <v>5.7777777777777874</v>
      </c>
      <c r="E51" s="23">
        <f t="shared" ref="E51:E57" si="7">E50+C51</f>
        <v>223.37</v>
      </c>
    </row>
    <row r="52" spans="1:5" x14ac:dyDescent="0.2">
      <c r="B52" s="21">
        <v>48.5</v>
      </c>
      <c r="C52" s="21">
        <v>20.76</v>
      </c>
      <c r="D52" s="22">
        <f t="shared" si="6"/>
        <v>4.9428571428571395</v>
      </c>
      <c r="E52" s="23">
        <f t="shared" si="7"/>
        <v>244.13</v>
      </c>
    </row>
    <row r="53" spans="1:5" x14ac:dyDescent="0.2">
      <c r="B53" s="21">
        <v>53.4</v>
      </c>
      <c r="C53" s="21">
        <v>23.71</v>
      </c>
      <c r="D53" s="22">
        <f t="shared" si="6"/>
        <v>4.8387755102040835</v>
      </c>
      <c r="E53" s="23">
        <f t="shared" si="7"/>
        <v>267.83999999999997</v>
      </c>
    </row>
    <row r="54" spans="1:5" x14ac:dyDescent="0.2">
      <c r="B54" s="21">
        <v>58.9</v>
      </c>
      <c r="C54" s="21">
        <v>22.67</v>
      </c>
      <c r="D54" s="22">
        <f t="shared" si="6"/>
        <v>4.121818181818182</v>
      </c>
      <c r="E54" s="23">
        <f t="shared" si="7"/>
        <v>290.51</v>
      </c>
    </row>
    <row r="55" spans="1:5" x14ac:dyDescent="0.2">
      <c r="B55" s="21">
        <v>65.3</v>
      </c>
      <c r="C55" s="21">
        <v>22.96</v>
      </c>
      <c r="D55" s="22">
        <f t="shared" si="6"/>
        <v>3.5875000000000008</v>
      </c>
      <c r="E55" s="23">
        <f t="shared" si="7"/>
        <v>313.46999999999997</v>
      </c>
    </row>
    <row r="56" spans="1:5" x14ac:dyDescent="0.2">
      <c r="B56" s="21">
        <v>74.099999999999994</v>
      </c>
      <c r="C56" s="21">
        <v>20.97</v>
      </c>
      <c r="D56" s="22">
        <f t="shared" si="6"/>
        <v>2.3829545454545462</v>
      </c>
      <c r="E56" s="23">
        <f t="shared" si="7"/>
        <v>334.43999999999994</v>
      </c>
    </row>
    <row r="57" spans="1:5" x14ac:dyDescent="0.2">
      <c r="B57" s="21">
        <v>100</v>
      </c>
      <c r="C57" s="21">
        <v>22.68</v>
      </c>
      <c r="D57" s="22">
        <f t="shared" si="6"/>
        <v>0.8756756756756755</v>
      </c>
      <c r="E57" s="23">
        <f t="shared" si="7"/>
        <v>357.11999999999995</v>
      </c>
    </row>
    <row r="58" spans="1:5" ht="15.75" x14ac:dyDescent="0.25">
      <c r="C58" s="30">
        <f>SUM(C49:C57)</f>
        <v>357.11999999999995</v>
      </c>
      <c r="D58" s="36" t="s">
        <v>17</v>
      </c>
      <c r="E58" s="30">
        <f>C58-C50</f>
        <v>154.54999999999995</v>
      </c>
    </row>
    <row r="59" spans="1:5" ht="15.75" x14ac:dyDescent="0.25">
      <c r="C59" s="30">
        <f>C58/100</f>
        <v>3.5711999999999993</v>
      </c>
      <c r="D59" s="36" t="s">
        <v>18</v>
      </c>
      <c r="E59" s="26"/>
    </row>
    <row r="60" spans="1:5" ht="15.75" x14ac:dyDescent="0.25">
      <c r="C60" s="26"/>
      <c r="D60" s="38"/>
      <c r="E60" s="36"/>
    </row>
    <row r="61" spans="1:5" x14ac:dyDescent="0.2">
      <c r="E61" s="18"/>
    </row>
    <row r="62" spans="1:5" x14ac:dyDescent="0.2">
      <c r="E62" s="18"/>
    </row>
    <row r="63" spans="1:5" ht="15.75" x14ac:dyDescent="0.25">
      <c r="C63" s="31" t="s">
        <v>32</v>
      </c>
      <c r="D63" s="31" t="s">
        <v>33</v>
      </c>
      <c r="E63" s="18"/>
    </row>
    <row r="64" spans="1:5" ht="15.75" x14ac:dyDescent="0.25">
      <c r="B64" s="30" t="s">
        <v>12</v>
      </c>
      <c r="C64" s="29">
        <f>C58+C37+C18</f>
        <v>901.63999999999987</v>
      </c>
      <c r="D64" s="23">
        <f t="shared" ref="D64:D69" si="8">C64/100</f>
        <v>9.0163999999999991</v>
      </c>
      <c r="E64" s="18"/>
    </row>
    <row r="65" spans="2:6" x14ac:dyDescent="0.2">
      <c r="B65" s="44" t="s">
        <v>13</v>
      </c>
      <c r="C65" s="29">
        <f>C18-C10</f>
        <v>158.65999999999997</v>
      </c>
      <c r="D65" s="23">
        <f t="shared" si="8"/>
        <v>1.5865999999999998</v>
      </c>
      <c r="E65" s="22" t="s">
        <v>45</v>
      </c>
    </row>
    <row r="66" spans="2:6" x14ac:dyDescent="0.2">
      <c r="B66" s="45"/>
      <c r="C66" s="29">
        <f>C37-C28</f>
        <v>153.75999999999996</v>
      </c>
      <c r="D66" s="23">
        <f>C66/100</f>
        <v>1.5375999999999996</v>
      </c>
      <c r="E66" s="22" t="s">
        <v>47</v>
      </c>
    </row>
    <row r="67" spans="2:6" x14ac:dyDescent="0.2">
      <c r="B67" s="46"/>
      <c r="C67" s="29">
        <f>C58-C50</f>
        <v>154.54999999999995</v>
      </c>
      <c r="D67" s="23">
        <f>C67/100</f>
        <v>1.5454999999999997</v>
      </c>
      <c r="E67" s="22" t="s">
        <v>46</v>
      </c>
    </row>
    <row r="68" spans="2:6" ht="15.75" x14ac:dyDescent="0.25">
      <c r="B68" s="30" t="s">
        <v>23</v>
      </c>
      <c r="C68" s="29">
        <f>C64-C69-AVERAGE(C65:C67)</f>
        <v>388.62333333333333</v>
      </c>
      <c r="D68" s="23">
        <f t="shared" si="8"/>
        <v>3.8862333333333332</v>
      </c>
      <c r="F68" s="18" t="s">
        <v>56</v>
      </c>
    </row>
    <row r="69" spans="2:6" ht="15.75" x14ac:dyDescent="0.25">
      <c r="B69" s="30" t="s">
        <v>28</v>
      </c>
      <c r="C69" s="29">
        <f>C37</f>
        <v>357.35999999999996</v>
      </c>
      <c r="D69" s="23">
        <f t="shared" si="8"/>
        <v>3.5735999999999994</v>
      </c>
    </row>
  </sheetData>
  <mergeCells count="4">
    <mergeCell ref="B6:E6"/>
    <mergeCell ref="B24:E24"/>
    <mergeCell ref="B46:E46"/>
    <mergeCell ref="B65:B6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F8EC-84B1-4869-87A6-137F2215E5F3}">
  <dimension ref="A2:G66"/>
  <sheetViews>
    <sheetView topLeftCell="A3" zoomScale="115" zoomScaleNormal="115" workbookViewId="0">
      <selection activeCell="I73" sqref="I73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42" customWidth="1"/>
    <col min="7" max="16384" width="8.85546875" style="18"/>
  </cols>
  <sheetData>
    <row r="2" spans="1:7" ht="18" x14ac:dyDescent="0.25">
      <c r="B2" s="27" t="s">
        <v>38</v>
      </c>
      <c r="C2" s="28"/>
      <c r="D2" s="28"/>
    </row>
    <row r="3" spans="1:7" x14ac:dyDescent="0.2">
      <c r="B3" s="19" t="s">
        <v>57</v>
      </c>
    </row>
    <row r="4" spans="1:7" x14ac:dyDescent="0.2">
      <c r="C4" s="19"/>
    </row>
    <row r="5" spans="1:7" x14ac:dyDescent="0.2">
      <c r="F5" s="43"/>
    </row>
    <row r="6" spans="1:7" ht="25.5" customHeight="1" x14ac:dyDescent="0.2">
      <c r="B6" s="47" t="s">
        <v>40</v>
      </c>
      <c r="C6" s="47"/>
      <c r="D6" s="47"/>
      <c r="E6" s="47"/>
    </row>
    <row r="7" spans="1:7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7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7" x14ac:dyDescent="0.2">
      <c r="B9" s="21">
        <v>0</v>
      </c>
      <c r="C9" s="21">
        <v>0</v>
      </c>
      <c r="D9" s="22">
        <v>0</v>
      </c>
      <c r="E9" s="23">
        <v>0</v>
      </c>
    </row>
    <row r="10" spans="1:7" x14ac:dyDescent="0.2">
      <c r="A10" s="18" t="s">
        <v>34</v>
      </c>
      <c r="B10" s="21">
        <v>15</v>
      </c>
      <c r="C10" s="39">
        <v>10.7</v>
      </c>
      <c r="D10" s="22">
        <f t="shared" ref="D10:D16" si="0">C10/(B10-B9)</f>
        <v>0.71333333333333326</v>
      </c>
      <c r="E10" s="23">
        <f t="shared" ref="E10:E16" si="1">E9+C10</f>
        <v>10.7</v>
      </c>
      <c r="F10" s="42">
        <v>9.6</v>
      </c>
      <c r="G10" s="18" t="s">
        <v>63</v>
      </c>
    </row>
    <row r="11" spans="1:7" x14ac:dyDescent="0.2">
      <c r="B11" s="21">
        <v>29</v>
      </c>
      <c r="C11" s="21">
        <v>33.299999999999997</v>
      </c>
      <c r="D11" s="22">
        <f>C11/(B11-B10)</f>
        <v>2.3785714285714286</v>
      </c>
      <c r="E11" s="23">
        <f>E10+C11</f>
        <v>44</v>
      </c>
    </row>
    <row r="12" spans="1:7" x14ac:dyDescent="0.2">
      <c r="B12" s="21">
        <v>37.4</v>
      </c>
      <c r="C12" s="21">
        <v>22.6</v>
      </c>
      <c r="D12" s="22">
        <f t="shared" si="0"/>
        <v>2.6904761904761911</v>
      </c>
      <c r="E12" s="23">
        <f t="shared" si="1"/>
        <v>66.599999999999994</v>
      </c>
      <c r="G12" s="18" t="s">
        <v>58</v>
      </c>
    </row>
    <row r="13" spans="1:7" x14ac:dyDescent="0.2">
      <c r="B13" s="21">
        <v>45.5</v>
      </c>
      <c r="C13" s="21">
        <v>21.85</v>
      </c>
      <c r="D13" s="22">
        <f t="shared" si="0"/>
        <v>2.6975308641975304</v>
      </c>
      <c r="E13" s="23">
        <f t="shared" si="1"/>
        <v>88.449999999999989</v>
      </c>
      <c r="G13" s="18" t="s">
        <v>59</v>
      </c>
    </row>
    <row r="14" spans="1:7" x14ac:dyDescent="0.2">
      <c r="B14" s="21">
        <v>55</v>
      </c>
      <c r="C14" s="21">
        <v>22.81</v>
      </c>
      <c r="D14" s="22">
        <f t="shared" si="0"/>
        <v>2.4010526315789473</v>
      </c>
      <c r="E14" s="23">
        <f t="shared" si="1"/>
        <v>111.25999999999999</v>
      </c>
      <c r="G14" s="18" t="s">
        <v>60</v>
      </c>
    </row>
    <row r="15" spans="1:7" x14ac:dyDescent="0.2">
      <c r="B15" s="21">
        <v>67</v>
      </c>
      <c r="C15" s="21">
        <v>23.51</v>
      </c>
      <c r="D15" s="22">
        <f t="shared" si="0"/>
        <v>1.9591666666666667</v>
      </c>
      <c r="E15" s="23">
        <f t="shared" si="1"/>
        <v>134.76999999999998</v>
      </c>
      <c r="G15" s="18" t="s">
        <v>61</v>
      </c>
    </row>
    <row r="16" spans="1:7" x14ac:dyDescent="0.2">
      <c r="B16" s="21">
        <v>100</v>
      </c>
      <c r="C16" s="21">
        <v>22.3</v>
      </c>
      <c r="D16" s="22">
        <f t="shared" si="0"/>
        <v>0.67575757575757578</v>
      </c>
      <c r="E16" s="23">
        <f t="shared" si="1"/>
        <v>157.07</v>
      </c>
      <c r="G16" s="18" t="s">
        <v>62</v>
      </c>
    </row>
    <row r="17" spans="1:6" ht="15.75" x14ac:dyDescent="0.25">
      <c r="C17" s="31">
        <f>SUM(C9:C16)</f>
        <v>157.07</v>
      </c>
      <c r="D17" s="36" t="s">
        <v>17</v>
      </c>
      <c r="E17" s="30">
        <f>C17-C10</f>
        <v>146.37</v>
      </c>
    </row>
    <row r="18" spans="1:6" ht="15.75" x14ac:dyDescent="0.25">
      <c r="C18" s="31">
        <f>C17/100</f>
        <v>1.5707</v>
      </c>
      <c r="D18" s="36" t="s">
        <v>18</v>
      </c>
      <c r="E18" s="26"/>
    </row>
    <row r="22" spans="1:6" x14ac:dyDescent="0.2">
      <c r="F22" s="43"/>
    </row>
    <row r="23" spans="1:6" ht="23.1" customHeight="1" x14ac:dyDescent="0.2">
      <c r="B23" s="47" t="s">
        <v>43</v>
      </c>
      <c r="C23" s="47"/>
      <c r="D23" s="47"/>
      <c r="E23" s="47"/>
    </row>
    <row r="24" spans="1:6" ht="15.75" x14ac:dyDescent="0.2">
      <c r="B24" s="34" t="s">
        <v>41</v>
      </c>
      <c r="C24" s="34" t="s">
        <v>42</v>
      </c>
      <c r="D24" s="35" t="s">
        <v>4</v>
      </c>
      <c r="E24" s="34" t="s">
        <v>5</v>
      </c>
    </row>
    <row r="25" spans="1:6" x14ac:dyDescent="0.2">
      <c r="B25" s="32" t="s">
        <v>6</v>
      </c>
      <c r="C25" s="32" t="s">
        <v>17</v>
      </c>
      <c r="D25" s="33" t="s">
        <v>19</v>
      </c>
      <c r="E25" s="32" t="s">
        <v>20</v>
      </c>
    </row>
    <row r="26" spans="1:6" x14ac:dyDescent="0.2">
      <c r="B26" s="21">
        <v>0</v>
      </c>
      <c r="C26" s="21">
        <v>0</v>
      </c>
      <c r="D26" s="22">
        <v>0</v>
      </c>
      <c r="E26" s="23">
        <v>0</v>
      </c>
    </row>
    <row r="27" spans="1:6" x14ac:dyDescent="0.2">
      <c r="A27" s="18" t="s">
        <v>34</v>
      </c>
      <c r="B27" s="21">
        <v>43.7</v>
      </c>
      <c r="C27" s="39">
        <v>152.6</v>
      </c>
      <c r="D27" s="22">
        <f>C27/(B27-B26)</f>
        <v>3.4919908466819218</v>
      </c>
      <c r="E27" s="23">
        <f>E26+C27</f>
        <v>152.6</v>
      </c>
      <c r="F27" s="42">
        <v>9.6</v>
      </c>
    </row>
    <row r="28" spans="1:6" x14ac:dyDescent="0.2">
      <c r="B28" s="21">
        <v>47.7</v>
      </c>
      <c r="C28" s="21">
        <v>26.54</v>
      </c>
      <c r="D28" s="22">
        <f>C28/(B28-B27)</f>
        <v>6.6349999999999998</v>
      </c>
      <c r="E28" s="23">
        <f>E27+C28</f>
        <v>179.14</v>
      </c>
      <c r="F28" s="42" t="s">
        <v>64</v>
      </c>
    </row>
    <row r="29" spans="1:6" x14ac:dyDescent="0.2">
      <c r="B29" s="21">
        <v>52.5</v>
      </c>
      <c r="C29" s="21">
        <v>23.7</v>
      </c>
      <c r="D29" s="22">
        <f t="shared" ref="D29:D33" si="2">C29/(B29-B28)</f>
        <v>4.9375000000000027</v>
      </c>
      <c r="E29" s="23">
        <f t="shared" ref="E29:E33" si="3">E28+C29</f>
        <v>202.83999999999997</v>
      </c>
      <c r="F29" s="42" t="s">
        <v>65</v>
      </c>
    </row>
    <row r="30" spans="1:6" x14ac:dyDescent="0.2">
      <c r="B30" s="21">
        <v>58</v>
      </c>
      <c r="C30" s="21">
        <v>25.3</v>
      </c>
      <c r="D30" s="22">
        <f t="shared" si="2"/>
        <v>4.6000000000000005</v>
      </c>
      <c r="E30" s="23">
        <f t="shared" si="3"/>
        <v>228.14</v>
      </c>
      <c r="F30" s="42" t="s">
        <v>66</v>
      </c>
    </row>
    <row r="31" spans="1:6" x14ac:dyDescent="0.2">
      <c r="B31" s="21">
        <v>63</v>
      </c>
      <c r="C31" s="21">
        <v>22.3</v>
      </c>
      <c r="D31" s="22">
        <f t="shared" si="2"/>
        <v>4.46</v>
      </c>
      <c r="E31" s="23">
        <f t="shared" si="3"/>
        <v>250.44</v>
      </c>
      <c r="F31" s="42" t="s">
        <v>67</v>
      </c>
    </row>
    <row r="32" spans="1:6" x14ac:dyDescent="0.2">
      <c r="B32" s="21">
        <v>71.7</v>
      </c>
      <c r="C32" s="21">
        <v>27.3</v>
      </c>
      <c r="D32" s="22">
        <f t="shared" si="2"/>
        <v>3.1379310344827576</v>
      </c>
      <c r="E32" s="23">
        <f t="shared" si="3"/>
        <v>277.74</v>
      </c>
      <c r="F32" s="42" t="s">
        <v>68</v>
      </c>
    </row>
    <row r="33" spans="1:6" x14ac:dyDescent="0.2">
      <c r="B33" s="21">
        <v>100</v>
      </c>
      <c r="C33" s="21">
        <v>25.7</v>
      </c>
      <c r="D33" s="22">
        <f t="shared" si="2"/>
        <v>0.90812720848056538</v>
      </c>
      <c r="E33" s="23">
        <f t="shared" si="3"/>
        <v>303.44</v>
      </c>
      <c r="F33" s="42" t="s">
        <v>69</v>
      </c>
    </row>
    <row r="34" spans="1:6" ht="15.75" x14ac:dyDescent="0.25">
      <c r="C34" s="37">
        <f>SUM(C27:C33)</f>
        <v>303.44</v>
      </c>
      <c r="D34" s="36" t="s">
        <v>17</v>
      </c>
      <c r="E34" s="37">
        <f>C34-C27</f>
        <v>150.84</v>
      </c>
    </row>
    <row r="35" spans="1:6" ht="15.75" x14ac:dyDescent="0.25">
      <c r="C35" s="30">
        <f>C34/100</f>
        <v>3.0343999999999998</v>
      </c>
      <c r="D35" s="36" t="s">
        <v>18</v>
      </c>
      <c r="E35" s="26"/>
    </row>
    <row r="36" spans="1:6" x14ac:dyDescent="0.2">
      <c r="D36" s="20"/>
      <c r="E36" s="18"/>
    </row>
    <row r="40" spans="1:6" x14ac:dyDescent="0.2">
      <c r="F40" s="43"/>
    </row>
    <row r="41" spans="1:6" x14ac:dyDescent="0.2">
      <c r="F41" s="43"/>
    </row>
    <row r="42" spans="1:6" x14ac:dyDescent="0.2">
      <c r="F42" s="43"/>
    </row>
    <row r="43" spans="1:6" ht="23.1" customHeight="1" x14ac:dyDescent="0.2">
      <c r="B43" s="47" t="s">
        <v>44</v>
      </c>
      <c r="C43" s="47"/>
      <c r="D43" s="47"/>
      <c r="E43" s="47"/>
    </row>
    <row r="44" spans="1:6" ht="15.75" x14ac:dyDescent="0.2">
      <c r="B44" s="34" t="s">
        <v>41</v>
      </c>
      <c r="C44" s="34" t="s">
        <v>42</v>
      </c>
      <c r="D44" s="35" t="s">
        <v>4</v>
      </c>
      <c r="E44" s="34" t="s">
        <v>5</v>
      </c>
    </row>
    <row r="45" spans="1:6" x14ac:dyDescent="0.2">
      <c r="B45" s="32" t="s">
        <v>6</v>
      </c>
      <c r="C45" s="32" t="s">
        <v>17</v>
      </c>
      <c r="D45" s="33" t="s">
        <v>19</v>
      </c>
      <c r="E45" s="32" t="s">
        <v>20</v>
      </c>
    </row>
    <row r="46" spans="1:6" x14ac:dyDescent="0.2">
      <c r="B46" s="21">
        <v>0</v>
      </c>
      <c r="C46" s="21">
        <v>0</v>
      </c>
      <c r="D46" s="22">
        <v>0</v>
      </c>
      <c r="E46" s="23">
        <v>0</v>
      </c>
    </row>
    <row r="47" spans="1:6" x14ac:dyDescent="0.2">
      <c r="A47" s="18" t="s">
        <v>34</v>
      </c>
      <c r="B47" s="21">
        <v>40.700000000000003</v>
      </c>
      <c r="C47" s="39">
        <v>202.57</v>
      </c>
      <c r="D47" s="22">
        <f>C47/(B47-B46)</f>
        <v>4.977149877149877</v>
      </c>
      <c r="E47" s="23">
        <f>E46+C47</f>
        <v>202.57</v>
      </c>
    </row>
    <row r="48" spans="1:6" x14ac:dyDescent="0.2">
      <c r="B48" s="21">
        <v>44.3</v>
      </c>
      <c r="C48" s="21">
        <v>20.8</v>
      </c>
      <c r="D48" s="22">
        <f t="shared" ref="D48:D54" si="4">C48/(B48-B47)</f>
        <v>5.7777777777777874</v>
      </c>
      <c r="E48" s="23">
        <f t="shared" ref="E48:E54" si="5">E47+C48</f>
        <v>223.37</v>
      </c>
    </row>
    <row r="49" spans="2:5" x14ac:dyDescent="0.2">
      <c r="B49" s="21">
        <v>48.5</v>
      </c>
      <c r="C49" s="21">
        <v>20.76</v>
      </c>
      <c r="D49" s="22">
        <f t="shared" si="4"/>
        <v>4.9428571428571395</v>
      </c>
      <c r="E49" s="23">
        <f t="shared" si="5"/>
        <v>244.13</v>
      </c>
    </row>
    <row r="50" spans="2:5" x14ac:dyDescent="0.2">
      <c r="B50" s="21">
        <v>53.4</v>
      </c>
      <c r="C50" s="21">
        <v>23.71</v>
      </c>
      <c r="D50" s="22">
        <f t="shared" si="4"/>
        <v>4.8387755102040835</v>
      </c>
      <c r="E50" s="23">
        <f t="shared" si="5"/>
        <v>267.83999999999997</v>
      </c>
    </row>
    <row r="51" spans="2:5" x14ac:dyDescent="0.2">
      <c r="B51" s="21">
        <v>58.9</v>
      </c>
      <c r="C51" s="21">
        <v>22.67</v>
      </c>
      <c r="D51" s="22">
        <f t="shared" si="4"/>
        <v>4.121818181818182</v>
      </c>
      <c r="E51" s="23">
        <f t="shared" si="5"/>
        <v>290.51</v>
      </c>
    </row>
    <row r="52" spans="2:5" x14ac:dyDescent="0.2">
      <c r="B52" s="21">
        <v>65.3</v>
      </c>
      <c r="C52" s="21">
        <v>22.96</v>
      </c>
      <c r="D52" s="22">
        <f t="shared" si="4"/>
        <v>3.5875000000000008</v>
      </c>
      <c r="E52" s="23">
        <f t="shared" si="5"/>
        <v>313.46999999999997</v>
      </c>
    </row>
    <row r="53" spans="2:5" x14ac:dyDescent="0.2">
      <c r="B53" s="21">
        <v>74.099999999999994</v>
      </c>
      <c r="C53" s="21">
        <v>20.97</v>
      </c>
      <c r="D53" s="22">
        <f t="shared" si="4"/>
        <v>2.3829545454545462</v>
      </c>
      <c r="E53" s="23">
        <f t="shared" si="5"/>
        <v>334.43999999999994</v>
      </c>
    </row>
    <row r="54" spans="2:5" x14ac:dyDescent="0.2">
      <c r="B54" s="21">
        <v>100</v>
      </c>
      <c r="C54" s="21">
        <v>22.68</v>
      </c>
      <c r="D54" s="22">
        <f t="shared" si="4"/>
        <v>0.8756756756756755</v>
      </c>
      <c r="E54" s="23">
        <f t="shared" si="5"/>
        <v>357.11999999999995</v>
      </c>
    </row>
    <row r="55" spans="2:5" ht="15.75" x14ac:dyDescent="0.25">
      <c r="C55" s="30">
        <f>SUM(C46:C54)</f>
        <v>357.11999999999995</v>
      </c>
      <c r="D55" s="36" t="s">
        <v>17</v>
      </c>
      <c r="E55" s="30">
        <f>C55-C47</f>
        <v>154.54999999999995</v>
      </c>
    </row>
    <row r="56" spans="2:5" ht="15.75" x14ac:dyDescent="0.25">
      <c r="C56" s="30">
        <f>C55/100</f>
        <v>3.5711999999999993</v>
      </c>
      <c r="D56" s="36" t="s">
        <v>18</v>
      </c>
      <c r="E56" s="26"/>
    </row>
    <row r="57" spans="2:5" ht="15.75" x14ac:dyDescent="0.25">
      <c r="C57" s="26"/>
      <c r="D57" s="38"/>
      <c r="E57" s="36"/>
    </row>
    <row r="58" spans="2:5" x14ac:dyDescent="0.2">
      <c r="E58" s="18"/>
    </row>
    <row r="59" spans="2:5" x14ac:dyDescent="0.2">
      <c r="E59" s="18"/>
    </row>
    <row r="60" spans="2:5" ht="15.75" x14ac:dyDescent="0.25">
      <c r="C60" s="31" t="s">
        <v>32</v>
      </c>
      <c r="D60" s="31" t="s">
        <v>33</v>
      </c>
      <c r="E60" s="18"/>
    </row>
    <row r="61" spans="2:5" ht="15.75" x14ac:dyDescent="0.25">
      <c r="B61" s="30" t="s">
        <v>12</v>
      </c>
      <c r="C61" s="29">
        <f>C55+C34+C17</f>
        <v>817.62999999999988</v>
      </c>
      <c r="D61" s="23">
        <f t="shared" ref="D61:D66" si="6">C61/100</f>
        <v>8.1762999999999995</v>
      </c>
      <c r="E61" s="18"/>
    </row>
    <row r="62" spans="2:5" x14ac:dyDescent="0.2">
      <c r="B62" s="44" t="s">
        <v>13</v>
      </c>
      <c r="C62" s="29">
        <f>C17-C10</f>
        <v>146.37</v>
      </c>
      <c r="D62" s="23">
        <f t="shared" si="6"/>
        <v>1.4637</v>
      </c>
      <c r="E62" s="22" t="s">
        <v>45</v>
      </c>
    </row>
    <row r="63" spans="2:5" x14ac:dyDescent="0.2">
      <c r="B63" s="45"/>
      <c r="C63" s="29">
        <f>C34-C27</f>
        <v>150.84</v>
      </c>
      <c r="D63" s="23">
        <f>C63/100</f>
        <v>1.5084</v>
      </c>
      <c r="E63" s="22" t="s">
        <v>47</v>
      </c>
    </row>
    <row r="64" spans="2:5" x14ac:dyDescent="0.2">
      <c r="B64" s="46"/>
      <c r="C64" s="29">
        <f>C55-C47</f>
        <v>154.54999999999995</v>
      </c>
      <c r="D64" s="23">
        <f>C64/100</f>
        <v>1.5454999999999997</v>
      </c>
      <c r="E64" s="22" t="s">
        <v>46</v>
      </c>
    </row>
    <row r="65" spans="2:6" ht="15.75" x14ac:dyDescent="0.25">
      <c r="B65" s="30" t="s">
        <v>23</v>
      </c>
      <c r="C65" s="29">
        <f>C61-C66-AVERAGE(C62:C64)</f>
        <v>309.92333333333329</v>
      </c>
      <c r="D65" s="23">
        <f t="shared" si="6"/>
        <v>3.0992333333333328</v>
      </c>
      <c r="F65" s="42" t="s">
        <v>56</v>
      </c>
    </row>
    <row r="66" spans="2:6" ht="15.75" x14ac:dyDescent="0.25">
      <c r="B66" s="30" t="s">
        <v>28</v>
      </c>
      <c r="C66" s="29">
        <f>C55</f>
        <v>357.11999999999995</v>
      </c>
      <c r="D66" s="23">
        <f t="shared" si="6"/>
        <v>3.5711999999999993</v>
      </c>
      <c r="E66" s="20" t="s">
        <v>70</v>
      </c>
    </row>
  </sheetData>
  <mergeCells count="4">
    <mergeCell ref="B6:E6"/>
    <mergeCell ref="B23:E23"/>
    <mergeCell ref="B43:E43"/>
    <mergeCell ref="B62:B6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F655-4FA3-3849-983B-B7A1E92A47FC}">
  <dimension ref="A1:G66"/>
  <sheetViews>
    <sheetView topLeftCell="A19" zoomScale="150" zoomScaleNormal="115" workbookViewId="0">
      <selection activeCell="F40" sqref="F40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42" customWidth="1"/>
    <col min="7" max="16384" width="8.85546875" style="18"/>
  </cols>
  <sheetData>
    <row r="1" spans="1:7" x14ac:dyDescent="0.2">
      <c r="G1" s="18" t="s">
        <v>90</v>
      </c>
    </row>
    <row r="2" spans="1:7" ht="18" x14ac:dyDescent="0.25">
      <c r="B2" s="27" t="s">
        <v>38</v>
      </c>
      <c r="C2" s="28"/>
      <c r="D2" s="28"/>
    </row>
    <row r="3" spans="1:7" x14ac:dyDescent="0.2">
      <c r="B3" s="19" t="s">
        <v>71</v>
      </c>
    </row>
    <row r="4" spans="1:7" x14ac:dyDescent="0.2">
      <c r="C4" s="19"/>
    </row>
    <row r="5" spans="1:7" x14ac:dyDescent="0.2">
      <c r="F5" s="43"/>
    </row>
    <row r="6" spans="1:7" ht="25.5" customHeight="1" x14ac:dyDescent="0.2">
      <c r="B6" s="47" t="s">
        <v>40</v>
      </c>
      <c r="C6" s="47"/>
      <c r="D6" s="47"/>
      <c r="E6" s="47"/>
    </row>
    <row r="7" spans="1:7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7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7" x14ac:dyDescent="0.2">
      <c r="B9" s="21">
        <v>0</v>
      </c>
      <c r="C9" s="21">
        <v>0</v>
      </c>
      <c r="D9" s="22">
        <v>0</v>
      </c>
      <c r="E9" s="23">
        <v>0</v>
      </c>
    </row>
    <row r="10" spans="1:7" x14ac:dyDescent="0.2">
      <c r="A10" s="18" t="s">
        <v>34</v>
      </c>
      <c r="B10" s="21">
        <v>16</v>
      </c>
      <c r="C10" s="39">
        <v>27.36</v>
      </c>
      <c r="D10" s="22">
        <f t="shared" ref="D10:D15" si="0">C10/(B10-B9)</f>
        <v>1.71</v>
      </c>
      <c r="E10" s="23">
        <f>E9+C10</f>
        <v>27.36</v>
      </c>
      <c r="F10" s="42" t="s">
        <v>79</v>
      </c>
    </row>
    <row r="11" spans="1:7" x14ac:dyDescent="0.2">
      <c r="B11" s="21">
        <v>23.5</v>
      </c>
      <c r="C11" s="21">
        <v>16.36</v>
      </c>
      <c r="D11" s="22">
        <f>C11/(B11-B10)</f>
        <v>2.1813333333333333</v>
      </c>
      <c r="E11" s="23">
        <f>E10+C11</f>
        <v>43.72</v>
      </c>
      <c r="F11" s="42" t="s">
        <v>72</v>
      </c>
    </row>
    <row r="12" spans="1:7" x14ac:dyDescent="0.2">
      <c r="B12" s="21">
        <v>33.200000000000003</v>
      </c>
      <c r="C12" s="21">
        <v>24.77</v>
      </c>
      <c r="D12" s="22">
        <f t="shared" si="0"/>
        <v>2.5536082474226798</v>
      </c>
      <c r="E12" s="23">
        <f t="shared" ref="E12:E15" si="1">E11+C12</f>
        <v>68.489999999999995</v>
      </c>
      <c r="F12" s="42" t="s">
        <v>73</v>
      </c>
    </row>
    <row r="13" spans="1:7" x14ac:dyDescent="0.2">
      <c r="B13" s="21">
        <v>44</v>
      </c>
      <c r="C13" s="21">
        <v>24.79</v>
      </c>
      <c r="D13" s="22">
        <f t="shared" si="0"/>
        <v>2.2953703703703709</v>
      </c>
      <c r="E13" s="23">
        <f t="shared" si="1"/>
        <v>93.28</v>
      </c>
      <c r="F13" s="42" t="s">
        <v>74</v>
      </c>
    </row>
    <row r="14" spans="1:7" x14ac:dyDescent="0.2">
      <c r="B14" s="21">
        <v>50.3</v>
      </c>
      <c r="C14" s="21">
        <v>22.97</v>
      </c>
      <c r="D14" s="22">
        <f t="shared" si="0"/>
        <v>3.6460317460317473</v>
      </c>
      <c r="E14" s="23">
        <f t="shared" si="1"/>
        <v>116.25</v>
      </c>
      <c r="F14" s="42" t="s">
        <v>75</v>
      </c>
    </row>
    <row r="15" spans="1:7" x14ac:dyDescent="0.2">
      <c r="B15" s="21">
        <v>60.4</v>
      </c>
      <c r="C15" s="21">
        <v>24.53</v>
      </c>
      <c r="D15" s="22">
        <f t="shared" si="0"/>
        <v>2.4287128712871286</v>
      </c>
      <c r="E15" s="23">
        <f t="shared" si="1"/>
        <v>140.78</v>
      </c>
      <c r="F15" s="42" t="s">
        <v>76</v>
      </c>
    </row>
    <row r="16" spans="1:7" x14ac:dyDescent="0.2">
      <c r="B16" s="21">
        <v>72.400000000000006</v>
      </c>
      <c r="C16" s="21">
        <v>25.53</v>
      </c>
      <c r="D16" s="22">
        <f t="shared" ref="D16:D17" si="2">C16/(B16-B15)</f>
        <v>2.1274999999999986</v>
      </c>
      <c r="E16" s="23">
        <f t="shared" ref="E16:E17" si="3">E15+C16</f>
        <v>166.31</v>
      </c>
      <c r="F16" s="42" t="s">
        <v>77</v>
      </c>
    </row>
    <row r="17" spans="1:6" x14ac:dyDescent="0.2">
      <c r="B17" s="21">
        <v>100</v>
      </c>
      <c r="C17" s="21">
        <v>16.02</v>
      </c>
      <c r="D17" s="22">
        <f t="shared" si="2"/>
        <v>0.58043478260869574</v>
      </c>
      <c r="E17" s="23">
        <f t="shared" si="3"/>
        <v>182.33</v>
      </c>
      <c r="F17" s="42" t="s">
        <v>78</v>
      </c>
    </row>
    <row r="18" spans="1:6" ht="15.75" x14ac:dyDescent="0.25">
      <c r="C18" s="31">
        <f>SUM(C9:C17)</f>
        <v>182.33</v>
      </c>
      <c r="D18" s="36" t="s">
        <v>17</v>
      </c>
      <c r="E18" s="30">
        <f>C18-C10</f>
        <v>154.97000000000003</v>
      </c>
    </row>
    <row r="19" spans="1:6" ht="15.75" x14ac:dyDescent="0.25">
      <c r="C19" s="31">
        <f>C18/100</f>
        <v>1.8233000000000001</v>
      </c>
      <c r="D19" s="36" t="s">
        <v>18</v>
      </c>
      <c r="E19" s="26"/>
    </row>
    <row r="23" spans="1:6" x14ac:dyDescent="0.2">
      <c r="F23" s="43"/>
    </row>
    <row r="24" spans="1:6" ht="23.1" customHeight="1" x14ac:dyDescent="0.2">
      <c r="B24" s="47" t="s">
        <v>43</v>
      </c>
      <c r="C24" s="47"/>
      <c r="D24" s="47"/>
      <c r="E24" s="47"/>
    </row>
    <row r="25" spans="1:6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6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6" x14ac:dyDescent="0.2">
      <c r="B27" s="21">
        <v>0</v>
      </c>
      <c r="C27" s="21">
        <v>0</v>
      </c>
      <c r="D27" s="22">
        <v>0</v>
      </c>
      <c r="E27" s="23">
        <v>0</v>
      </c>
    </row>
    <row r="28" spans="1:6" x14ac:dyDescent="0.2">
      <c r="A28" s="18" t="s">
        <v>34</v>
      </c>
      <c r="B28" s="21">
        <v>43.5</v>
      </c>
      <c r="C28" s="39">
        <v>202.47</v>
      </c>
      <c r="D28" s="22">
        <f>C28/(B28-B27)</f>
        <v>4.6544827586206896</v>
      </c>
      <c r="E28" s="23">
        <f>E27+C28</f>
        <v>202.47</v>
      </c>
      <c r="F28" s="42" t="s">
        <v>94</v>
      </c>
    </row>
    <row r="29" spans="1:6" x14ac:dyDescent="0.2">
      <c r="B29" s="21">
        <v>48.1</v>
      </c>
      <c r="C29" s="21">
        <v>25.14</v>
      </c>
      <c r="D29" s="22">
        <f>C29/(B29-B28)</f>
        <v>5.4652173913043463</v>
      </c>
      <c r="E29" s="23">
        <f>E28+C29</f>
        <v>227.61</v>
      </c>
      <c r="F29" s="42" t="s">
        <v>80</v>
      </c>
    </row>
    <row r="30" spans="1:6" x14ac:dyDescent="0.2">
      <c r="B30" s="21">
        <v>53.1</v>
      </c>
      <c r="C30" s="21">
        <v>25.36</v>
      </c>
      <c r="D30" s="22">
        <f t="shared" ref="D30:D34" si="4">C30/(B30-B29)</f>
        <v>5.0720000000000001</v>
      </c>
      <c r="E30" s="23">
        <f t="shared" ref="E30:E34" si="5">E29+C30</f>
        <v>252.97000000000003</v>
      </c>
      <c r="F30" s="42" t="s">
        <v>81</v>
      </c>
    </row>
    <row r="31" spans="1:6" x14ac:dyDescent="0.2">
      <c r="B31" s="21">
        <v>58.9</v>
      </c>
      <c r="C31" s="21">
        <v>25.62</v>
      </c>
      <c r="D31" s="22">
        <f t="shared" si="4"/>
        <v>4.4172413793103473</v>
      </c>
      <c r="E31" s="23">
        <f t="shared" si="5"/>
        <v>278.59000000000003</v>
      </c>
      <c r="F31" s="42" t="s">
        <v>82</v>
      </c>
    </row>
    <row r="32" spans="1:6" x14ac:dyDescent="0.2">
      <c r="B32" s="21">
        <v>65.5</v>
      </c>
      <c r="C32" s="21">
        <v>26.7</v>
      </c>
      <c r="D32" s="22">
        <f t="shared" si="4"/>
        <v>4.0454545454545441</v>
      </c>
      <c r="E32" s="23">
        <f t="shared" si="5"/>
        <v>305.29000000000002</v>
      </c>
      <c r="F32" s="42" t="s">
        <v>83</v>
      </c>
    </row>
    <row r="33" spans="1:6" x14ac:dyDescent="0.2">
      <c r="B33" s="21">
        <v>74</v>
      </c>
      <c r="C33" s="21">
        <v>25.52</v>
      </c>
      <c r="D33" s="22">
        <f t="shared" si="4"/>
        <v>3.0023529411764707</v>
      </c>
      <c r="E33" s="23">
        <f t="shared" si="5"/>
        <v>330.81</v>
      </c>
      <c r="F33" s="42" t="s">
        <v>84</v>
      </c>
    </row>
    <row r="34" spans="1:6" x14ac:dyDescent="0.2">
      <c r="B34" s="21">
        <v>100</v>
      </c>
      <c r="C34" s="21">
        <v>22.27</v>
      </c>
      <c r="D34" s="22">
        <f t="shared" si="4"/>
        <v>0.85653846153846147</v>
      </c>
      <c r="E34" s="23">
        <f t="shared" si="5"/>
        <v>353.08</v>
      </c>
      <c r="F34" s="42" t="s">
        <v>81</v>
      </c>
    </row>
    <row r="35" spans="1:6" ht="15.75" x14ac:dyDescent="0.25">
      <c r="C35" s="37">
        <f>SUM(C28:C34)</f>
        <v>353.08</v>
      </c>
      <c r="D35" s="36" t="s">
        <v>17</v>
      </c>
      <c r="E35" s="37">
        <f>C35-C28</f>
        <v>150.60999999999999</v>
      </c>
    </row>
    <row r="36" spans="1:6" ht="15.75" x14ac:dyDescent="0.25">
      <c r="C36" s="30">
        <f>C35/100</f>
        <v>3.5307999999999997</v>
      </c>
      <c r="D36" s="36" t="s">
        <v>18</v>
      </c>
      <c r="E36" s="26"/>
    </row>
    <row r="37" spans="1:6" x14ac:dyDescent="0.2">
      <c r="D37" s="20"/>
      <c r="E37" s="18"/>
    </row>
    <row r="41" spans="1:6" x14ac:dyDescent="0.2">
      <c r="F41" s="43"/>
    </row>
    <row r="42" spans="1:6" x14ac:dyDescent="0.2">
      <c r="F42" s="43"/>
    </row>
    <row r="43" spans="1:6" x14ac:dyDescent="0.2">
      <c r="F43" s="43"/>
    </row>
    <row r="44" spans="1:6" ht="23.1" customHeight="1" x14ac:dyDescent="0.2">
      <c r="B44" s="47" t="s">
        <v>44</v>
      </c>
      <c r="C44" s="47"/>
      <c r="D44" s="47"/>
      <c r="E44" s="47"/>
    </row>
    <row r="45" spans="1:6" ht="15.75" x14ac:dyDescent="0.2">
      <c r="B45" s="34" t="s">
        <v>41</v>
      </c>
      <c r="C45" s="34" t="s">
        <v>42</v>
      </c>
      <c r="D45" s="35" t="s">
        <v>4</v>
      </c>
      <c r="E45" s="34" t="s">
        <v>5</v>
      </c>
    </row>
    <row r="46" spans="1:6" x14ac:dyDescent="0.2">
      <c r="B46" s="32" t="s">
        <v>6</v>
      </c>
      <c r="C46" s="32" t="s">
        <v>17</v>
      </c>
      <c r="D46" s="33" t="s">
        <v>19</v>
      </c>
      <c r="E46" s="32" t="s">
        <v>20</v>
      </c>
    </row>
    <row r="47" spans="1:6" x14ac:dyDescent="0.2">
      <c r="B47" s="21">
        <v>0</v>
      </c>
      <c r="C47" s="21">
        <v>0</v>
      </c>
      <c r="D47" s="22">
        <v>0</v>
      </c>
      <c r="E47" s="23">
        <v>0</v>
      </c>
    </row>
    <row r="48" spans="1:6" x14ac:dyDescent="0.2">
      <c r="A48" s="18" t="s">
        <v>34</v>
      </c>
      <c r="B48" s="21">
        <v>40.9</v>
      </c>
      <c r="C48" s="39">
        <v>191.98</v>
      </c>
      <c r="D48" s="22">
        <f>C48/(B48-B47)</f>
        <v>4.6938875305623471</v>
      </c>
      <c r="E48" s="23">
        <f>E47+C48</f>
        <v>191.98</v>
      </c>
      <c r="F48" s="42" t="s">
        <v>92</v>
      </c>
    </row>
    <row r="49" spans="2:6" x14ac:dyDescent="0.2">
      <c r="B49" s="21">
        <v>45.3</v>
      </c>
      <c r="C49" s="21">
        <v>22.86</v>
      </c>
      <c r="D49" s="22">
        <f t="shared" ref="D49:D54" si="6">C49/(B49-B48)</f>
        <v>5.1954545454545471</v>
      </c>
      <c r="E49" s="23">
        <f t="shared" ref="E49:E54" si="7">E48+C49</f>
        <v>214.83999999999997</v>
      </c>
      <c r="F49" s="42" t="s">
        <v>85</v>
      </c>
    </row>
    <row r="50" spans="2:6" x14ac:dyDescent="0.2">
      <c r="B50" s="21">
        <v>50.2</v>
      </c>
      <c r="C50" s="21">
        <v>23.13</v>
      </c>
      <c r="D50" s="22">
        <f t="shared" si="6"/>
        <v>4.7204081632653008</v>
      </c>
      <c r="E50" s="23">
        <f t="shared" si="7"/>
        <v>237.96999999999997</v>
      </c>
      <c r="F50" s="42" t="s">
        <v>86</v>
      </c>
    </row>
    <row r="51" spans="2:6" x14ac:dyDescent="0.2">
      <c r="B51" s="21">
        <v>55.8</v>
      </c>
      <c r="C51" s="21">
        <v>24.59</v>
      </c>
      <c r="D51" s="22">
        <f t="shared" si="6"/>
        <v>4.3910714285714327</v>
      </c>
      <c r="E51" s="23">
        <f t="shared" si="7"/>
        <v>262.55999999999995</v>
      </c>
      <c r="F51" s="42" t="s">
        <v>87</v>
      </c>
    </row>
    <row r="52" spans="2:6" x14ac:dyDescent="0.2">
      <c r="B52" s="21">
        <v>62.4</v>
      </c>
      <c r="C52" s="21">
        <v>25.36</v>
      </c>
      <c r="D52" s="22">
        <f t="shared" si="6"/>
        <v>3.8424242424242414</v>
      </c>
      <c r="E52" s="23">
        <f t="shared" si="7"/>
        <v>287.91999999999996</v>
      </c>
      <c r="F52" s="42" t="s">
        <v>88</v>
      </c>
    </row>
    <row r="53" spans="2:6" x14ac:dyDescent="0.2">
      <c r="B53" s="21">
        <v>71.400000000000006</v>
      </c>
      <c r="C53" s="21">
        <v>25.56</v>
      </c>
      <c r="D53" s="22">
        <f t="shared" si="6"/>
        <v>2.8399999999999976</v>
      </c>
      <c r="E53" s="23">
        <f t="shared" si="7"/>
        <v>313.47999999999996</v>
      </c>
      <c r="F53" s="42" t="s">
        <v>89</v>
      </c>
    </row>
    <row r="54" spans="2:6" x14ac:dyDescent="0.2">
      <c r="B54" s="21">
        <v>100</v>
      </c>
      <c r="C54" s="21">
        <v>16.13</v>
      </c>
      <c r="D54" s="22">
        <f t="shared" si="6"/>
        <v>0.56398601398601411</v>
      </c>
      <c r="E54" s="23">
        <f t="shared" si="7"/>
        <v>329.60999999999996</v>
      </c>
      <c r="F54" s="42" t="s">
        <v>91</v>
      </c>
    </row>
    <row r="55" spans="2:6" ht="15.75" x14ac:dyDescent="0.25">
      <c r="C55" s="30">
        <f>SUM(C47:C54)</f>
        <v>329.60999999999996</v>
      </c>
      <c r="D55" s="36" t="s">
        <v>17</v>
      </c>
      <c r="E55" s="30">
        <f>C55-C48</f>
        <v>137.62999999999997</v>
      </c>
    </row>
    <row r="56" spans="2:6" ht="15.75" x14ac:dyDescent="0.25">
      <c r="C56" s="30">
        <f>C55/100</f>
        <v>3.2960999999999996</v>
      </c>
      <c r="D56" s="36" t="s">
        <v>18</v>
      </c>
      <c r="E56" s="26"/>
    </row>
    <row r="57" spans="2:6" ht="15.75" x14ac:dyDescent="0.25">
      <c r="C57" s="26"/>
      <c r="D57" s="38"/>
      <c r="E57" s="36"/>
    </row>
    <row r="58" spans="2:6" x14ac:dyDescent="0.2">
      <c r="E58" s="18"/>
    </row>
    <row r="59" spans="2:6" x14ac:dyDescent="0.2">
      <c r="E59" s="18"/>
    </row>
    <row r="60" spans="2:6" ht="15.75" x14ac:dyDescent="0.25">
      <c r="C60" s="31" t="s">
        <v>32</v>
      </c>
      <c r="D60" s="31" t="s">
        <v>33</v>
      </c>
      <c r="E60" s="18"/>
    </row>
    <row r="61" spans="2:6" ht="15.75" x14ac:dyDescent="0.25">
      <c r="B61" s="30" t="s">
        <v>12</v>
      </c>
      <c r="C61" s="29">
        <f>C55+C35+C18</f>
        <v>865.02</v>
      </c>
      <c r="D61" s="23">
        <f t="shared" ref="D61:D66" si="8">C61/100</f>
        <v>8.6501999999999999</v>
      </c>
      <c r="E61" s="18"/>
    </row>
    <row r="62" spans="2:6" x14ac:dyDescent="0.2">
      <c r="B62" s="44" t="s">
        <v>13</v>
      </c>
      <c r="C62" s="29">
        <f>C18-C10</f>
        <v>154.97000000000003</v>
      </c>
      <c r="D62" s="23">
        <f t="shared" si="8"/>
        <v>1.5497000000000003</v>
      </c>
      <c r="E62" s="22" t="s">
        <v>45</v>
      </c>
    </row>
    <row r="63" spans="2:6" x14ac:dyDescent="0.2">
      <c r="B63" s="45"/>
      <c r="C63" s="29">
        <f>C35-C28</f>
        <v>150.60999999999999</v>
      </c>
      <c r="D63" s="23">
        <f>C63/100</f>
        <v>1.5060999999999998</v>
      </c>
      <c r="E63" s="22" t="s">
        <v>47</v>
      </c>
    </row>
    <row r="64" spans="2:6" x14ac:dyDescent="0.2">
      <c r="B64" s="46"/>
      <c r="C64" s="29">
        <f>C55-C48</f>
        <v>137.62999999999997</v>
      </c>
      <c r="D64" s="23">
        <f>C64/100</f>
        <v>1.3762999999999996</v>
      </c>
      <c r="E64" s="22" t="s">
        <v>46</v>
      </c>
    </row>
    <row r="65" spans="2:6" ht="15.75" x14ac:dyDescent="0.25">
      <c r="B65" s="30" t="s">
        <v>23</v>
      </c>
      <c r="C65" s="29">
        <f>C61-C66-AVERAGE(C62:C64)</f>
        <v>364.20333333333332</v>
      </c>
      <c r="D65" s="22">
        <f t="shared" si="8"/>
        <v>3.642033333333333</v>
      </c>
      <c r="F65" s="42" t="s">
        <v>56</v>
      </c>
    </row>
    <row r="66" spans="2:6" ht="15.75" x14ac:dyDescent="0.25">
      <c r="B66" s="30" t="s">
        <v>28</v>
      </c>
      <c r="C66" s="29">
        <f>C35</f>
        <v>353.08</v>
      </c>
      <c r="D66" s="23">
        <f t="shared" si="8"/>
        <v>3.5307999999999997</v>
      </c>
      <c r="E66" s="20" t="s">
        <v>93</v>
      </c>
    </row>
  </sheetData>
  <mergeCells count="4">
    <mergeCell ref="B6:E6"/>
    <mergeCell ref="B24:E24"/>
    <mergeCell ref="B44:E44"/>
    <mergeCell ref="B62:B6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C522-D6C4-8344-A632-9037304A2051}">
  <dimension ref="A2:F66"/>
  <sheetViews>
    <sheetView tabSelected="1" topLeftCell="A44" zoomScale="125" zoomScaleNormal="115" workbookViewId="0">
      <selection activeCell="O64" sqref="O64"/>
    </sheetView>
  </sheetViews>
  <sheetFormatPr defaultColWidth="8.85546875" defaultRowHeight="15" x14ac:dyDescent="0.2"/>
  <cols>
    <col min="1" max="1" width="10.140625" style="18" bestFit="1" customWidth="1"/>
    <col min="2" max="2" width="18.42578125" style="18" customWidth="1"/>
    <col min="3" max="4" width="13.85546875" style="18" customWidth="1"/>
    <col min="5" max="5" width="21.7109375" style="20" bestFit="1" customWidth="1"/>
    <col min="6" max="6" width="13" style="42" customWidth="1"/>
    <col min="7" max="16384" width="8.85546875" style="18"/>
  </cols>
  <sheetData>
    <row r="2" spans="1:6" ht="18" x14ac:dyDescent="0.25">
      <c r="B2" s="27" t="s">
        <v>38</v>
      </c>
      <c r="C2" s="28"/>
      <c r="D2" s="28"/>
    </row>
    <row r="3" spans="1:6" x14ac:dyDescent="0.2">
      <c r="B3" s="19" t="s">
        <v>95</v>
      </c>
    </row>
    <row r="4" spans="1:6" x14ac:dyDescent="0.2">
      <c r="C4" s="19"/>
    </row>
    <row r="5" spans="1:6" x14ac:dyDescent="0.2">
      <c r="F5" s="43"/>
    </row>
    <row r="6" spans="1:6" ht="25.5" customHeight="1" x14ac:dyDescent="0.2">
      <c r="B6" s="47" t="s">
        <v>40</v>
      </c>
      <c r="C6" s="47"/>
      <c r="D6" s="47"/>
      <c r="E6" s="47"/>
    </row>
    <row r="7" spans="1:6" ht="15.75" x14ac:dyDescent="0.2">
      <c r="B7" s="34" t="s">
        <v>41</v>
      </c>
      <c r="C7" s="34" t="s">
        <v>42</v>
      </c>
      <c r="D7" s="35" t="s">
        <v>4</v>
      </c>
      <c r="E7" s="34" t="s">
        <v>5</v>
      </c>
    </row>
    <row r="8" spans="1:6" x14ac:dyDescent="0.2">
      <c r="B8" s="32" t="s">
        <v>6</v>
      </c>
      <c r="C8" s="32" t="s">
        <v>17</v>
      </c>
      <c r="D8" s="33" t="s">
        <v>19</v>
      </c>
      <c r="E8" s="32" t="s">
        <v>20</v>
      </c>
    </row>
    <row r="9" spans="1:6" x14ac:dyDescent="0.2">
      <c r="B9" s="21">
        <v>0</v>
      </c>
      <c r="C9" s="21">
        <v>0</v>
      </c>
      <c r="D9" s="22">
        <v>0</v>
      </c>
      <c r="E9" s="23">
        <v>0</v>
      </c>
    </row>
    <row r="10" spans="1:6" x14ac:dyDescent="0.2">
      <c r="A10" s="18" t="s">
        <v>34</v>
      </c>
      <c r="B10" s="21">
        <v>17</v>
      </c>
      <c r="C10" s="39">
        <v>28.25</v>
      </c>
      <c r="D10" s="22">
        <f>C10/(B10-B9)</f>
        <v>1.661764705882353</v>
      </c>
      <c r="E10" s="22">
        <f>D10+E9</f>
        <v>1.661764705882353</v>
      </c>
    </row>
    <row r="11" spans="1:6" x14ac:dyDescent="0.2">
      <c r="B11" s="21">
        <v>25.5</v>
      </c>
      <c r="C11" s="21">
        <v>21.94</v>
      </c>
      <c r="D11" s="22">
        <f t="shared" ref="D11:D17" si="0">C11/(B11-B10)</f>
        <v>2.5811764705882356</v>
      </c>
      <c r="E11" s="22">
        <f t="shared" ref="E11:E17" si="1">D11+E10</f>
        <v>4.2429411764705884</v>
      </c>
    </row>
    <row r="12" spans="1:6" x14ac:dyDescent="0.2">
      <c r="B12" s="21">
        <v>35.4</v>
      </c>
      <c r="C12" s="21">
        <v>26.76</v>
      </c>
      <c r="D12" s="22">
        <f t="shared" si="0"/>
        <v>2.7030303030303036</v>
      </c>
      <c r="E12" s="22">
        <f t="shared" si="1"/>
        <v>6.9459714795008924</v>
      </c>
    </row>
    <row r="13" spans="1:6" x14ac:dyDescent="0.2">
      <c r="B13" s="21">
        <v>45.1</v>
      </c>
      <c r="C13" s="21">
        <v>27.05</v>
      </c>
      <c r="D13" s="22">
        <f t="shared" si="0"/>
        <v>2.7886597938144324</v>
      </c>
      <c r="E13" s="22">
        <f t="shared" si="1"/>
        <v>9.7346312733153244</v>
      </c>
    </row>
    <row r="14" spans="1:6" x14ac:dyDescent="0.2">
      <c r="B14" s="21">
        <v>54.5</v>
      </c>
      <c r="C14" s="21">
        <v>25.15</v>
      </c>
      <c r="D14" s="22">
        <f t="shared" si="0"/>
        <v>2.6755319148936172</v>
      </c>
      <c r="E14" s="22">
        <f t="shared" si="1"/>
        <v>12.410163188208941</v>
      </c>
    </row>
    <row r="15" spans="1:6" x14ac:dyDescent="0.2">
      <c r="B15" s="21">
        <v>65.7</v>
      </c>
      <c r="C15" s="21">
        <v>24.69</v>
      </c>
      <c r="D15" s="22">
        <f t="shared" si="0"/>
        <v>2.2044642857142853</v>
      </c>
      <c r="E15" s="22">
        <f t="shared" si="1"/>
        <v>14.614627473923226</v>
      </c>
    </row>
    <row r="16" spans="1:6" x14ac:dyDescent="0.2">
      <c r="B16" s="21">
        <v>80.5</v>
      </c>
      <c r="C16" s="21">
        <v>20.27</v>
      </c>
      <c r="D16" s="22">
        <f t="shared" si="0"/>
        <v>1.3695945945945949</v>
      </c>
      <c r="E16" s="22">
        <f t="shared" si="1"/>
        <v>15.984222068517822</v>
      </c>
    </row>
    <row r="17" spans="1:6" x14ac:dyDescent="0.2">
      <c r="B17" s="21">
        <v>100</v>
      </c>
      <c r="C17" s="21">
        <v>7.59</v>
      </c>
      <c r="D17" s="22">
        <f t="shared" si="0"/>
        <v>0.38923076923076921</v>
      </c>
      <c r="E17" s="22">
        <f t="shared" si="1"/>
        <v>16.373452837748591</v>
      </c>
    </row>
    <row r="18" spans="1:6" ht="15.75" x14ac:dyDescent="0.25">
      <c r="C18" s="31">
        <f>SUM(C9:C17)</f>
        <v>181.70000000000002</v>
      </c>
      <c r="D18" s="36" t="s">
        <v>17</v>
      </c>
      <c r="E18" s="30">
        <f>C18-C10</f>
        <v>153.45000000000002</v>
      </c>
    </row>
    <row r="19" spans="1:6" ht="15.75" x14ac:dyDescent="0.25">
      <c r="C19" s="31">
        <f>C18/100</f>
        <v>1.8170000000000002</v>
      </c>
      <c r="D19" s="36" t="s">
        <v>18</v>
      </c>
      <c r="E19" s="26"/>
    </row>
    <row r="23" spans="1:6" x14ac:dyDescent="0.2">
      <c r="F23" s="43"/>
    </row>
    <row r="24" spans="1:6" ht="23.1" customHeight="1" x14ac:dyDescent="0.2">
      <c r="B24" s="47" t="s">
        <v>43</v>
      </c>
      <c r="C24" s="47"/>
      <c r="D24" s="47"/>
      <c r="E24" s="47"/>
    </row>
    <row r="25" spans="1:6" ht="15.75" x14ac:dyDescent="0.2">
      <c r="B25" s="34" t="s">
        <v>41</v>
      </c>
      <c r="C25" s="34" t="s">
        <v>42</v>
      </c>
      <c r="D25" s="35" t="s">
        <v>4</v>
      </c>
      <c r="E25" s="34" t="s">
        <v>5</v>
      </c>
    </row>
    <row r="26" spans="1:6" x14ac:dyDescent="0.2">
      <c r="B26" s="32" t="s">
        <v>6</v>
      </c>
      <c r="C26" s="32" t="s">
        <v>17</v>
      </c>
      <c r="D26" s="33" t="s">
        <v>19</v>
      </c>
      <c r="E26" s="32" t="s">
        <v>20</v>
      </c>
    </row>
    <row r="27" spans="1:6" x14ac:dyDescent="0.2">
      <c r="B27" s="21">
        <v>0</v>
      </c>
      <c r="C27" s="21">
        <v>0</v>
      </c>
      <c r="D27" s="22">
        <v>0</v>
      </c>
      <c r="E27" s="23">
        <v>0</v>
      </c>
    </row>
    <row r="28" spans="1:6" x14ac:dyDescent="0.2">
      <c r="A28" s="18" t="s">
        <v>34</v>
      </c>
      <c r="B28" s="21">
        <v>43.3</v>
      </c>
      <c r="C28" s="39">
        <v>202.83</v>
      </c>
      <c r="D28" s="22">
        <f>C28/(B28-B27)</f>
        <v>4.6842956120092385</v>
      </c>
      <c r="E28" s="22">
        <f>D28+E27</f>
        <v>4.6842956120092385</v>
      </c>
    </row>
    <row r="29" spans="1:6" x14ac:dyDescent="0.2">
      <c r="B29" s="21">
        <v>47.7</v>
      </c>
      <c r="C29" s="21">
        <v>20.43</v>
      </c>
      <c r="D29" s="22">
        <f t="shared" ref="D29:D34" si="2">C29/(B29-B28)</f>
        <v>4.6431818181818123</v>
      </c>
      <c r="E29" s="22">
        <f t="shared" ref="E29:E34" si="3">D29+E28</f>
        <v>9.3274774301910508</v>
      </c>
    </row>
    <row r="30" spans="1:6" x14ac:dyDescent="0.2">
      <c r="B30" s="21">
        <v>52.7</v>
      </c>
      <c r="C30" s="21">
        <v>26.29</v>
      </c>
      <c r="D30" s="22">
        <f t="shared" si="2"/>
        <v>5.258</v>
      </c>
      <c r="E30" s="22">
        <f t="shared" si="3"/>
        <v>14.585477430191052</v>
      </c>
    </row>
    <row r="31" spans="1:6" x14ac:dyDescent="0.2">
      <c r="B31" s="21">
        <v>57.8</v>
      </c>
      <c r="C31" s="21">
        <v>25.22</v>
      </c>
      <c r="D31" s="22">
        <f t="shared" si="2"/>
        <v>4.9450980392156918</v>
      </c>
      <c r="E31" s="22">
        <f t="shared" si="3"/>
        <v>19.530575469406742</v>
      </c>
    </row>
    <row r="32" spans="1:6" x14ac:dyDescent="0.2">
      <c r="B32" s="21">
        <v>63.6</v>
      </c>
      <c r="C32" s="21">
        <v>24.55</v>
      </c>
      <c r="D32" s="22">
        <f t="shared" si="2"/>
        <v>4.2327586206896521</v>
      </c>
      <c r="E32" s="22">
        <f t="shared" si="3"/>
        <v>23.763334090096393</v>
      </c>
    </row>
    <row r="33" spans="1:6" x14ac:dyDescent="0.2">
      <c r="B33" s="21">
        <v>72</v>
      </c>
      <c r="C33" s="21">
        <v>26.95</v>
      </c>
      <c r="D33" s="22">
        <f t="shared" si="2"/>
        <v>3.2083333333333339</v>
      </c>
      <c r="E33" s="22">
        <f t="shared" si="3"/>
        <v>26.971667423429729</v>
      </c>
    </row>
    <row r="34" spans="1:6" x14ac:dyDescent="0.2">
      <c r="B34" s="21">
        <v>100</v>
      </c>
      <c r="C34" s="21">
        <v>28.03</v>
      </c>
      <c r="D34" s="22">
        <f t="shared" si="2"/>
        <v>1.0010714285714286</v>
      </c>
      <c r="E34" s="22">
        <f t="shared" si="3"/>
        <v>27.972738852001157</v>
      </c>
    </row>
    <row r="35" spans="1:6" ht="15.75" x14ac:dyDescent="0.25">
      <c r="C35" s="37">
        <f>SUM(C28:C34)</f>
        <v>354.29999999999995</v>
      </c>
      <c r="D35" s="36" t="s">
        <v>17</v>
      </c>
      <c r="E35" s="37">
        <f>C35-C28</f>
        <v>151.46999999999994</v>
      </c>
    </row>
    <row r="36" spans="1:6" ht="15.75" x14ac:dyDescent="0.25">
      <c r="C36" s="30">
        <f>C35/100</f>
        <v>3.5429999999999997</v>
      </c>
      <c r="D36" s="36" t="s">
        <v>18</v>
      </c>
      <c r="E36" s="26"/>
    </row>
    <row r="37" spans="1:6" x14ac:dyDescent="0.2">
      <c r="D37" s="20"/>
      <c r="E37" s="18"/>
    </row>
    <row r="41" spans="1:6" x14ac:dyDescent="0.2">
      <c r="F41" s="43"/>
    </row>
    <row r="42" spans="1:6" x14ac:dyDescent="0.2">
      <c r="F42" s="43"/>
    </row>
    <row r="43" spans="1:6" x14ac:dyDescent="0.2">
      <c r="F43" s="43"/>
    </row>
    <row r="44" spans="1:6" ht="23.1" customHeight="1" x14ac:dyDescent="0.2">
      <c r="B44" s="47" t="s">
        <v>44</v>
      </c>
      <c r="C44" s="47"/>
      <c r="D44" s="47"/>
      <c r="E44" s="47"/>
    </row>
    <row r="45" spans="1:6" ht="15.75" x14ac:dyDescent="0.2">
      <c r="B45" s="34" t="s">
        <v>41</v>
      </c>
      <c r="C45" s="34" t="s">
        <v>42</v>
      </c>
      <c r="D45" s="35" t="s">
        <v>4</v>
      </c>
      <c r="E45" s="34" t="s">
        <v>5</v>
      </c>
    </row>
    <row r="46" spans="1:6" x14ac:dyDescent="0.2">
      <c r="B46" s="32" t="s">
        <v>6</v>
      </c>
      <c r="C46" s="32" t="s">
        <v>17</v>
      </c>
      <c r="D46" s="33" t="s">
        <v>19</v>
      </c>
      <c r="E46" s="32" t="s">
        <v>20</v>
      </c>
    </row>
    <row r="47" spans="1:6" x14ac:dyDescent="0.2">
      <c r="B47" s="21">
        <v>0</v>
      </c>
      <c r="C47" s="21">
        <v>0</v>
      </c>
      <c r="D47" s="22">
        <v>0</v>
      </c>
      <c r="E47" s="23">
        <v>0</v>
      </c>
    </row>
    <row r="48" spans="1:6" x14ac:dyDescent="0.2">
      <c r="A48" s="18" t="s">
        <v>34</v>
      </c>
      <c r="B48" s="21">
        <v>40.700000000000003</v>
      </c>
      <c r="C48" s="39">
        <v>201.8</v>
      </c>
      <c r="D48" s="22">
        <f>C48/(B48-B47)</f>
        <v>4.9582309582309581</v>
      </c>
      <c r="E48" s="22">
        <f>D48+E47</f>
        <v>4.9582309582309581</v>
      </c>
    </row>
    <row r="49" spans="2:5" x14ac:dyDescent="0.2">
      <c r="B49" s="21">
        <v>45.7</v>
      </c>
      <c r="C49" s="21">
        <v>24.84</v>
      </c>
      <c r="D49" s="22">
        <f t="shared" ref="D49:D54" si="4">C49/(B49-B48)</f>
        <v>4.968</v>
      </c>
      <c r="E49" s="22">
        <f t="shared" ref="E49:E54" si="5">D49+E48</f>
        <v>9.926230958230958</v>
      </c>
    </row>
    <row r="50" spans="2:5" x14ac:dyDescent="0.2">
      <c r="B50" s="21">
        <v>50.8</v>
      </c>
      <c r="C50" s="21">
        <v>26.4</v>
      </c>
      <c r="D50" s="22">
        <f t="shared" si="4"/>
        <v>5.1764705882352997</v>
      </c>
      <c r="E50" s="22">
        <f t="shared" si="5"/>
        <v>15.102701546466257</v>
      </c>
    </row>
    <row r="51" spans="2:5" x14ac:dyDescent="0.2">
      <c r="B51" s="21">
        <v>57.3</v>
      </c>
      <c r="C51" s="21">
        <v>25.48</v>
      </c>
      <c r="D51" s="22">
        <f t="shared" si="4"/>
        <v>3.92</v>
      </c>
      <c r="E51" s="22">
        <f t="shared" si="5"/>
        <v>19.022701546466259</v>
      </c>
    </row>
    <row r="52" spans="2:5" x14ac:dyDescent="0.2">
      <c r="B52" s="21">
        <v>63.5</v>
      </c>
      <c r="C52" s="21">
        <v>24.94</v>
      </c>
      <c r="D52" s="22">
        <f t="shared" si="4"/>
        <v>4.0225806451612884</v>
      </c>
      <c r="E52" s="22">
        <f t="shared" si="5"/>
        <v>23.045282191627546</v>
      </c>
    </row>
    <row r="53" spans="2:5" x14ac:dyDescent="0.2">
      <c r="B53" s="21">
        <v>72.8</v>
      </c>
      <c r="C53" s="21">
        <v>26.51</v>
      </c>
      <c r="D53" s="22">
        <f t="shared" si="4"/>
        <v>2.8505376344086031</v>
      </c>
      <c r="E53" s="22">
        <f t="shared" si="5"/>
        <v>25.895819826036149</v>
      </c>
    </row>
    <row r="54" spans="2:5" x14ac:dyDescent="0.2">
      <c r="B54" s="21">
        <v>100</v>
      </c>
      <c r="C54" s="21">
        <v>24.58</v>
      </c>
      <c r="D54" s="22">
        <f t="shared" si="4"/>
        <v>0.90367647058823519</v>
      </c>
      <c r="E54" s="22">
        <f t="shared" si="5"/>
        <v>26.799496296624383</v>
      </c>
    </row>
    <row r="55" spans="2:5" ht="15.75" x14ac:dyDescent="0.25">
      <c r="C55" s="30">
        <f>SUM(C47:C54)</f>
        <v>354.55</v>
      </c>
      <c r="D55" s="36" t="s">
        <v>17</v>
      </c>
      <c r="E55" s="30">
        <f>C55-C48</f>
        <v>152.75</v>
      </c>
    </row>
    <row r="56" spans="2:5" ht="15.75" x14ac:dyDescent="0.25">
      <c r="C56" s="30">
        <f>C55/100</f>
        <v>3.5455000000000001</v>
      </c>
      <c r="D56" s="36" t="s">
        <v>18</v>
      </c>
      <c r="E56" s="26"/>
    </row>
    <row r="57" spans="2:5" ht="15.75" x14ac:dyDescent="0.25">
      <c r="C57" s="26"/>
      <c r="D57" s="38"/>
      <c r="E57" s="36"/>
    </row>
    <row r="58" spans="2:5" x14ac:dyDescent="0.2">
      <c r="E58" s="18"/>
    </row>
    <row r="59" spans="2:5" x14ac:dyDescent="0.2">
      <c r="E59" s="18"/>
    </row>
    <row r="60" spans="2:5" ht="15.75" x14ac:dyDescent="0.25">
      <c r="C60" s="31" t="s">
        <v>32</v>
      </c>
      <c r="D60" s="31" t="s">
        <v>33</v>
      </c>
      <c r="E60" s="18"/>
    </row>
    <row r="61" spans="2:5" ht="15.75" x14ac:dyDescent="0.25">
      <c r="B61" s="30" t="s">
        <v>12</v>
      </c>
      <c r="C61" s="29">
        <f>C55+C35+C18</f>
        <v>890.55</v>
      </c>
      <c r="D61" s="23">
        <f t="shared" ref="D61:D66" si="6">C61/100</f>
        <v>8.9055</v>
      </c>
      <c r="E61" s="18"/>
    </row>
    <row r="62" spans="2:5" x14ac:dyDescent="0.2">
      <c r="B62" s="44" t="s">
        <v>13</v>
      </c>
      <c r="C62" s="29">
        <f>C18-C10</f>
        <v>153.45000000000002</v>
      </c>
      <c r="D62" s="23">
        <f t="shared" si="6"/>
        <v>1.5345000000000002</v>
      </c>
      <c r="E62" s="22" t="s">
        <v>45</v>
      </c>
    </row>
    <row r="63" spans="2:5" x14ac:dyDescent="0.2">
      <c r="B63" s="45"/>
      <c r="C63" s="29">
        <f>C35-C28</f>
        <v>151.46999999999994</v>
      </c>
      <c r="D63" s="23">
        <f>C63/100</f>
        <v>1.5146999999999995</v>
      </c>
      <c r="E63" s="22" t="s">
        <v>47</v>
      </c>
    </row>
    <row r="64" spans="2:5" x14ac:dyDescent="0.2">
      <c r="B64" s="46"/>
      <c r="C64" s="29">
        <f>C55-C48</f>
        <v>152.75</v>
      </c>
      <c r="D64" s="23">
        <f>C64/100</f>
        <v>1.5275000000000001</v>
      </c>
      <c r="E64" s="22" t="s">
        <v>46</v>
      </c>
    </row>
    <row r="65" spans="2:6" ht="15.75" x14ac:dyDescent="0.25">
      <c r="B65" s="30" t="s">
        <v>23</v>
      </c>
      <c r="C65" s="29">
        <f>C61-C66-AVERAGE(C62:C64)</f>
        <v>383.44333333333338</v>
      </c>
      <c r="D65" s="22">
        <f t="shared" si="6"/>
        <v>3.834433333333334</v>
      </c>
      <c r="F65" s="42" t="s">
        <v>56</v>
      </c>
    </row>
    <row r="66" spans="2:6" ht="15.75" x14ac:dyDescent="0.25">
      <c r="B66" s="30" t="s">
        <v>28</v>
      </c>
      <c r="C66" s="29">
        <f>C55</f>
        <v>354.55</v>
      </c>
      <c r="D66" s="23">
        <f t="shared" si="6"/>
        <v>3.5455000000000001</v>
      </c>
      <c r="E66" s="20" t="s">
        <v>93</v>
      </c>
    </row>
  </sheetData>
  <mergeCells count="4">
    <mergeCell ref="B6:E6"/>
    <mergeCell ref="B24:E24"/>
    <mergeCell ref="B44:E44"/>
    <mergeCell ref="B62:B64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5" zoomScaleNormal="85" workbookViewId="0">
      <selection activeCell="E12" sqref="E12"/>
    </sheetView>
  </sheetViews>
  <sheetFormatPr defaultColWidth="8.85546875" defaultRowHeight="15" x14ac:dyDescent="0.2"/>
  <cols>
    <col min="1" max="11" width="8.85546875" style="18"/>
    <col min="12" max="12" width="13.140625" style="18" customWidth="1"/>
    <col min="13" max="13" width="18" style="18" bestFit="1" customWidth="1"/>
    <col min="14" max="16384" width="8.85546875" style="18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25Juli</vt:lpstr>
      <vt:lpstr>17 Jan24</vt:lpstr>
      <vt:lpstr>22 Juni</vt:lpstr>
      <vt:lpstr>17 Maret</vt:lpstr>
      <vt:lpstr>17 Okt 24</vt:lpstr>
      <vt:lpstr>29 Oct 24</vt:lpstr>
      <vt:lpstr>24 Feb 25</vt:lpstr>
      <vt:lpstr>5 Mar 2</vt:lpstr>
      <vt:lpstr>11 Mar 25</vt:lpstr>
      <vt:lpstr>09 Mei 2025</vt:lpstr>
      <vt:lpstr>26 Nov 25</vt:lpstr>
      <vt:lpstr>07 Jan 26</vt:lpstr>
      <vt:lpstr>Illustration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irl kartini</cp:lastModifiedBy>
  <cp:lastPrinted>2024-01-17T06:27:05Z</cp:lastPrinted>
  <dcterms:created xsi:type="dcterms:W3CDTF">2012-06-12T06:33:36Z</dcterms:created>
  <dcterms:modified xsi:type="dcterms:W3CDTF">2026-01-07T04:05:22Z</dcterms:modified>
</cp:coreProperties>
</file>